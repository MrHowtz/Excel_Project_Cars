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emad.makram\Desktop\"/>
    </mc:Choice>
  </mc:AlternateContent>
  <xr:revisionPtr revIDLastSave="0" documentId="13_ncr:1_{375EC4BC-82C0-4BB5-97DC-14D9651662D4}" xr6:coauthVersionLast="47" xr6:coauthVersionMax="47" xr10:uidLastSave="{00000000-0000-0000-0000-000000000000}"/>
  <bookViews>
    <workbookView xWindow="-19320" yWindow="-30" windowWidth="19440" windowHeight="10590" tabRatio="807" xr2:uid="{00000000-000D-0000-FFFF-FFFF00000000}"/>
  </bookViews>
  <sheets>
    <sheet name="Dashboard 1" sheetId="18" r:id="rId1"/>
    <sheet name="Dashboard 2" sheetId="20" r:id="rId2"/>
    <sheet name="Pivot Table 1" sheetId="17" r:id="rId3"/>
    <sheet name="Pivot Table 2" sheetId="19" r:id="rId4"/>
    <sheet name="Documentation" sheetId="8" r:id="rId5"/>
    <sheet name="Cleaned - Sorted DB" sheetId="4" r:id="rId6"/>
    <sheet name="RAWDATA Cars Buyers DB" sheetId="1" r:id="rId7"/>
    <sheet name="Dashboard" sheetId="2" state="hidden" r:id="rId8"/>
  </sheets>
  <definedNames>
    <definedName name="_xlnm._FilterDatabase" localSheetId="5" hidden="1">'Cleaned - Sorted DB'!$A$1:$M$1021</definedName>
    <definedName name="_xlnm._FilterDatabase" localSheetId="6" hidden="1">'RAWDATA Cars Buyers DB'!$A$1:$A$1028</definedName>
    <definedName name="_xlnm.Extract" localSheetId="5">'Cleaned - Sorted DB'!$A$1</definedName>
    <definedName name="Slicer_Age_Brackets">#N/A</definedName>
    <definedName name="Slicer_Age_Brackets1">#N/A</definedName>
    <definedName name="Slicer_Commute_Distance">#N/A</definedName>
    <definedName name="Slicer_Education">#N/A</definedName>
    <definedName name="Slicer_Education1">#N/A</definedName>
    <definedName name="Slicer_Gender">#N/A</definedName>
    <definedName name="Slicer_Marital_Status">#N/A</definedName>
    <definedName name="Slicer_Marital_Status1">#N/A</definedName>
    <definedName name="Slicer_Region">#N/A</definedName>
    <definedName name="Slicer_State">#N/A</definedName>
  </definedNames>
  <calcPr calcId="191029"/>
  <pivotCaches>
    <pivotCache cacheId="38"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4" l="1"/>
  <c r="C2" i="4"/>
  <c r="D2" i="4"/>
  <c r="E2" i="4"/>
  <c r="F2" i="4"/>
  <c r="G2" i="4"/>
  <c r="H2" i="4"/>
  <c r="I2" i="4"/>
  <c r="J2" i="4"/>
  <c r="K2" i="4"/>
  <c r="L2" i="4"/>
  <c r="M2" i="4"/>
  <c r="B3" i="4"/>
  <c r="C3" i="4"/>
  <c r="D3" i="4"/>
  <c r="E3" i="4"/>
  <c r="F3" i="4"/>
  <c r="G3" i="4"/>
  <c r="H3" i="4"/>
  <c r="I3" i="4"/>
  <c r="J3" i="4"/>
  <c r="K3" i="4"/>
  <c r="L3" i="4"/>
  <c r="M3" i="4"/>
  <c r="B4" i="4"/>
  <c r="C4" i="4"/>
  <c r="D4" i="4"/>
  <c r="E4" i="4"/>
  <c r="F4" i="4"/>
  <c r="G4" i="4"/>
  <c r="H4" i="4"/>
  <c r="I4" i="4"/>
  <c r="J4" i="4"/>
  <c r="K4" i="4"/>
  <c r="L4" i="4"/>
  <c r="M4" i="4"/>
  <c r="B5" i="4"/>
  <c r="C5" i="4"/>
  <c r="D5" i="4"/>
  <c r="E5" i="4"/>
  <c r="F5" i="4"/>
  <c r="G5" i="4"/>
  <c r="H5" i="4"/>
  <c r="I5" i="4"/>
  <c r="J5" i="4"/>
  <c r="K5" i="4"/>
  <c r="L5" i="4"/>
  <c r="M5" i="4"/>
  <c r="B6" i="4"/>
  <c r="C6" i="4"/>
  <c r="D6" i="4"/>
  <c r="E6" i="4"/>
  <c r="F6" i="4"/>
  <c r="G6" i="4"/>
  <c r="H6" i="4"/>
  <c r="I6" i="4"/>
  <c r="J6" i="4"/>
  <c r="K6" i="4"/>
  <c r="L6" i="4"/>
  <c r="M6" i="4"/>
  <c r="B7" i="4"/>
  <c r="C7" i="4"/>
  <c r="D7" i="4"/>
  <c r="E7" i="4"/>
  <c r="F7" i="4"/>
  <c r="G7" i="4"/>
  <c r="H7" i="4"/>
  <c r="I7" i="4"/>
  <c r="J7" i="4"/>
  <c r="K7" i="4"/>
  <c r="L7" i="4"/>
  <c r="M7" i="4"/>
  <c r="B8" i="4"/>
  <c r="C8" i="4"/>
  <c r="D8" i="4"/>
  <c r="E8" i="4"/>
  <c r="F8" i="4"/>
  <c r="G8" i="4"/>
  <c r="H8" i="4"/>
  <c r="I8" i="4"/>
  <c r="J8" i="4"/>
  <c r="K8" i="4"/>
  <c r="L8" i="4"/>
  <c r="M8" i="4"/>
  <c r="B9" i="4"/>
  <c r="C9" i="4"/>
  <c r="D9" i="4"/>
  <c r="E9" i="4"/>
  <c r="F9" i="4"/>
  <c r="G9" i="4"/>
  <c r="H9" i="4"/>
  <c r="I9" i="4"/>
  <c r="J9" i="4"/>
  <c r="K9" i="4"/>
  <c r="L9" i="4"/>
  <c r="M9" i="4"/>
  <c r="B10" i="4"/>
  <c r="C10" i="4"/>
  <c r="D10" i="4"/>
  <c r="E10" i="4"/>
  <c r="F10" i="4"/>
  <c r="G10" i="4"/>
  <c r="H10" i="4"/>
  <c r="I10" i="4"/>
  <c r="J10" i="4"/>
  <c r="K10" i="4"/>
  <c r="L10" i="4"/>
  <c r="M10" i="4"/>
  <c r="B11" i="4"/>
  <c r="C11" i="4"/>
  <c r="D11" i="4"/>
  <c r="E11" i="4"/>
  <c r="F11" i="4"/>
  <c r="G11" i="4"/>
  <c r="H11" i="4"/>
  <c r="I11" i="4"/>
  <c r="J11" i="4"/>
  <c r="K11" i="4"/>
  <c r="L11" i="4"/>
  <c r="M11" i="4"/>
  <c r="B12" i="4"/>
  <c r="C12" i="4"/>
  <c r="D12" i="4"/>
  <c r="E12" i="4"/>
  <c r="F12" i="4"/>
  <c r="G12" i="4"/>
  <c r="H12" i="4"/>
  <c r="I12" i="4"/>
  <c r="J12" i="4"/>
  <c r="K12" i="4"/>
  <c r="L12" i="4"/>
  <c r="M12" i="4"/>
  <c r="B13" i="4"/>
  <c r="C13" i="4"/>
  <c r="D13" i="4"/>
  <c r="E13" i="4"/>
  <c r="F13" i="4"/>
  <c r="G13" i="4"/>
  <c r="H13" i="4"/>
  <c r="I13" i="4"/>
  <c r="J13" i="4"/>
  <c r="K13" i="4"/>
  <c r="L13" i="4"/>
  <c r="M13" i="4"/>
  <c r="B14" i="4"/>
  <c r="C14" i="4"/>
  <c r="D14" i="4"/>
  <c r="E14" i="4"/>
  <c r="F14" i="4"/>
  <c r="G14" i="4"/>
  <c r="H14" i="4"/>
  <c r="I14" i="4"/>
  <c r="J14" i="4"/>
  <c r="K14" i="4"/>
  <c r="L14" i="4"/>
  <c r="M14" i="4"/>
  <c r="B15" i="4"/>
  <c r="C15" i="4"/>
  <c r="D15" i="4"/>
  <c r="E15" i="4"/>
  <c r="F15" i="4"/>
  <c r="G15" i="4"/>
  <c r="H15" i="4"/>
  <c r="I15" i="4"/>
  <c r="J15" i="4"/>
  <c r="K15" i="4"/>
  <c r="L15" i="4"/>
  <c r="M15" i="4"/>
  <c r="B16" i="4"/>
  <c r="C16" i="4"/>
  <c r="D16" i="4"/>
  <c r="E16" i="4"/>
  <c r="F16" i="4"/>
  <c r="G16" i="4"/>
  <c r="H16" i="4"/>
  <c r="I16" i="4"/>
  <c r="J16" i="4"/>
  <c r="K16" i="4"/>
  <c r="L16" i="4"/>
  <c r="M16" i="4"/>
  <c r="B17" i="4"/>
  <c r="C17" i="4"/>
  <c r="D17" i="4"/>
  <c r="E17" i="4"/>
  <c r="F17" i="4"/>
  <c r="G17" i="4"/>
  <c r="H17" i="4"/>
  <c r="I17" i="4"/>
  <c r="J17" i="4"/>
  <c r="K17" i="4"/>
  <c r="L17" i="4"/>
  <c r="M17" i="4"/>
  <c r="B18" i="4"/>
  <c r="C18" i="4"/>
  <c r="D18" i="4"/>
  <c r="E18" i="4"/>
  <c r="F18" i="4"/>
  <c r="G18" i="4"/>
  <c r="H18" i="4"/>
  <c r="I18" i="4"/>
  <c r="J18" i="4"/>
  <c r="K18" i="4"/>
  <c r="L18" i="4"/>
  <c r="M18" i="4"/>
  <c r="B19" i="4"/>
  <c r="C19" i="4"/>
  <c r="D19" i="4"/>
  <c r="E19" i="4"/>
  <c r="F19" i="4"/>
  <c r="G19" i="4"/>
  <c r="H19" i="4"/>
  <c r="I19" i="4"/>
  <c r="J19" i="4"/>
  <c r="K19" i="4"/>
  <c r="L19" i="4"/>
  <c r="M19" i="4"/>
  <c r="B20" i="4"/>
  <c r="C20" i="4"/>
  <c r="D20" i="4"/>
  <c r="E20" i="4"/>
  <c r="F20" i="4"/>
  <c r="G20" i="4"/>
  <c r="H20" i="4"/>
  <c r="I20" i="4"/>
  <c r="J20" i="4"/>
  <c r="K20" i="4"/>
  <c r="L20" i="4"/>
  <c r="M20" i="4"/>
  <c r="B21" i="4"/>
  <c r="C21" i="4"/>
  <c r="D21" i="4"/>
  <c r="E21" i="4"/>
  <c r="F21" i="4"/>
  <c r="G21" i="4"/>
  <c r="H21" i="4"/>
  <c r="I21" i="4"/>
  <c r="J21" i="4"/>
  <c r="K21" i="4"/>
  <c r="L21" i="4"/>
  <c r="M21" i="4"/>
  <c r="B22" i="4"/>
  <c r="C22" i="4"/>
  <c r="D22" i="4"/>
  <c r="E22" i="4"/>
  <c r="F22" i="4"/>
  <c r="G22" i="4"/>
  <c r="H22" i="4"/>
  <c r="I22" i="4"/>
  <c r="J22" i="4"/>
  <c r="K22" i="4"/>
  <c r="L22" i="4"/>
  <c r="M22" i="4"/>
  <c r="B23" i="4"/>
  <c r="C23" i="4"/>
  <c r="D23" i="4"/>
  <c r="E23" i="4"/>
  <c r="F23" i="4"/>
  <c r="G23" i="4"/>
  <c r="H23" i="4"/>
  <c r="I23" i="4"/>
  <c r="J23" i="4"/>
  <c r="K23" i="4"/>
  <c r="L23" i="4"/>
  <c r="M23" i="4"/>
  <c r="B24" i="4"/>
  <c r="C24" i="4"/>
  <c r="D24" i="4"/>
  <c r="E24" i="4"/>
  <c r="F24" i="4"/>
  <c r="G24" i="4"/>
  <c r="H24" i="4"/>
  <c r="I24" i="4"/>
  <c r="J24" i="4"/>
  <c r="K24" i="4"/>
  <c r="L24" i="4"/>
  <c r="M24" i="4"/>
  <c r="B25" i="4"/>
  <c r="C25" i="4"/>
  <c r="D25" i="4"/>
  <c r="E25" i="4"/>
  <c r="F25" i="4"/>
  <c r="G25" i="4"/>
  <c r="H25" i="4"/>
  <c r="I25" i="4"/>
  <c r="J25" i="4"/>
  <c r="K25" i="4"/>
  <c r="L25" i="4"/>
  <c r="M25" i="4"/>
  <c r="B26" i="4"/>
  <c r="C26" i="4"/>
  <c r="D26" i="4"/>
  <c r="E26" i="4"/>
  <c r="F26" i="4"/>
  <c r="G26" i="4"/>
  <c r="H26" i="4"/>
  <c r="I26" i="4"/>
  <c r="J26" i="4"/>
  <c r="K26" i="4"/>
  <c r="L26" i="4"/>
  <c r="M26" i="4"/>
  <c r="B27" i="4"/>
  <c r="C27" i="4"/>
  <c r="D27" i="4"/>
  <c r="E27" i="4"/>
  <c r="F27" i="4"/>
  <c r="G27" i="4"/>
  <c r="H27" i="4"/>
  <c r="I27" i="4"/>
  <c r="J27" i="4"/>
  <c r="K27" i="4"/>
  <c r="L27" i="4"/>
  <c r="M27" i="4"/>
  <c r="B28" i="4"/>
  <c r="C28" i="4"/>
  <c r="D28" i="4"/>
  <c r="E28" i="4"/>
  <c r="F28" i="4"/>
  <c r="G28" i="4"/>
  <c r="H28" i="4"/>
  <c r="I28" i="4"/>
  <c r="J28" i="4"/>
  <c r="K28" i="4"/>
  <c r="L28" i="4"/>
  <c r="M28" i="4"/>
  <c r="B29" i="4"/>
  <c r="C29" i="4"/>
  <c r="D29" i="4"/>
  <c r="E29" i="4"/>
  <c r="F29" i="4"/>
  <c r="G29" i="4"/>
  <c r="H29" i="4"/>
  <c r="I29" i="4"/>
  <c r="J29" i="4"/>
  <c r="K29" i="4"/>
  <c r="L29" i="4"/>
  <c r="M29" i="4"/>
  <c r="B30" i="4"/>
  <c r="C30" i="4"/>
  <c r="D30" i="4"/>
  <c r="E30" i="4"/>
  <c r="F30" i="4"/>
  <c r="G30" i="4"/>
  <c r="H30" i="4"/>
  <c r="I30" i="4"/>
  <c r="J30" i="4"/>
  <c r="K30" i="4"/>
  <c r="L30" i="4"/>
  <c r="M30" i="4"/>
  <c r="B31" i="4"/>
  <c r="C31" i="4"/>
  <c r="D31" i="4"/>
  <c r="E31" i="4"/>
  <c r="F31" i="4"/>
  <c r="G31" i="4"/>
  <c r="H31" i="4"/>
  <c r="I31" i="4"/>
  <c r="J31" i="4"/>
  <c r="K31" i="4"/>
  <c r="L31" i="4"/>
  <c r="M31" i="4"/>
  <c r="B32" i="4"/>
  <c r="C32" i="4"/>
  <c r="D32" i="4"/>
  <c r="E32" i="4"/>
  <c r="F32" i="4"/>
  <c r="G32" i="4"/>
  <c r="H32" i="4"/>
  <c r="I32" i="4"/>
  <c r="J32" i="4"/>
  <c r="K32" i="4"/>
  <c r="L32" i="4"/>
  <c r="M32" i="4"/>
  <c r="B33" i="4"/>
  <c r="C33" i="4"/>
  <c r="D33" i="4"/>
  <c r="E33" i="4"/>
  <c r="F33" i="4"/>
  <c r="G33" i="4"/>
  <c r="H33" i="4"/>
  <c r="I33" i="4"/>
  <c r="J33" i="4"/>
  <c r="K33" i="4"/>
  <c r="L33" i="4"/>
  <c r="M33" i="4"/>
  <c r="B34" i="4"/>
  <c r="C34" i="4"/>
  <c r="D34" i="4"/>
  <c r="E34" i="4"/>
  <c r="F34" i="4"/>
  <c r="G34" i="4"/>
  <c r="H34" i="4"/>
  <c r="I34" i="4"/>
  <c r="J34" i="4"/>
  <c r="K34" i="4"/>
  <c r="L34" i="4"/>
  <c r="M34" i="4"/>
  <c r="B35" i="4"/>
  <c r="C35" i="4"/>
  <c r="D35" i="4"/>
  <c r="E35" i="4"/>
  <c r="F35" i="4"/>
  <c r="G35" i="4"/>
  <c r="H35" i="4"/>
  <c r="I35" i="4"/>
  <c r="J35" i="4"/>
  <c r="K35" i="4"/>
  <c r="L35" i="4"/>
  <c r="M35" i="4"/>
  <c r="B36" i="4"/>
  <c r="C36" i="4"/>
  <c r="D36" i="4"/>
  <c r="E36" i="4"/>
  <c r="F36" i="4"/>
  <c r="G36" i="4"/>
  <c r="H36" i="4"/>
  <c r="I36" i="4"/>
  <c r="J36" i="4"/>
  <c r="K36" i="4"/>
  <c r="L36" i="4"/>
  <c r="M36" i="4"/>
  <c r="B37" i="4"/>
  <c r="C37" i="4"/>
  <c r="D37" i="4"/>
  <c r="E37" i="4"/>
  <c r="F37" i="4"/>
  <c r="G37" i="4"/>
  <c r="H37" i="4"/>
  <c r="I37" i="4"/>
  <c r="J37" i="4"/>
  <c r="K37" i="4"/>
  <c r="L37" i="4"/>
  <c r="M37" i="4"/>
  <c r="B38" i="4"/>
  <c r="C38" i="4"/>
  <c r="D38" i="4"/>
  <c r="E38" i="4"/>
  <c r="F38" i="4"/>
  <c r="G38" i="4"/>
  <c r="H38" i="4"/>
  <c r="I38" i="4"/>
  <c r="J38" i="4"/>
  <c r="K38" i="4"/>
  <c r="L38" i="4"/>
  <c r="M38" i="4"/>
  <c r="B39" i="4"/>
  <c r="C39" i="4"/>
  <c r="D39" i="4"/>
  <c r="E39" i="4"/>
  <c r="F39" i="4"/>
  <c r="G39" i="4"/>
  <c r="H39" i="4"/>
  <c r="I39" i="4"/>
  <c r="J39" i="4"/>
  <c r="K39" i="4"/>
  <c r="L39" i="4"/>
  <c r="M39" i="4"/>
  <c r="B40" i="4"/>
  <c r="C40" i="4"/>
  <c r="D40" i="4"/>
  <c r="E40" i="4"/>
  <c r="F40" i="4"/>
  <c r="G40" i="4"/>
  <c r="H40" i="4"/>
  <c r="I40" i="4"/>
  <c r="J40" i="4"/>
  <c r="K40" i="4"/>
  <c r="L40" i="4"/>
  <c r="M40" i="4"/>
  <c r="B41" i="4"/>
  <c r="C41" i="4"/>
  <c r="D41" i="4"/>
  <c r="E41" i="4"/>
  <c r="F41" i="4"/>
  <c r="G41" i="4"/>
  <c r="H41" i="4"/>
  <c r="I41" i="4"/>
  <c r="J41" i="4"/>
  <c r="K41" i="4"/>
  <c r="L41" i="4"/>
  <c r="M41" i="4"/>
  <c r="B42" i="4"/>
  <c r="C42" i="4"/>
  <c r="D42" i="4"/>
  <c r="E42" i="4"/>
  <c r="F42" i="4"/>
  <c r="G42" i="4"/>
  <c r="H42" i="4"/>
  <c r="I42" i="4"/>
  <c r="J42" i="4"/>
  <c r="K42" i="4"/>
  <c r="L42" i="4"/>
  <c r="M42" i="4"/>
  <c r="B43" i="4"/>
  <c r="C43" i="4"/>
  <c r="D43" i="4"/>
  <c r="E43" i="4"/>
  <c r="F43" i="4"/>
  <c r="G43" i="4"/>
  <c r="H43" i="4"/>
  <c r="I43" i="4"/>
  <c r="J43" i="4"/>
  <c r="K43" i="4"/>
  <c r="L43" i="4"/>
  <c r="M43" i="4"/>
  <c r="B44" i="4"/>
  <c r="C44" i="4"/>
  <c r="D44" i="4"/>
  <c r="E44" i="4"/>
  <c r="F44" i="4"/>
  <c r="G44" i="4"/>
  <c r="H44" i="4"/>
  <c r="I44" i="4"/>
  <c r="J44" i="4"/>
  <c r="K44" i="4"/>
  <c r="L44" i="4"/>
  <c r="M44" i="4"/>
  <c r="B45" i="4"/>
  <c r="C45" i="4"/>
  <c r="D45" i="4"/>
  <c r="E45" i="4"/>
  <c r="F45" i="4"/>
  <c r="G45" i="4"/>
  <c r="H45" i="4"/>
  <c r="I45" i="4"/>
  <c r="J45" i="4"/>
  <c r="K45" i="4"/>
  <c r="L45" i="4"/>
  <c r="M45" i="4"/>
  <c r="B46" i="4"/>
  <c r="C46" i="4"/>
  <c r="D46" i="4"/>
  <c r="E46" i="4"/>
  <c r="F46" i="4"/>
  <c r="G46" i="4"/>
  <c r="H46" i="4"/>
  <c r="I46" i="4"/>
  <c r="J46" i="4"/>
  <c r="K46" i="4"/>
  <c r="L46" i="4"/>
  <c r="M46" i="4"/>
  <c r="B47" i="4"/>
  <c r="C47" i="4"/>
  <c r="D47" i="4"/>
  <c r="E47" i="4"/>
  <c r="F47" i="4"/>
  <c r="G47" i="4"/>
  <c r="H47" i="4"/>
  <c r="I47" i="4"/>
  <c r="J47" i="4"/>
  <c r="K47" i="4"/>
  <c r="L47" i="4"/>
  <c r="M47" i="4"/>
  <c r="B48" i="4"/>
  <c r="C48" i="4"/>
  <c r="D48" i="4"/>
  <c r="E48" i="4"/>
  <c r="F48" i="4"/>
  <c r="G48" i="4"/>
  <c r="H48" i="4"/>
  <c r="I48" i="4"/>
  <c r="J48" i="4"/>
  <c r="K48" i="4"/>
  <c r="L48" i="4"/>
  <c r="M48" i="4"/>
  <c r="B49" i="4"/>
  <c r="C49" i="4"/>
  <c r="D49" i="4"/>
  <c r="E49" i="4"/>
  <c r="F49" i="4"/>
  <c r="G49" i="4"/>
  <c r="H49" i="4"/>
  <c r="I49" i="4"/>
  <c r="J49" i="4"/>
  <c r="K49" i="4"/>
  <c r="L49" i="4"/>
  <c r="M49" i="4"/>
  <c r="B50" i="4"/>
  <c r="C50" i="4"/>
  <c r="D50" i="4"/>
  <c r="E50" i="4"/>
  <c r="F50" i="4"/>
  <c r="G50" i="4"/>
  <c r="H50" i="4"/>
  <c r="I50" i="4"/>
  <c r="J50" i="4"/>
  <c r="K50" i="4"/>
  <c r="L50" i="4"/>
  <c r="M50" i="4"/>
  <c r="B51" i="4"/>
  <c r="C51" i="4"/>
  <c r="D51" i="4"/>
  <c r="E51" i="4"/>
  <c r="F51" i="4"/>
  <c r="G51" i="4"/>
  <c r="H51" i="4"/>
  <c r="I51" i="4"/>
  <c r="J51" i="4"/>
  <c r="K51" i="4"/>
  <c r="L51" i="4"/>
  <c r="M51" i="4"/>
  <c r="B52" i="4"/>
  <c r="C52" i="4"/>
  <c r="D52" i="4"/>
  <c r="E52" i="4"/>
  <c r="F52" i="4"/>
  <c r="G52" i="4"/>
  <c r="H52" i="4"/>
  <c r="I52" i="4"/>
  <c r="J52" i="4"/>
  <c r="K52" i="4"/>
  <c r="L52" i="4"/>
  <c r="M52" i="4"/>
  <c r="B53" i="4"/>
  <c r="C53" i="4"/>
  <c r="D53" i="4"/>
  <c r="E53" i="4"/>
  <c r="F53" i="4"/>
  <c r="G53" i="4"/>
  <c r="H53" i="4"/>
  <c r="I53" i="4"/>
  <c r="J53" i="4"/>
  <c r="K53" i="4"/>
  <c r="L53" i="4"/>
  <c r="M53" i="4"/>
  <c r="B54" i="4"/>
  <c r="C54" i="4"/>
  <c r="D54" i="4"/>
  <c r="E54" i="4"/>
  <c r="F54" i="4"/>
  <c r="G54" i="4"/>
  <c r="H54" i="4"/>
  <c r="I54" i="4"/>
  <c r="J54" i="4"/>
  <c r="K54" i="4"/>
  <c r="L54" i="4"/>
  <c r="M54" i="4"/>
  <c r="B55" i="4"/>
  <c r="C55" i="4"/>
  <c r="D55" i="4"/>
  <c r="E55" i="4"/>
  <c r="F55" i="4"/>
  <c r="G55" i="4"/>
  <c r="H55" i="4"/>
  <c r="I55" i="4"/>
  <c r="J55" i="4"/>
  <c r="K55" i="4"/>
  <c r="L55" i="4"/>
  <c r="M55" i="4"/>
  <c r="B56" i="4"/>
  <c r="C56" i="4"/>
  <c r="D56" i="4"/>
  <c r="E56" i="4"/>
  <c r="F56" i="4"/>
  <c r="G56" i="4"/>
  <c r="H56" i="4"/>
  <c r="I56" i="4"/>
  <c r="J56" i="4"/>
  <c r="K56" i="4"/>
  <c r="L56" i="4"/>
  <c r="M56" i="4"/>
  <c r="B57" i="4"/>
  <c r="C57" i="4"/>
  <c r="D57" i="4"/>
  <c r="E57" i="4"/>
  <c r="F57" i="4"/>
  <c r="G57" i="4"/>
  <c r="H57" i="4"/>
  <c r="I57" i="4"/>
  <c r="J57" i="4"/>
  <c r="K57" i="4"/>
  <c r="L57" i="4"/>
  <c r="M57" i="4"/>
  <c r="B58" i="4"/>
  <c r="C58" i="4"/>
  <c r="D58" i="4"/>
  <c r="E58" i="4"/>
  <c r="F58" i="4"/>
  <c r="G58" i="4"/>
  <c r="H58" i="4"/>
  <c r="I58" i="4"/>
  <c r="J58" i="4"/>
  <c r="K58" i="4"/>
  <c r="L58" i="4"/>
  <c r="M58" i="4"/>
  <c r="B59" i="4"/>
  <c r="C59" i="4"/>
  <c r="D59" i="4"/>
  <c r="E59" i="4"/>
  <c r="F59" i="4"/>
  <c r="G59" i="4"/>
  <c r="H59" i="4"/>
  <c r="I59" i="4"/>
  <c r="J59" i="4"/>
  <c r="K59" i="4"/>
  <c r="L59" i="4"/>
  <c r="M59" i="4"/>
  <c r="B60" i="4"/>
  <c r="C60" i="4"/>
  <c r="D60" i="4"/>
  <c r="E60" i="4"/>
  <c r="F60" i="4"/>
  <c r="G60" i="4"/>
  <c r="H60" i="4"/>
  <c r="I60" i="4"/>
  <c r="J60" i="4"/>
  <c r="K60" i="4"/>
  <c r="L60" i="4"/>
  <c r="M60" i="4"/>
  <c r="B61" i="4"/>
  <c r="C61" i="4"/>
  <c r="D61" i="4"/>
  <c r="E61" i="4"/>
  <c r="F61" i="4"/>
  <c r="G61" i="4"/>
  <c r="H61" i="4"/>
  <c r="I61" i="4"/>
  <c r="J61" i="4"/>
  <c r="K61" i="4"/>
  <c r="L61" i="4"/>
  <c r="M61" i="4"/>
  <c r="B62" i="4"/>
  <c r="C62" i="4"/>
  <c r="D62" i="4"/>
  <c r="E62" i="4"/>
  <c r="F62" i="4"/>
  <c r="G62" i="4"/>
  <c r="H62" i="4"/>
  <c r="I62" i="4"/>
  <c r="J62" i="4"/>
  <c r="K62" i="4"/>
  <c r="L62" i="4"/>
  <c r="M62" i="4"/>
  <c r="B63" i="4"/>
  <c r="C63" i="4"/>
  <c r="D63" i="4"/>
  <c r="E63" i="4"/>
  <c r="F63" i="4"/>
  <c r="G63" i="4"/>
  <c r="H63" i="4"/>
  <c r="I63" i="4"/>
  <c r="J63" i="4"/>
  <c r="K63" i="4"/>
  <c r="L63" i="4"/>
  <c r="M63" i="4"/>
  <c r="B64" i="4"/>
  <c r="C64" i="4"/>
  <c r="D64" i="4"/>
  <c r="E64" i="4"/>
  <c r="F64" i="4"/>
  <c r="G64" i="4"/>
  <c r="H64" i="4"/>
  <c r="I64" i="4"/>
  <c r="J64" i="4"/>
  <c r="K64" i="4"/>
  <c r="L64" i="4"/>
  <c r="M64" i="4"/>
  <c r="B65" i="4"/>
  <c r="C65" i="4"/>
  <c r="D65" i="4"/>
  <c r="E65" i="4"/>
  <c r="F65" i="4"/>
  <c r="G65" i="4"/>
  <c r="H65" i="4"/>
  <c r="I65" i="4"/>
  <c r="J65" i="4"/>
  <c r="K65" i="4"/>
  <c r="L65" i="4"/>
  <c r="M65" i="4"/>
  <c r="B66" i="4"/>
  <c r="C66" i="4"/>
  <c r="D66" i="4"/>
  <c r="E66" i="4"/>
  <c r="F66" i="4"/>
  <c r="G66" i="4"/>
  <c r="H66" i="4"/>
  <c r="I66" i="4"/>
  <c r="J66" i="4"/>
  <c r="K66" i="4"/>
  <c r="L66" i="4"/>
  <c r="M66" i="4"/>
  <c r="B67" i="4"/>
  <c r="C67" i="4"/>
  <c r="D67" i="4"/>
  <c r="E67" i="4"/>
  <c r="F67" i="4"/>
  <c r="G67" i="4"/>
  <c r="H67" i="4"/>
  <c r="I67" i="4"/>
  <c r="J67" i="4"/>
  <c r="K67" i="4"/>
  <c r="L67" i="4"/>
  <c r="M67" i="4"/>
  <c r="B68" i="4"/>
  <c r="C68" i="4"/>
  <c r="D68" i="4"/>
  <c r="E68" i="4"/>
  <c r="F68" i="4"/>
  <c r="G68" i="4"/>
  <c r="H68" i="4"/>
  <c r="I68" i="4"/>
  <c r="J68" i="4"/>
  <c r="K68" i="4"/>
  <c r="L68" i="4"/>
  <c r="M68" i="4"/>
  <c r="B69" i="4"/>
  <c r="C69" i="4"/>
  <c r="D69" i="4"/>
  <c r="E69" i="4"/>
  <c r="F69" i="4"/>
  <c r="G69" i="4"/>
  <c r="H69" i="4"/>
  <c r="I69" i="4"/>
  <c r="J69" i="4"/>
  <c r="K69" i="4"/>
  <c r="L69" i="4"/>
  <c r="M69" i="4"/>
  <c r="B70" i="4"/>
  <c r="C70" i="4"/>
  <c r="D70" i="4"/>
  <c r="E70" i="4"/>
  <c r="F70" i="4"/>
  <c r="G70" i="4"/>
  <c r="H70" i="4"/>
  <c r="I70" i="4"/>
  <c r="J70" i="4"/>
  <c r="K70" i="4"/>
  <c r="L70" i="4"/>
  <c r="M70" i="4"/>
  <c r="B71" i="4"/>
  <c r="C71" i="4"/>
  <c r="D71" i="4"/>
  <c r="E71" i="4"/>
  <c r="F71" i="4"/>
  <c r="G71" i="4"/>
  <c r="H71" i="4"/>
  <c r="I71" i="4"/>
  <c r="J71" i="4"/>
  <c r="K71" i="4"/>
  <c r="L71" i="4"/>
  <c r="M71" i="4"/>
  <c r="B72" i="4"/>
  <c r="C72" i="4"/>
  <c r="D72" i="4"/>
  <c r="E72" i="4"/>
  <c r="F72" i="4"/>
  <c r="G72" i="4"/>
  <c r="H72" i="4"/>
  <c r="I72" i="4"/>
  <c r="J72" i="4"/>
  <c r="K72" i="4"/>
  <c r="L72" i="4"/>
  <c r="M72" i="4"/>
  <c r="B73" i="4"/>
  <c r="C73" i="4"/>
  <c r="D73" i="4"/>
  <c r="E73" i="4"/>
  <c r="F73" i="4"/>
  <c r="G73" i="4"/>
  <c r="H73" i="4"/>
  <c r="I73" i="4"/>
  <c r="J73" i="4"/>
  <c r="K73" i="4"/>
  <c r="L73" i="4"/>
  <c r="M73" i="4"/>
  <c r="B74" i="4"/>
  <c r="C74" i="4"/>
  <c r="D74" i="4"/>
  <c r="E74" i="4"/>
  <c r="F74" i="4"/>
  <c r="G74" i="4"/>
  <c r="H74" i="4"/>
  <c r="I74" i="4"/>
  <c r="J74" i="4"/>
  <c r="K74" i="4"/>
  <c r="L74" i="4"/>
  <c r="M74" i="4"/>
  <c r="B75" i="4"/>
  <c r="C75" i="4"/>
  <c r="D75" i="4"/>
  <c r="E75" i="4"/>
  <c r="F75" i="4"/>
  <c r="G75" i="4"/>
  <c r="H75" i="4"/>
  <c r="I75" i="4"/>
  <c r="J75" i="4"/>
  <c r="K75" i="4"/>
  <c r="L75" i="4"/>
  <c r="M75" i="4"/>
  <c r="B76" i="4"/>
  <c r="C76" i="4"/>
  <c r="D76" i="4"/>
  <c r="E76" i="4"/>
  <c r="F76" i="4"/>
  <c r="G76" i="4"/>
  <c r="H76" i="4"/>
  <c r="I76" i="4"/>
  <c r="J76" i="4"/>
  <c r="K76" i="4"/>
  <c r="L76" i="4"/>
  <c r="M76" i="4"/>
  <c r="B77" i="4"/>
  <c r="C77" i="4"/>
  <c r="D77" i="4"/>
  <c r="E77" i="4"/>
  <c r="F77" i="4"/>
  <c r="G77" i="4"/>
  <c r="H77" i="4"/>
  <c r="I77" i="4"/>
  <c r="J77" i="4"/>
  <c r="K77" i="4"/>
  <c r="L77" i="4"/>
  <c r="M77" i="4"/>
  <c r="B78" i="4"/>
  <c r="C78" i="4"/>
  <c r="D78" i="4"/>
  <c r="E78" i="4"/>
  <c r="F78" i="4"/>
  <c r="G78" i="4"/>
  <c r="H78" i="4"/>
  <c r="I78" i="4"/>
  <c r="J78" i="4"/>
  <c r="K78" i="4"/>
  <c r="L78" i="4"/>
  <c r="M78" i="4"/>
  <c r="B79" i="4"/>
  <c r="C79" i="4"/>
  <c r="D79" i="4"/>
  <c r="E79" i="4"/>
  <c r="F79" i="4"/>
  <c r="G79" i="4"/>
  <c r="H79" i="4"/>
  <c r="I79" i="4"/>
  <c r="J79" i="4"/>
  <c r="K79" i="4"/>
  <c r="L79" i="4"/>
  <c r="M79" i="4"/>
  <c r="B80" i="4"/>
  <c r="C80" i="4"/>
  <c r="D80" i="4"/>
  <c r="E80" i="4"/>
  <c r="F80" i="4"/>
  <c r="G80" i="4"/>
  <c r="H80" i="4"/>
  <c r="I80" i="4"/>
  <c r="J80" i="4"/>
  <c r="K80" i="4"/>
  <c r="L80" i="4"/>
  <c r="M80" i="4"/>
  <c r="B81" i="4"/>
  <c r="C81" i="4"/>
  <c r="D81" i="4"/>
  <c r="E81" i="4"/>
  <c r="F81" i="4"/>
  <c r="G81" i="4"/>
  <c r="H81" i="4"/>
  <c r="I81" i="4"/>
  <c r="J81" i="4"/>
  <c r="K81" i="4"/>
  <c r="L81" i="4"/>
  <c r="M81" i="4"/>
  <c r="B82" i="4"/>
  <c r="C82" i="4"/>
  <c r="D82" i="4"/>
  <c r="E82" i="4"/>
  <c r="F82" i="4"/>
  <c r="G82" i="4"/>
  <c r="H82" i="4"/>
  <c r="I82" i="4"/>
  <c r="J82" i="4"/>
  <c r="K82" i="4"/>
  <c r="L82" i="4"/>
  <c r="M82" i="4"/>
  <c r="B83" i="4"/>
  <c r="C83" i="4"/>
  <c r="D83" i="4"/>
  <c r="E83" i="4"/>
  <c r="F83" i="4"/>
  <c r="G83" i="4"/>
  <c r="H83" i="4"/>
  <c r="I83" i="4"/>
  <c r="J83" i="4"/>
  <c r="K83" i="4"/>
  <c r="L83" i="4"/>
  <c r="M83" i="4"/>
  <c r="B84" i="4"/>
  <c r="C84" i="4"/>
  <c r="D84" i="4"/>
  <c r="E84" i="4"/>
  <c r="F84" i="4"/>
  <c r="G84" i="4"/>
  <c r="H84" i="4"/>
  <c r="I84" i="4"/>
  <c r="J84" i="4"/>
  <c r="K84" i="4"/>
  <c r="L84" i="4"/>
  <c r="M84" i="4"/>
  <c r="B85" i="4"/>
  <c r="C85" i="4"/>
  <c r="D85" i="4"/>
  <c r="E85" i="4"/>
  <c r="F85" i="4"/>
  <c r="G85" i="4"/>
  <c r="H85" i="4"/>
  <c r="I85" i="4"/>
  <c r="J85" i="4"/>
  <c r="K85" i="4"/>
  <c r="L85" i="4"/>
  <c r="M85" i="4"/>
  <c r="B86" i="4"/>
  <c r="C86" i="4"/>
  <c r="D86" i="4"/>
  <c r="E86" i="4"/>
  <c r="F86" i="4"/>
  <c r="G86" i="4"/>
  <c r="H86" i="4"/>
  <c r="I86" i="4"/>
  <c r="J86" i="4"/>
  <c r="K86" i="4"/>
  <c r="L86" i="4"/>
  <c r="M86" i="4"/>
  <c r="B87" i="4"/>
  <c r="C87" i="4"/>
  <c r="D87" i="4"/>
  <c r="E87" i="4"/>
  <c r="F87" i="4"/>
  <c r="G87" i="4"/>
  <c r="H87" i="4"/>
  <c r="I87" i="4"/>
  <c r="J87" i="4"/>
  <c r="K87" i="4"/>
  <c r="L87" i="4"/>
  <c r="M87" i="4"/>
  <c r="B88" i="4"/>
  <c r="C88" i="4"/>
  <c r="D88" i="4"/>
  <c r="E88" i="4"/>
  <c r="F88" i="4"/>
  <c r="G88" i="4"/>
  <c r="H88" i="4"/>
  <c r="I88" i="4"/>
  <c r="J88" i="4"/>
  <c r="K88" i="4"/>
  <c r="L88" i="4"/>
  <c r="M88" i="4"/>
  <c r="B89" i="4"/>
  <c r="C89" i="4"/>
  <c r="D89" i="4"/>
  <c r="E89" i="4"/>
  <c r="F89" i="4"/>
  <c r="G89" i="4"/>
  <c r="H89" i="4"/>
  <c r="I89" i="4"/>
  <c r="J89" i="4"/>
  <c r="K89" i="4"/>
  <c r="L89" i="4"/>
  <c r="M89" i="4"/>
  <c r="B90" i="4"/>
  <c r="C90" i="4"/>
  <c r="D90" i="4"/>
  <c r="E90" i="4"/>
  <c r="F90" i="4"/>
  <c r="G90" i="4"/>
  <c r="H90" i="4"/>
  <c r="I90" i="4"/>
  <c r="J90" i="4"/>
  <c r="K90" i="4"/>
  <c r="L90" i="4"/>
  <c r="M90" i="4"/>
  <c r="B91" i="4"/>
  <c r="C91" i="4"/>
  <c r="D91" i="4"/>
  <c r="E91" i="4"/>
  <c r="F91" i="4"/>
  <c r="G91" i="4"/>
  <c r="H91" i="4"/>
  <c r="I91" i="4"/>
  <c r="J91" i="4"/>
  <c r="K91" i="4"/>
  <c r="L91" i="4"/>
  <c r="M91" i="4"/>
  <c r="B92" i="4"/>
  <c r="C92" i="4"/>
  <c r="D92" i="4"/>
  <c r="E92" i="4"/>
  <c r="F92" i="4"/>
  <c r="G92" i="4"/>
  <c r="H92" i="4"/>
  <c r="I92" i="4"/>
  <c r="J92" i="4"/>
  <c r="K92" i="4"/>
  <c r="L92" i="4"/>
  <c r="M92" i="4"/>
  <c r="B93" i="4"/>
  <c r="C93" i="4"/>
  <c r="D93" i="4"/>
  <c r="E93" i="4"/>
  <c r="F93" i="4"/>
  <c r="G93" i="4"/>
  <c r="H93" i="4"/>
  <c r="I93" i="4"/>
  <c r="J93" i="4"/>
  <c r="K93" i="4"/>
  <c r="L93" i="4"/>
  <c r="M93" i="4"/>
  <c r="B94" i="4"/>
  <c r="C94" i="4"/>
  <c r="D94" i="4"/>
  <c r="E94" i="4"/>
  <c r="F94" i="4"/>
  <c r="G94" i="4"/>
  <c r="H94" i="4"/>
  <c r="I94" i="4"/>
  <c r="J94" i="4"/>
  <c r="K94" i="4"/>
  <c r="L94" i="4"/>
  <c r="M94" i="4"/>
  <c r="B95" i="4"/>
  <c r="C95" i="4"/>
  <c r="D95" i="4"/>
  <c r="E95" i="4"/>
  <c r="F95" i="4"/>
  <c r="G95" i="4"/>
  <c r="H95" i="4"/>
  <c r="I95" i="4"/>
  <c r="J95" i="4"/>
  <c r="K95" i="4"/>
  <c r="L95" i="4"/>
  <c r="M95" i="4"/>
  <c r="B96" i="4"/>
  <c r="C96" i="4"/>
  <c r="D96" i="4"/>
  <c r="E96" i="4"/>
  <c r="F96" i="4"/>
  <c r="G96" i="4"/>
  <c r="H96" i="4"/>
  <c r="I96" i="4"/>
  <c r="J96" i="4"/>
  <c r="K96" i="4"/>
  <c r="L96" i="4"/>
  <c r="M96" i="4"/>
  <c r="B97" i="4"/>
  <c r="C97" i="4"/>
  <c r="D97" i="4"/>
  <c r="E97" i="4"/>
  <c r="F97" i="4"/>
  <c r="G97" i="4"/>
  <c r="H97" i="4"/>
  <c r="I97" i="4"/>
  <c r="J97" i="4"/>
  <c r="K97" i="4"/>
  <c r="L97" i="4"/>
  <c r="M97" i="4"/>
  <c r="B98" i="4"/>
  <c r="C98" i="4"/>
  <c r="D98" i="4"/>
  <c r="E98" i="4"/>
  <c r="F98" i="4"/>
  <c r="G98" i="4"/>
  <c r="H98" i="4"/>
  <c r="I98" i="4"/>
  <c r="J98" i="4"/>
  <c r="K98" i="4"/>
  <c r="L98" i="4"/>
  <c r="M98" i="4"/>
  <c r="B99" i="4"/>
  <c r="C99" i="4"/>
  <c r="D99" i="4"/>
  <c r="E99" i="4"/>
  <c r="F99" i="4"/>
  <c r="G99" i="4"/>
  <c r="H99" i="4"/>
  <c r="I99" i="4"/>
  <c r="J99" i="4"/>
  <c r="K99" i="4"/>
  <c r="L99" i="4"/>
  <c r="M99" i="4"/>
  <c r="B100" i="4"/>
  <c r="C100" i="4"/>
  <c r="D100" i="4"/>
  <c r="E100" i="4"/>
  <c r="F100" i="4"/>
  <c r="G100" i="4"/>
  <c r="H100" i="4"/>
  <c r="I100" i="4"/>
  <c r="J100" i="4"/>
  <c r="K100" i="4"/>
  <c r="L100" i="4"/>
  <c r="M100" i="4"/>
  <c r="B101" i="4"/>
  <c r="C101" i="4"/>
  <c r="D101" i="4"/>
  <c r="E101" i="4"/>
  <c r="F101" i="4"/>
  <c r="G101" i="4"/>
  <c r="H101" i="4"/>
  <c r="I101" i="4"/>
  <c r="J101" i="4"/>
  <c r="K101" i="4"/>
  <c r="L101" i="4"/>
  <c r="M101" i="4"/>
  <c r="B102" i="4"/>
  <c r="C102" i="4"/>
  <c r="D102" i="4"/>
  <c r="E102" i="4"/>
  <c r="F102" i="4"/>
  <c r="G102" i="4"/>
  <c r="H102" i="4"/>
  <c r="I102" i="4"/>
  <c r="J102" i="4"/>
  <c r="K102" i="4"/>
  <c r="L102" i="4"/>
  <c r="M102" i="4"/>
  <c r="B103" i="4"/>
  <c r="C103" i="4"/>
  <c r="D103" i="4"/>
  <c r="E103" i="4"/>
  <c r="F103" i="4"/>
  <c r="G103" i="4"/>
  <c r="H103" i="4"/>
  <c r="I103" i="4"/>
  <c r="J103" i="4"/>
  <c r="K103" i="4"/>
  <c r="L103" i="4"/>
  <c r="M103" i="4"/>
  <c r="B104" i="4"/>
  <c r="C104" i="4"/>
  <c r="D104" i="4"/>
  <c r="E104" i="4"/>
  <c r="F104" i="4"/>
  <c r="G104" i="4"/>
  <c r="H104" i="4"/>
  <c r="I104" i="4"/>
  <c r="J104" i="4"/>
  <c r="K104" i="4"/>
  <c r="L104" i="4"/>
  <c r="M104" i="4"/>
  <c r="B105" i="4"/>
  <c r="C105" i="4"/>
  <c r="D105" i="4"/>
  <c r="E105" i="4"/>
  <c r="F105" i="4"/>
  <c r="G105" i="4"/>
  <c r="H105" i="4"/>
  <c r="I105" i="4"/>
  <c r="J105" i="4"/>
  <c r="K105" i="4"/>
  <c r="L105" i="4"/>
  <c r="M105" i="4"/>
  <c r="B106" i="4"/>
  <c r="C106" i="4"/>
  <c r="D106" i="4"/>
  <c r="E106" i="4"/>
  <c r="F106" i="4"/>
  <c r="G106" i="4"/>
  <c r="H106" i="4"/>
  <c r="I106" i="4"/>
  <c r="J106" i="4"/>
  <c r="K106" i="4"/>
  <c r="L106" i="4"/>
  <c r="M106" i="4"/>
  <c r="B107" i="4"/>
  <c r="C107" i="4"/>
  <c r="D107" i="4"/>
  <c r="E107" i="4"/>
  <c r="F107" i="4"/>
  <c r="G107" i="4"/>
  <c r="H107" i="4"/>
  <c r="I107" i="4"/>
  <c r="J107" i="4"/>
  <c r="K107" i="4"/>
  <c r="L107" i="4"/>
  <c r="M107" i="4"/>
  <c r="B108" i="4"/>
  <c r="C108" i="4"/>
  <c r="D108" i="4"/>
  <c r="E108" i="4"/>
  <c r="F108" i="4"/>
  <c r="G108" i="4"/>
  <c r="H108" i="4"/>
  <c r="I108" i="4"/>
  <c r="J108" i="4"/>
  <c r="K108" i="4"/>
  <c r="L108" i="4"/>
  <c r="M108" i="4"/>
  <c r="B109" i="4"/>
  <c r="C109" i="4"/>
  <c r="D109" i="4"/>
  <c r="E109" i="4"/>
  <c r="F109" i="4"/>
  <c r="G109" i="4"/>
  <c r="H109" i="4"/>
  <c r="I109" i="4"/>
  <c r="J109" i="4"/>
  <c r="K109" i="4"/>
  <c r="L109" i="4"/>
  <c r="M109" i="4"/>
  <c r="B110" i="4"/>
  <c r="C110" i="4"/>
  <c r="D110" i="4"/>
  <c r="E110" i="4"/>
  <c r="F110" i="4"/>
  <c r="G110" i="4"/>
  <c r="H110" i="4"/>
  <c r="I110" i="4"/>
  <c r="J110" i="4"/>
  <c r="K110" i="4"/>
  <c r="L110" i="4"/>
  <c r="M110" i="4"/>
  <c r="B111" i="4"/>
  <c r="C111" i="4"/>
  <c r="D111" i="4"/>
  <c r="E111" i="4"/>
  <c r="F111" i="4"/>
  <c r="G111" i="4"/>
  <c r="H111" i="4"/>
  <c r="I111" i="4"/>
  <c r="J111" i="4"/>
  <c r="K111" i="4"/>
  <c r="L111" i="4"/>
  <c r="M111" i="4"/>
  <c r="B112" i="4"/>
  <c r="C112" i="4"/>
  <c r="D112" i="4"/>
  <c r="E112" i="4"/>
  <c r="F112" i="4"/>
  <c r="G112" i="4"/>
  <c r="H112" i="4"/>
  <c r="I112" i="4"/>
  <c r="J112" i="4"/>
  <c r="K112" i="4"/>
  <c r="L112" i="4"/>
  <c r="M112" i="4"/>
  <c r="B113" i="4"/>
  <c r="C113" i="4"/>
  <c r="D113" i="4"/>
  <c r="E113" i="4"/>
  <c r="F113" i="4"/>
  <c r="G113" i="4"/>
  <c r="H113" i="4"/>
  <c r="I113" i="4"/>
  <c r="J113" i="4"/>
  <c r="K113" i="4"/>
  <c r="L113" i="4"/>
  <c r="M113" i="4"/>
  <c r="B114" i="4"/>
  <c r="C114" i="4"/>
  <c r="D114" i="4"/>
  <c r="E114" i="4"/>
  <c r="F114" i="4"/>
  <c r="G114" i="4"/>
  <c r="H114" i="4"/>
  <c r="I114" i="4"/>
  <c r="J114" i="4"/>
  <c r="K114" i="4"/>
  <c r="L114" i="4"/>
  <c r="M114" i="4"/>
  <c r="B115" i="4"/>
  <c r="C115" i="4"/>
  <c r="D115" i="4"/>
  <c r="E115" i="4"/>
  <c r="F115" i="4"/>
  <c r="G115" i="4"/>
  <c r="H115" i="4"/>
  <c r="I115" i="4"/>
  <c r="J115" i="4"/>
  <c r="K115" i="4"/>
  <c r="L115" i="4"/>
  <c r="M115" i="4"/>
  <c r="B116" i="4"/>
  <c r="C116" i="4"/>
  <c r="D116" i="4"/>
  <c r="E116" i="4"/>
  <c r="F116" i="4"/>
  <c r="G116" i="4"/>
  <c r="H116" i="4"/>
  <c r="I116" i="4"/>
  <c r="J116" i="4"/>
  <c r="K116" i="4"/>
  <c r="L116" i="4"/>
  <c r="M116" i="4"/>
  <c r="B117" i="4"/>
  <c r="C117" i="4"/>
  <c r="D117" i="4"/>
  <c r="E117" i="4"/>
  <c r="F117" i="4"/>
  <c r="G117" i="4"/>
  <c r="H117" i="4"/>
  <c r="I117" i="4"/>
  <c r="J117" i="4"/>
  <c r="K117" i="4"/>
  <c r="L117" i="4"/>
  <c r="M117" i="4"/>
  <c r="B118" i="4"/>
  <c r="C118" i="4"/>
  <c r="D118" i="4"/>
  <c r="E118" i="4"/>
  <c r="F118" i="4"/>
  <c r="G118" i="4"/>
  <c r="H118" i="4"/>
  <c r="I118" i="4"/>
  <c r="J118" i="4"/>
  <c r="K118" i="4"/>
  <c r="L118" i="4"/>
  <c r="M118" i="4"/>
  <c r="B119" i="4"/>
  <c r="C119" i="4"/>
  <c r="D119" i="4"/>
  <c r="E119" i="4"/>
  <c r="F119" i="4"/>
  <c r="G119" i="4"/>
  <c r="H119" i="4"/>
  <c r="I119" i="4"/>
  <c r="J119" i="4"/>
  <c r="K119" i="4"/>
  <c r="L119" i="4"/>
  <c r="M119" i="4"/>
  <c r="B120" i="4"/>
  <c r="C120" i="4"/>
  <c r="D120" i="4"/>
  <c r="E120" i="4"/>
  <c r="F120" i="4"/>
  <c r="G120" i="4"/>
  <c r="H120" i="4"/>
  <c r="I120" i="4"/>
  <c r="J120" i="4"/>
  <c r="K120" i="4"/>
  <c r="L120" i="4"/>
  <c r="M120" i="4"/>
  <c r="B121" i="4"/>
  <c r="C121" i="4"/>
  <c r="D121" i="4"/>
  <c r="E121" i="4"/>
  <c r="F121" i="4"/>
  <c r="G121" i="4"/>
  <c r="H121" i="4"/>
  <c r="I121" i="4"/>
  <c r="J121" i="4"/>
  <c r="K121" i="4"/>
  <c r="L121" i="4"/>
  <c r="M121" i="4"/>
  <c r="B122" i="4"/>
  <c r="C122" i="4"/>
  <c r="D122" i="4"/>
  <c r="E122" i="4"/>
  <c r="F122" i="4"/>
  <c r="G122" i="4"/>
  <c r="H122" i="4"/>
  <c r="I122" i="4"/>
  <c r="J122" i="4"/>
  <c r="K122" i="4"/>
  <c r="L122" i="4"/>
  <c r="M122" i="4"/>
  <c r="B123" i="4"/>
  <c r="C123" i="4"/>
  <c r="D123" i="4"/>
  <c r="E123" i="4"/>
  <c r="F123" i="4"/>
  <c r="G123" i="4"/>
  <c r="H123" i="4"/>
  <c r="I123" i="4"/>
  <c r="J123" i="4"/>
  <c r="K123" i="4"/>
  <c r="L123" i="4"/>
  <c r="M123" i="4"/>
  <c r="B124" i="4"/>
  <c r="C124" i="4"/>
  <c r="D124" i="4"/>
  <c r="E124" i="4"/>
  <c r="F124" i="4"/>
  <c r="G124" i="4"/>
  <c r="H124" i="4"/>
  <c r="I124" i="4"/>
  <c r="J124" i="4"/>
  <c r="K124" i="4"/>
  <c r="L124" i="4"/>
  <c r="M124" i="4"/>
  <c r="B125" i="4"/>
  <c r="C125" i="4"/>
  <c r="D125" i="4"/>
  <c r="E125" i="4"/>
  <c r="F125" i="4"/>
  <c r="G125" i="4"/>
  <c r="H125" i="4"/>
  <c r="I125" i="4"/>
  <c r="J125" i="4"/>
  <c r="K125" i="4"/>
  <c r="L125" i="4"/>
  <c r="M125" i="4"/>
  <c r="B126" i="4"/>
  <c r="C126" i="4"/>
  <c r="D126" i="4"/>
  <c r="E126" i="4"/>
  <c r="F126" i="4"/>
  <c r="G126" i="4"/>
  <c r="H126" i="4"/>
  <c r="I126" i="4"/>
  <c r="J126" i="4"/>
  <c r="K126" i="4"/>
  <c r="L126" i="4"/>
  <c r="M126" i="4"/>
  <c r="B127" i="4"/>
  <c r="C127" i="4"/>
  <c r="D127" i="4"/>
  <c r="E127" i="4"/>
  <c r="F127" i="4"/>
  <c r="G127" i="4"/>
  <c r="H127" i="4"/>
  <c r="I127" i="4"/>
  <c r="J127" i="4"/>
  <c r="K127" i="4"/>
  <c r="L127" i="4"/>
  <c r="M127" i="4"/>
  <c r="B128" i="4"/>
  <c r="C128" i="4"/>
  <c r="D128" i="4"/>
  <c r="E128" i="4"/>
  <c r="F128" i="4"/>
  <c r="G128" i="4"/>
  <c r="H128" i="4"/>
  <c r="I128" i="4"/>
  <c r="J128" i="4"/>
  <c r="K128" i="4"/>
  <c r="L128" i="4"/>
  <c r="M128" i="4"/>
  <c r="B129" i="4"/>
  <c r="C129" i="4"/>
  <c r="D129" i="4"/>
  <c r="E129" i="4"/>
  <c r="F129" i="4"/>
  <c r="G129" i="4"/>
  <c r="H129" i="4"/>
  <c r="I129" i="4"/>
  <c r="J129" i="4"/>
  <c r="K129" i="4"/>
  <c r="L129" i="4"/>
  <c r="M129" i="4"/>
  <c r="B130" i="4"/>
  <c r="C130" i="4"/>
  <c r="D130" i="4"/>
  <c r="E130" i="4"/>
  <c r="F130" i="4"/>
  <c r="G130" i="4"/>
  <c r="H130" i="4"/>
  <c r="I130" i="4"/>
  <c r="J130" i="4"/>
  <c r="K130" i="4"/>
  <c r="L130" i="4"/>
  <c r="M130" i="4"/>
  <c r="B131" i="4"/>
  <c r="C131" i="4"/>
  <c r="D131" i="4"/>
  <c r="E131" i="4"/>
  <c r="F131" i="4"/>
  <c r="G131" i="4"/>
  <c r="H131" i="4"/>
  <c r="I131" i="4"/>
  <c r="J131" i="4"/>
  <c r="K131" i="4"/>
  <c r="L131" i="4"/>
  <c r="M131" i="4"/>
  <c r="B132" i="4"/>
  <c r="C132" i="4"/>
  <c r="D132" i="4"/>
  <c r="E132" i="4"/>
  <c r="F132" i="4"/>
  <c r="G132" i="4"/>
  <c r="H132" i="4"/>
  <c r="I132" i="4"/>
  <c r="J132" i="4"/>
  <c r="K132" i="4"/>
  <c r="L132" i="4"/>
  <c r="M132" i="4"/>
  <c r="B133" i="4"/>
  <c r="C133" i="4"/>
  <c r="D133" i="4"/>
  <c r="E133" i="4"/>
  <c r="F133" i="4"/>
  <c r="G133" i="4"/>
  <c r="H133" i="4"/>
  <c r="I133" i="4"/>
  <c r="J133" i="4"/>
  <c r="K133" i="4"/>
  <c r="L133" i="4"/>
  <c r="M133" i="4"/>
  <c r="B134" i="4"/>
  <c r="C134" i="4"/>
  <c r="D134" i="4"/>
  <c r="E134" i="4"/>
  <c r="F134" i="4"/>
  <c r="G134" i="4"/>
  <c r="H134" i="4"/>
  <c r="I134" i="4"/>
  <c r="J134" i="4"/>
  <c r="K134" i="4"/>
  <c r="L134" i="4"/>
  <c r="M134" i="4"/>
  <c r="B135" i="4"/>
  <c r="C135" i="4"/>
  <c r="D135" i="4"/>
  <c r="E135" i="4"/>
  <c r="F135" i="4"/>
  <c r="G135" i="4"/>
  <c r="H135" i="4"/>
  <c r="I135" i="4"/>
  <c r="J135" i="4"/>
  <c r="K135" i="4"/>
  <c r="L135" i="4"/>
  <c r="M135" i="4"/>
  <c r="B136" i="4"/>
  <c r="C136" i="4"/>
  <c r="D136" i="4"/>
  <c r="E136" i="4"/>
  <c r="F136" i="4"/>
  <c r="G136" i="4"/>
  <c r="H136" i="4"/>
  <c r="I136" i="4"/>
  <c r="J136" i="4"/>
  <c r="K136" i="4"/>
  <c r="L136" i="4"/>
  <c r="M136" i="4"/>
  <c r="B137" i="4"/>
  <c r="C137" i="4"/>
  <c r="D137" i="4"/>
  <c r="E137" i="4"/>
  <c r="F137" i="4"/>
  <c r="G137" i="4"/>
  <c r="H137" i="4"/>
  <c r="I137" i="4"/>
  <c r="J137" i="4"/>
  <c r="K137" i="4"/>
  <c r="L137" i="4"/>
  <c r="M137" i="4"/>
  <c r="B138" i="4"/>
  <c r="C138" i="4"/>
  <c r="D138" i="4"/>
  <c r="E138" i="4"/>
  <c r="F138" i="4"/>
  <c r="G138" i="4"/>
  <c r="H138" i="4"/>
  <c r="I138" i="4"/>
  <c r="J138" i="4"/>
  <c r="K138" i="4"/>
  <c r="L138" i="4"/>
  <c r="M138" i="4"/>
  <c r="B139" i="4"/>
  <c r="C139" i="4"/>
  <c r="D139" i="4"/>
  <c r="E139" i="4"/>
  <c r="F139" i="4"/>
  <c r="G139" i="4"/>
  <c r="H139" i="4"/>
  <c r="I139" i="4"/>
  <c r="J139" i="4"/>
  <c r="K139" i="4"/>
  <c r="L139" i="4"/>
  <c r="M139" i="4"/>
  <c r="B140" i="4"/>
  <c r="C140" i="4"/>
  <c r="D140" i="4"/>
  <c r="E140" i="4"/>
  <c r="F140" i="4"/>
  <c r="G140" i="4"/>
  <c r="H140" i="4"/>
  <c r="I140" i="4"/>
  <c r="J140" i="4"/>
  <c r="K140" i="4"/>
  <c r="L140" i="4"/>
  <c r="M140" i="4"/>
  <c r="B141" i="4"/>
  <c r="C141" i="4"/>
  <c r="D141" i="4"/>
  <c r="E141" i="4"/>
  <c r="F141" i="4"/>
  <c r="G141" i="4"/>
  <c r="H141" i="4"/>
  <c r="I141" i="4"/>
  <c r="J141" i="4"/>
  <c r="K141" i="4"/>
  <c r="L141" i="4"/>
  <c r="M141" i="4"/>
  <c r="B142" i="4"/>
  <c r="C142" i="4"/>
  <c r="D142" i="4"/>
  <c r="E142" i="4"/>
  <c r="F142" i="4"/>
  <c r="G142" i="4"/>
  <c r="H142" i="4"/>
  <c r="I142" i="4"/>
  <c r="J142" i="4"/>
  <c r="K142" i="4"/>
  <c r="L142" i="4"/>
  <c r="M142" i="4"/>
  <c r="B143" i="4"/>
  <c r="C143" i="4"/>
  <c r="D143" i="4"/>
  <c r="E143" i="4"/>
  <c r="F143" i="4"/>
  <c r="G143" i="4"/>
  <c r="H143" i="4"/>
  <c r="I143" i="4"/>
  <c r="J143" i="4"/>
  <c r="K143" i="4"/>
  <c r="L143" i="4"/>
  <c r="M143" i="4"/>
  <c r="B144" i="4"/>
  <c r="C144" i="4"/>
  <c r="D144" i="4"/>
  <c r="E144" i="4"/>
  <c r="F144" i="4"/>
  <c r="G144" i="4"/>
  <c r="H144" i="4"/>
  <c r="I144" i="4"/>
  <c r="J144" i="4"/>
  <c r="K144" i="4"/>
  <c r="L144" i="4"/>
  <c r="M144" i="4"/>
  <c r="B145" i="4"/>
  <c r="C145" i="4"/>
  <c r="D145" i="4"/>
  <c r="E145" i="4"/>
  <c r="F145" i="4"/>
  <c r="G145" i="4"/>
  <c r="H145" i="4"/>
  <c r="I145" i="4"/>
  <c r="J145" i="4"/>
  <c r="K145" i="4"/>
  <c r="L145" i="4"/>
  <c r="M145" i="4"/>
  <c r="B146" i="4"/>
  <c r="C146" i="4"/>
  <c r="D146" i="4"/>
  <c r="E146" i="4"/>
  <c r="F146" i="4"/>
  <c r="G146" i="4"/>
  <c r="H146" i="4"/>
  <c r="I146" i="4"/>
  <c r="J146" i="4"/>
  <c r="K146" i="4"/>
  <c r="L146" i="4"/>
  <c r="M146" i="4"/>
  <c r="B147" i="4"/>
  <c r="C147" i="4"/>
  <c r="D147" i="4"/>
  <c r="E147" i="4"/>
  <c r="F147" i="4"/>
  <c r="G147" i="4"/>
  <c r="H147" i="4"/>
  <c r="I147" i="4"/>
  <c r="J147" i="4"/>
  <c r="K147" i="4"/>
  <c r="L147" i="4"/>
  <c r="M147" i="4"/>
  <c r="B148" i="4"/>
  <c r="C148" i="4"/>
  <c r="D148" i="4"/>
  <c r="E148" i="4"/>
  <c r="F148" i="4"/>
  <c r="G148" i="4"/>
  <c r="H148" i="4"/>
  <c r="I148" i="4"/>
  <c r="J148" i="4"/>
  <c r="K148" i="4"/>
  <c r="L148" i="4"/>
  <c r="M148" i="4"/>
  <c r="B149" i="4"/>
  <c r="C149" i="4"/>
  <c r="D149" i="4"/>
  <c r="E149" i="4"/>
  <c r="F149" i="4"/>
  <c r="G149" i="4"/>
  <c r="H149" i="4"/>
  <c r="I149" i="4"/>
  <c r="J149" i="4"/>
  <c r="K149" i="4"/>
  <c r="L149" i="4"/>
  <c r="M149" i="4"/>
  <c r="B150" i="4"/>
  <c r="C150" i="4"/>
  <c r="D150" i="4"/>
  <c r="E150" i="4"/>
  <c r="F150" i="4"/>
  <c r="G150" i="4"/>
  <c r="H150" i="4"/>
  <c r="I150" i="4"/>
  <c r="J150" i="4"/>
  <c r="K150" i="4"/>
  <c r="L150" i="4"/>
  <c r="M150" i="4"/>
  <c r="B151" i="4"/>
  <c r="C151" i="4"/>
  <c r="D151" i="4"/>
  <c r="E151" i="4"/>
  <c r="F151" i="4"/>
  <c r="G151" i="4"/>
  <c r="H151" i="4"/>
  <c r="I151" i="4"/>
  <c r="J151" i="4"/>
  <c r="K151" i="4"/>
  <c r="L151" i="4"/>
  <c r="M151" i="4"/>
  <c r="B152" i="4"/>
  <c r="C152" i="4"/>
  <c r="D152" i="4"/>
  <c r="E152" i="4"/>
  <c r="F152" i="4"/>
  <c r="G152" i="4"/>
  <c r="H152" i="4"/>
  <c r="I152" i="4"/>
  <c r="J152" i="4"/>
  <c r="K152" i="4"/>
  <c r="L152" i="4"/>
  <c r="M152" i="4"/>
  <c r="B153" i="4"/>
  <c r="C153" i="4"/>
  <c r="D153" i="4"/>
  <c r="E153" i="4"/>
  <c r="F153" i="4"/>
  <c r="G153" i="4"/>
  <c r="H153" i="4"/>
  <c r="I153" i="4"/>
  <c r="J153" i="4"/>
  <c r="K153" i="4"/>
  <c r="L153" i="4"/>
  <c r="M153" i="4"/>
  <c r="B154" i="4"/>
  <c r="C154" i="4"/>
  <c r="D154" i="4"/>
  <c r="E154" i="4"/>
  <c r="F154" i="4"/>
  <c r="G154" i="4"/>
  <c r="H154" i="4"/>
  <c r="I154" i="4"/>
  <c r="J154" i="4"/>
  <c r="K154" i="4"/>
  <c r="L154" i="4"/>
  <c r="M154" i="4"/>
  <c r="B155" i="4"/>
  <c r="C155" i="4"/>
  <c r="D155" i="4"/>
  <c r="E155" i="4"/>
  <c r="F155" i="4"/>
  <c r="G155" i="4"/>
  <c r="H155" i="4"/>
  <c r="I155" i="4"/>
  <c r="J155" i="4"/>
  <c r="K155" i="4"/>
  <c r="L155" i="4"/>
  <c r="M155" i="4"/>
  <c r="B156" i="4"/>
  <c r="C156" i="4"/>
  <c r="D156" i="4"/>
  <c r="E156" i="4"/>
  <c r="F156" i="4"/>
  <c r="G156" i="4"/>
  <c r="H156" i="4"/>
  <c r="I156" i="4"/>
  <c r="J156" i="4"/>
  <c r="K156" i="4"/>
  <c r="L156" i="4"/>
  <c r="M156" i="4"/>
  <c r="B157" i="4"/>
  <c r="C157" i="4"/>
  <c r="D157" i="4"/>
  <c r="E157" i="4"/>
  <c r="F157" i="4"/>
  <c r="G157" i="4"/>
  <c r="H157" i="4"/>
  <c r="I157" i="4"/>
  <c r="J157" i="4"/>
  <c r="K157" i="4"/>
  <c r="L157" i="4"/>
  <c r="M157" i="4"/>
  <c r="B158" i="4"/>
  <c r="C158" i="4"/>
  <c r="D158" i="4"/>
  <c r="E158" i="4"/>
  <c r="F158" i="4"/>
  <c r="G158" i="4"/>
  <c r="H158" i="4"/>
  <c r="I158" i="4"/>
  <c r="J158" i="4"/>
  <c r="K158" i="4"/>
  <c r="L158" i="4"/>
  <c r="M158" i="4"/>
  <c r="B159" i="4"/>
  <c r="C159" i="4"/>
  <c r="D159" i="4"/>
  <c r="E159" i="4"/>
  <c r="F159" i="4"/>
  <c r="G159" i="4"/>
  <c r="H159" i="4"/>
  <c r="I159" i="4"/>
  <c r="J159" i="4"/>
  <c r="K159" i="4"/>
  <c r="L159" i="4"/>
  <c r="M159" i="4"/>
  <c r="B160" i="4"/>
  <c r="C160" i="4"/>
  <c r="D160" i="4"/>
  <c r="E160" i="4"/>
  <c r="F160" i="4"/>
  <c r="G160" i="4"/>
  <c r="H160" i="4"/>
  <c r="I160" i="4"/>
  <c r="J160" i="4"/>
  <c r="K160" i="4"/>
  <c r="L160" i="4"/>
  <c r="M160" i="4"/>
  <c r="B161" i="4"/>
  <c r="C161" i="4"/>
  <c r="D161" i="4"/>
  <c r="E161" i="4"/>
  <c r="F161" i="4"/>
  <c r="G161" i="4"/>
  <c r="H161" i="4"/>
  <c r="I161" i="4"/>
  <c r="J161" i="4"/>
  <c r="K161" i="4"/>
  <c r="L161" i="4"/>
  <c r="M161" i="4"/>
  <c r="B162" i="4"/>
  <c r="C162" i="4"/>
  <c r="D162" i="4"/>
  <c r="E162" i="4"/>
  <c r="F162" i="4"/>
  <c r="G162" i="4"/>
  <c r="H162" i="4"/>
  <c r="I162" i="4"/>
  <c r="J162" i="4"/>
  <c r="K162" i="4"/>
  <c r="L162" i="4"/>
  <c r="M162" i="4"/>
  <c r="B163" i="4"/>
  <c r="C163" i="4"/>
  <c r="D163" i="4"/>
  <c r="E163" i="4"/>
  <c r="F163" i="4"/>
  <c r="G163" i="4"/>
  <c r="H163" i="4"/>
  <c r="I163" i="4"/>
  <c r="J163" i="4"/>
  <c r="K163" i="4"/>
  <c r="L163" i="4"/>
  <c r="M163" i="4"/>
  <c r="B164" i="4"/>
  <c r="C164" i="4"/>
  <c r="D164" i="4"/>
  <c r="E164" i="4"/>
  <c r="F164" i="4"/>
  <c r="G164" i="4"/>
  <c r="H164" i="4"/>
  <c r="I164" i="4"/>
  <c r="J164" i="4"/>
  <c r="K164" i="4"/>
  <c r="L164" i="4"/>
  <c r="M164" i="4"/>
  <c r="B165" i="4"/>
  <c r="C165" i="4"/>
  <c r="D165" i="4"/>
  <c r="E165" i="4"/>
  <c r="F165" i="4"/>
  <c r="G165" i="4"/>
  <c r="H165" i="4"/>
  <c r="I165" i="4"/>
  <c r="J165" i="4"/>
  <c r="K165" i="4"/>
  <c r="L165" i="4"/>
  <c r="M165" i="4"/>
  <c r="B166" i="4"/>
  <c r="C166" i="4"/>
  <c r="D166" i="4"/>
  <c r="E166" i="4"/>
  <c r="F166" i="4"/>
  <c r="G166" i="4"/>
  <c r="H166" i="4"/>
  <c r="I166" i="4"/>
  <c r="J166" i="4"/>
  <c r="K166" i="4"/>
  <c r="L166" i="4"/>
  <c r="M166" i="4"/>
  <c r="B167" i="4"/>
  <c r="C167" i="4"/>
  <c r="D167" i="4"/>
  <c r="E167" i="4"/>
  <c r="F167" i="4"/>
  <c r="G167" i="4"/>
  <c r="H167" i="4"/>
  <c r="I167" i="4"/>
  <c r="J167" i="4"/>
  <c r="K167" i="4"/>
  <c r="L167" i="4"/>
  <c r="M167" i="4"/>
  <c r="B168" i="4"/>
  <c r="C168" i="4"/>
  <c r="D168" i="4"/>
  <c r="E168" i="4"/>
  <c r="F168" i="4"/>
  <c r="G168" i="4"/>
  <c r="H168" i="4"/>
  <c r="I168" i="4"/>
  <c r="J168" i="4"/>
  <c r="K168" i="4"/>
  <c r="L168" i="4"/>
  <c r="M168" i="4"/>
  <c r="B169" i="4"/>
  <c r="C169" i="4"/>
  <c r="D169" i="4"/>
  <c r="E169" i="4"/>
  <c r="F169" i="4"/>
  <c r="G169" i="4"/>
  <c r="H169" i="4"/>
  <c r="I169" i="4"/>
  <c r="J169" i="4"/>
  <c r="K169" i="4"/>
  <c r="L169" i="4"/>
  <c r="M169" i="4"/>
  <c r="B170" i="4"/>
  <c r="C170" i="4"/>
  <c r="D170" i="4"/>
  <c r="E170" i="4"/>
  <c r="F170" i="4"/>
  <c r="G170" i="4"/>
  <c r="H170" i="4"/>
  <c r="I170" i="4"/>
  <c r="J170" i="4"/>
  <c r="K170" i="4"/>
  <c r="L170" i="4"/>
  <c r="M170" i="4"/>
  <c r="B171" i="4"/>
  <c r="C171" i="4"/>
  <c r="D171" i="4"/>
  <c r="E171" i="4"/>
  <c r="F171" i="4"/>
  <c r="G171" i="4"/>
  <c r="H171" i="4"/>
  <c r="I171" i="4"/>
  <c r="J171" i="4"/>
  <c r="K171" i="4"/>
  <c r="L171" i="4"/>
  <c r="M171" i="4"/>
  <c r="B172" i="4"/>
  <c r="C172" i="4"/>
  <c r="D172" i="4"/>
  <c r="E172" i="4"/>
  <c r="F172" i="4"/>
  <c r="G172" i="4"/>
  <c r="H172" i="4"/>
  <c r="I172" i="4"/>
  <c r="J172" i="4"/>
  <c r="K172" i="4"/>
  <c r="L172" i="4"/>
  <c r="M172" i="4"/>
  <c r="B173" i="4"/>
  <c r="C173" i="4"/>
  <c r="D173" i="4"/>
  <c r="E173" i="4"/>
  <c r="F173" i="4"/>
  <c r="G173" i="4"/>
  <c r="H173" i="4"/>
  <c r="I173" i="4"/>
  <c r="J173" i="4"/>
  <c r="K173" i="4"/>
  <c r="L173" i="4"/>
  <c r="M173" i="4"/>
  <c r="B174" i="4"/>
  <c r="C174" i="4"/>
  <c r="D174" i="4"/>
  <c r="E174" i="4"/>
  <c r="F174" i="4"/>
  <c r="G174" i="4"/>
  <c r="H174" i="4"/>
  <c r="I174" i="4"/>
  <c r="J174" i="4"/>
  <c r="K174" i="4"/>
  <c r="L174" i="4"/>
  <c r="M174" i="4"/>
  <c r="B175" i="4"/>
  <c r="C175" i="4"/>
  <c r="D175" i="4"/>
  <c r="E175" i="4"/>
  <c r="F175" i="4"/>
  <c r="G175" i="4"/>
  <c r="H175" i="4"/>
  <c r="I175" i="4"/>
  <c r="J175" i="4"/>
  <c r="K175" i="4"/>
  <c r="L175" i="4"/>
  <c r="M175" i="4"/>
  <c r="B176" i="4"/>
  <c r="C176" i="4"/>
  <c r="D176" i="4"/>
  <c r="E176" i="4"/>
  <c r="F176" i="4"/>
  <c r="G176" i="4"/>
  <c r="H176" i="4"/>
  <c r="I176" i="4"/>
  <c r="J176" i="4"/>
  <c r="K176" i="4"/>
  <c r="L176" i="4"/>
  <c r="M176" i="4"/>
  <c r="B177" i="4"/>
  <c r="C177" i="4"/>
  <c r="D177" i="4"/>
  <c r="E177" i="4"/>
  <c r="F177" i="4"/>
  <c r="G177" i="4"/>
  <c r="H177" i="4"/>
  <c r="I177" i="4"/>
  <c r="J177" i="4"/>
  <c r="K177" i="4"/>
  <c r="L177" i="4"/>
  <c r="M177" i="4"/>
  <c r="B178" i="4"/>
  <c r="C178" i="4"/>
  <c r="D178" i="4"/>
  <c r="E178" i="4"/>
  <c r="F178" i="4"/>
  <c r="G178" i="4"/>
  <c r="H178" i="4"/>
  <c r="I178" i="4"/>
  <c r="J178" i="4"/>
  <c r="K178" i="4"/>
  <c r="L178" i="4"/>
  <c r="M178" i="4"/>
  <c r="B179" i="4"/>
  <c r="C179" i="4"/>
  <c r="D179" i="4"/>
  <c r="E179" i="4"/>
  <c r="F179" i="4"/>
  <c r="G179" i="4"/>
  <c r="H179" i="4"/>
  <c r="I179" i="4"/>
  <c r="J179" i="4"/>
  <c r="K179" i="4"/>
  <c r="L179" i="4"/>
  <c r="M179" i="4"/>
  <c r="B180" i="4"/>
  <c r="C180" i="4"/>
  <c r="D180" i="4"/>
  <c r="E180" i="4"/>
  <c r="F180" i="4"/>
  <c r="G180" i="4"/>
  <c r="H180" i="4"/>
  <c r="I180" i="4"/>
  <c r="J180" i="4"/>
  <c r="K180" i="4"/>
  <c r="L180" i="4"/>
  <c r="M180" i="4"/>
  <c r="B181" i="4"/>
  <c r="C181" i="4"/>
  <c r="D181" i="4"/>
  <c r="E181" i="4"/>
  <c r="F181" i="4"/>
  <c r="G181" i="4"/>
  <c r="H181" i="4"/>
  <c r="I181" i="4"/>
  <c r="J181" i="4"/>
  <c r="K181" i="4"/>
  <c r="L181" i="4"/>
  <c r="M181" i="4"/>
  <c r="B182" i="4"/>
  <c r="C182" i="4"/>
  <c r="D182" i="4"/>
  <c r="E182" i="4"/>
  <c r="F182" i="4"/>
  <c r="G182" i="4"/>
  <c r="H182" i="4"/>
  <c r="I182" i="4"/>
  <c r="J182" i="4"/>
  <c r="K182" i="4"/>
  <c r="L182" i="4"/>
  <c r="M182" i="4"/>
  <c r="B183" i="4"/>
  <c r="C183" i="4"/>
  <c r="D183" i="4"/>
  <c r="E183" i="4"/>
  <c r="F183" i="4"/>
  <c r="G183" i="4"/>
  <c r="H183" i="4"/>
  <c r="I183" i="4"/>
  <c r="J183" i="4"/>
  <c r="K183" i="4"/>
  <c r="L183" i="4"/>
  <c r="M183" i="4"/>
  <c r="B184" i="4"/>
  <c r="C184" i="4"/>
  <c r="D184" i="4"/>
  <c r="E184" i="4"/>
  <c r="F184" i="4"/>
  <c r="G184" i="4"/>
  <c r="H184" i="4"/>
  <c r="I184" i="4"/>
  <c r="J184" i="4"/>
  <c r="K184" i="4"/>
  <c r="L184" i="4"/>
  <c r="M184" i="4"/>
  <c r="B185" i="4"/>
  <c r="C185" i="4"/>
  <c r="D185" i="4"/>
  <c r="E185" i="4"/>
  <c r="F185" i="4"/>
  <c r="G185" i="4"/>
  <c r="H185" i="4"/>
  <c r="I185" i="4"/>
  <c r="J185" i="4"/>
  <c r="K185" i="4"/>
  <c r="L185" i="4"/>
  <c r="M185" i="4"/>
  <c r="B186" i="4"/>
  <c r="C186" i="4"/>
  <c r="D186" i="4"/>
  <c r="E186" i="4"/>
  <c r="F186" i="4"/>
  <c r="G186" i="4"/>
  <c r="H186" i="4"/>
  <c r="I186" i="4"/>
  <c r="J186" i="4"/>
  <c r="K186" i="4"/>
  <c r="L186" i="4"/>
  <c r="M186" i="4"/>
  <c r="B187" i="4"/>
  <c r="C187" i="4"/>
  <c r="D187" i="4"/>
  <c r="E187" i="4"/>
  <c r="F187" i="4"/>
  <c r="G187" i="4"/>
  <c r="H187" i="4"/>
  <c r="I187" i="4"/>
  <c r="J187" i="4"/>
  <c r="K187" i="4"/>
  <c r="L187" i="4"/>
  <c r="M187" i="4"/>
  <c r="B188" i="4"/>
  <c r="C188" i="4"/>
  <c r="D188" i="4"/>
  <c r="E188" i="4"/>
  <c r="F188" i="4"/>
  <c r="G188" i="4"/>
  <c r="H188" i="4"/>
  <c r="I188" i="4"/>
  <c r="J188" i="4"/>
  <c r="K188" i="4"/>
  <c r="L188" i="4"/>
  <c r="M188" i="4"/>
  <c r="B189" i="4"/>
  <c r="C189" i="4"/>
  <c r="D189" i="4"/>
  <c r="E189" i="4"/>
  <c r="F189" i="4"/>
  <c r="G189" i="4"/>
  <c r="H189" i="4"/>
  <c r="I189" i="4"/>
  <c r="J189" i="4"/>
  <c r="K189" i="4"/>
  <c r="L189" i="4"/>
  <c r="M189" i="4"/>
  <c r="B190" i="4"/>
  <c r="C190" i="4"/>
  <c r="D190" i="4"/>
  <c r="E190" i="4"/>
  <c r="F190" i="4"/>
  <c r="G190" i="4"/>
  <c r="H190" i="4"/>
  <c r="I190" i="4"/>
  <c r="J190" i="4"/>
  <c r="K190" i="4"/>
  <c r="L190" i="4"/>
  <c r="M190" i="4"/>
  <c r="B191" i="4"/>
  <c r="C191" i="4"/>
  <c r="D191" i="4"/>
  <c r="E191" i="4"/>
  <c r="F191" i="4"/>
  <c r="G191" i="4"/>
  <c r="H191" i="4"/>
  <c r="I191" i="4"/>
  <c r="J191" i="4"/>
  <c r="K191" i="4"/>
  <c r="L191" i="4"/>
  <c r="M191" i="4"/>
  <c r="B192" i="4"/>
  <c r="C192" i="4"/>
  <c r="D192" i="4"/>
  <c r="E192" i="4"/>
  <c r="F192" i="4"/>
  <c r="G192" i="4"/>
  <c r="H192" i="4"/>
  <c r="I192" i="4"/>
  <c r="J192" i="4"/>
  <c r="K192" i="4"/>
  <c r="L192" i="4"/>
  <c r="M192" i="4"/>
  <c r="B193" i="4"/>
  <c r="C193" i="4"/>
  <c r="D193" i="4"/>
  <c r="E193" i="4"/>
  <c r="F193" i="4"/>
  <c r="G193" i="4"/>
  <c r="H193" i="4"/>
  <c r="I193" i="4"/>
  <c r="J193" i="4"/>
  <c r="K193" i="4"/>
  <c r="L193" i="4"/>
  <c r="M193" i="4"/>
  <c r="B194" i="4"/>
  <c r="C194" i="4"/>
  <c r="D194" i="4"/>
  <c r="E194" i="4"/>
  <c r="F194" i="4"/>
  <c r="G194" i="4"/>
  <c r="H194" i="4"/>
  <c r="I194" i="4"/>
  <c r="J194" i="4"/>
  <c r="K194" i="4"/>
  <c r="L194" i="4"/>
  <c r="M194" i="4"/>
  <c r="B195" i="4"/>
  <c r="C195" i="4"/>
  <c r="D195" i="4"/>
  <c r="E195" i="4"/>
  <c r="F195" i="4"/>
  <c r="G195" i="4"/>
  <c r="H195" i="4"/>
  <c r="I195" i="4"/>
  <c r="J195" i="4"/>
  <c r="K195" i="4"/>
  <c r="L195" i="4"/>
  <c r="M195" i="4"/>
  <c r="B196" i="4"/>
  <c r="C196" i="4"/>
  <c r="D196" i="4"/>
  <c r="E196" i="4"/>
  <c r="F196" i="4"/>
  <c r="G196" i="4"/>
  <c r="H196" i="4"/>
  <c r="I196" i="4"/>
  <c r="J196" i="4"/>
  <c r="K196" i="4"/>
  <c r="L196" i="4"/>
  <c r="M196" i="4"/>
  <c r="B197" i="4"/>
  <c r="C197" i="4"/>
  <c r="D197" i="4"/>
  <c r="E197" i="4"/>
  <c r="F197" i="4"/>
  <c r="G197" i="4"/>
  <c r="H197" i="4"/>
  <c r="I197" i="4"/>
  <c r="J197" i="4"/>
  <c r="K197" i="4"/>
  <c r="L197" i="4"/>
  <c r="M197" i="4"/>
  <c r="B198" i="4"/>
  <c r="C198" i="4"/>
  <c r="D198" i="4"/>
  <c r="E198" i="4"/>
  <c r="F198" i="4"/>
  <c r="G198" i="4"/>
  <c r="H198" i="4"/>
  <c r="I198" i="4"/>
  <c r="J198" i="4"/>
  <c r="K198" i="4"/>
  <c r="L198" i="4"/>
  <c r="M198" i="4"/>
  <c r="B199" i="4"/>
  <c r="C199" i="4"/>
  <c r="D199" i="4"/>
  <c r="E199" i="4"/>
  <c r="F199" i="4"/>
  <c r="G199" i="4"/>
  <c r="H199" i="4"/>
  <c r="I199" i="4"/>
  <c r="J199" i="4"/>
  <c r="K199" i="4"/>
  <c r="L199" i="4"/>
  <c r="M199" i="4"/>
  <c r="B200" i="4"/>
  <c r="C200" i="4"/>
  <c r="D200" i="4"/>
  <c r="E200" i="4"/>
  <c r="F200" i="4"/>
  <c r="G200" i="4"/>
  <c r="H200" i="4"/>
  <c r="I200" i="4"/>
  <c r="J200" i="4"/>
  <c r="K200" i="4"/>
  <c r="L200" i="4"/>
  <c r="M200" i="4"/>
  <c r="B201" i="4"/>
  <c r="C201" i="4"/>
  <c r="D201" i="4"/>
  <c r="E201" i="4"/>
  <c r="F201" i="4"/>
  <c r="G201" i="4"/>
  <c r="H201" i="4"/>
  <c r="I201" i="4"/>
  <c r="J201" i="4"/>
  <c r="K201" i="4"/>
  <c r="L201" i="4"/>
  <c r="M201" i="4"/>
  <c r="B202" i="4"/>
  <c r="C202" i="4"/>
  <c r="D202" i="4"/>
  <c r="E202" i="4"/>
  <c r="F202" i="4"/>
  <c r="G202" i="4"/>
  <c r="H202" i="4"/>
  <c r="I202" i="4"/>
  <c r="J202" i="4"/>
  <c r="K202" i="4"/>
  <c r="L202" i="4"/>
  <c r="M202" i="4"/>
  <c r="B203" i="4"/>
  <c r="C203" i="4"/>
  <c r="D203" i="4"/>
  <c r="E203" i="4"/>
  <c r="F203" i="4"/>
  <c r="G203" i="4"/>
  <c r="H203" i="4"/>
  <c r="I203" i="4"/>
  <c r="J203" i="4"/>
  <c r="K203" i="4"/>
  <c r="L203" i="4"/>
  <c r="M203" i="4"/>
  <c r="B204" i="4"/>
  <c r="C204" i="4"/>
  <c r="D204" i="4"/>
  <c r="E204" i="4"/>
  <c r="F204" i="4"/>
  <c r="G204" i="4"/>
  <c r="H204" i="4"/>
  <c r="I204" i="4"/>
  <c r="J204" i="4"/>
  <c r="K204" i="4"/>
  <c r="L204" i="4"/>
  <c r="M204" i="4"/>
  <c r="B205" i="4"/>
  <c r="C205" i="4"/>
  <c r="D205" i="4"/>
  <c r="E205" i="4"/>
  <c r="F205" i="4"/>
  <c r="G205" i="4"/>
  <c r="H205" i="4"/>
  <c r="I205" i="4"/>
  <c r="J205" i="4"/>
  <c r="K205" i="4"/>
  <c r="L205" i="4"/>
  <c r="M205" i="4"/>
  <c r="B206" i="4"/>
  <c r="C206" i="4"/>
  <c r="D206" i="4"/>
  <c r="E206" i="4"/>
  <c r="F206" i="4"/>
  <c r="G206" i="4"/>
  <c r="H206" i="4"/>
  <c r="I206" i="4"/>
  <c r="J206" i="4"/>
  <c r="K206" i="4"/>
  <c r="L206" i="4"/>
  <c r="M206" i="4"/>
  <c r="B207" i="4"/>
  <c r="C207" i="4"/>
  <c r="D207" i="4"/>
  <c r="E207" i="4"/>
  <c r="F207" i="4"/>
  <c r="G207" i="4"/>
  <c r="H207" i="4"/>
  <c r="I207" i="4"/>
  <c r="J207" i="4"/>
  <c r="K207" i="4"/>
  <c r="L207" i="4"/>
  <c r="M207" i="4"/>
  <c r="B208" i="4"/>
  <c r="C208" i="4"/>
  <c r="D208" i="4"/>
  <c r="E208" i="4"/>
  <c r="F208" i="4"/>
  <c r="G208" i="4"/>
  <c r="H208" i="4"/>
  <c r="I208" i="4"/>
  <c r="J208" i="4"/>
  <c r="K208" i="4"/>
  <c r="L208" i="4"/>
  <c r="M208" i="4"/>
  <c r="B209" i="4"/>
  <c r="C209" i="4"/>
  <c r="D209" i="4"/>
  <c r="E209" i="4"/>
  <c r="F209" i="4"/>
  <c r="G209" i="4"/>
  <c r="H209" i="4"/>
  <c r="I209" i="4"/>
  <c r="J209" i="4"/>
  <c r="K209" i="4"/>
  <c r="L209" i="4"/>
  <c r="M209" i="4"/>
  <c r="B210" i="4"/>
  <c r="C210" i="4"/>
  <c r="D210" i="4"/>
  <c r="E210" i="4"/>
  <c r="F210" i="4"/>
  <c r="G210" i="4"/>
  <c r="H210" i="4"/>
  <c r="I210" i="4"/>
  <c r="J210" i="4"/>
  <c r="K210" i="4"/>
  <c r="L210" i="4"/>
  <c r="M210" i="4"/>
  <c r="B211" i="4"/>
  <c r="C211" i="4"/>
  <c r="D211" i="4"/>
  <c r="E211" i="4"/>
  <c r="F211" i="4"/>
  <c r="G211" i="4"/>
  <c r="H211" i="4"/>
  <c r="I211" i="4"/>
  <c r="J211" i="4"/>
  <c r="K211" i="4"/>
  <c r="L211" i="4"/>
  <c r="M211" i="4"/>
  <c r="B212" i="4"/>
  <c r="C212" i="4"/>
  <c r="D212" i="4"/>
  <c r="E212" i="4"/>
  <c r="F212" i="4"/>
  <c r="G212" i="4"/>
  <c r="H212" i="4"/>
  <c r="I212" i="4"/>
  <c r="J212" i="4"/>
  <c r="K212" i="4"/>
  <c r="L212" i="4"/>
  <c r="M212" i="4"/>
  <c r="B213" i="4"/>
  <c r="C213" i="4"/>
  <c r="D213" i="4"/>
  <c r="E213" i="4"/>
  <c r="F213" i="4"/>
  <c r="G213" i="4"/>
  <c r="H213" i="4"/>
  <c r="I213" i="4"/>
  <c r="J213" i="4"/>
  <c r="K213" i="4"/>
  <c r="L213" i="4"/>
  <c r="M213" i="4"/>
  <c r="B214" i="4"/>
  <c r="C214" i="4"/>
  <c r="D214" i="4"/>
  <c r="E214" i="4"/>
  <c r="F214" i="4"/>
  <c r="G214" i="4"/>
  <c r="H214" i="4"/>
  <c r="I214" i="4"/>
  <c r="J214" i="4"/>
  <c r="K214" i="4"/>
  <c r="L214" i="4"/>
  <c r="M214" i="4"/>
  <c r="B215" i="4"/>
  <c r="C215" i="4"/>
  <c r="D215" i="4"/>
  <c r="E215" i="4"/>
  <c r="F215" i="4"/>
  <c r="G215" i="4"/>
  <c r="H215" i="4"/>
  <c r="I215" i="4"/>
  <c r="J215" i="4"/>
  <c r="K215" i="4"/>
  <c r="L215" i="4"/>
  <c r="M215" i="4"/>
  <c r="B216" i="4"/>
  <c r="C216" i="4"/>
  <c r="D216" i="4"/>
  <c r="E216" i="4"/>
  <c r="F216" i="4"/>
  <c r="G216" i="4"/>
  <c r="H216" i="4"/>
  <c r="I216" i="4"/>
  <c r="J216" i="4"/>
  <c r="K216" i="4"/>
  <c r="L216" i="4"/>
  <c r="M216" i="4"/>
  <c r="B217" i="4"/>
  <c r="C217" i="4"/>
  <c r="D217" i="4"/>
  <c r="E217" i="4"/>
  <c r="F217" i="4"/>
  <c r="G217" i="4"/>
  <c r="H217" i="4"/>
  <c r="I217" i="4"/>
  <c r="J217" i="4"/>
  <c r="K217" i="4"/>
  <c r="L217" i="4"/>
  <c r="M217" i="4"/>
  <c r="B218" i="4"/>
  <c r="C218" i="4"/>
  <c r="D218" i="4"/>
  <c r="E218" i="4"/>
  <c r="F218" i="4"/>
  <c r="G218" i="4"/>
  <c r="H218" i="4"/>
  <c r="I218" i="4"/>
  <c r="J218" i="4"/>
  <c r="K218" i="4"/>
  <c r="L218" i="4"/>
  <c r="M218" i="4"/>
  <c r="B219" i="4"/>
  <c r="C219" i="4"/>
  <c r="D219" i="4"/>
  <c r="E219" i="4"/>
  <c r="F219" i="4"/>
  <c r="G219" i="4"/>
  <c r="H219" i="4"/>
  <c r="I219" i="4"/>
  <c r="J219" i="4"/>
  <c r="K219" i="4"/>
  <c r="L219" i="4"/>
  <c r="M219" i="4"/>
  <c r="B220" i="4"/>
  <c r="C220" i="4"/>
  <c r="D220" i="4"/>
  <c r="E220" i="4"/>
  <c r="F220" i="4"/>
  <c r="G220" i="4"/>
  <c r="H220" i="4"/>
  <c r="I220" i="4"/>
  <c r="J220" i="4"/>
  <c r="K220" i="4"/>
  <c r="L220" i="4"/>
  <c r="M220" i="4"/>
  <c r="B221" i="4"/>
  <c r="C221" i="4"/>
  <c r="D221" i="4"/>
  <c r="E221" i="4"/>
  <c r="F221" i="4"/>
  <c r="G221" i="4"/>
  <c r="H221" i="4"/>
  <c r="I221" i="4"/>
  <c r="J221" i="4"/>
  <c r="K221" i="4"/>
  <c r="L221" i="4"/>
  <c r="M221" i="4"/>
  <c r="B222" i="4"/>
  <c r="C222" i="4"/>
  <c r="D222" i="4"/>
  <c r="E222" i="4"/>
  <c r="F222" i="4"/>
  <c r="G222" i="4"/>
  <c r="H222" i="4"/>
  <c r="I222" i="4"/>
  <c r="J222" i="4"/>
  <c r="K222" i="4"/>
  <c r="L222" i="4"/>
  <c r="M222" i="4"/>
  <c r="B223" i="4"/>
  <c r="C223" i="4"/>
  <c r="D223" i="4"/>
  <c r="E223" i="4"/>
  <c r="F223" i="4"/>
  <c r="G223" i="4"/>
  <c r="H223" i="4"/>
  <c r="I223" i="4"/>
  <c r="J223" i="4"/>
  <c r="K223" i="4"/>
  <c r="L223" i="4"/>
  <c r="M223" i="4"/>
  <c r="B224" i="4"/>
  <c r="C224" i="4"/>
  <c r="D224" i="4"/>
  <c r="E224" i="4"/>
  <c r="F224" i="4"/>
  <c r="G224" i="4"/>
  <c r="H224" i="4"/>
  <c r="I224" i="4"/>
  <c r="J224" i="4"/>
  <c r="K224" i="4"/>
  <c r="L224" i="4"/>
  <c r="M224" i="4"/>
  <c r="B225" i="4"/>
  <c r="C225" i="4"/>
  <c r="D225" i="4"/>
  <c r="E225" i="4"/>
  <c r="F225" i="4"/>
  <c r="G225" i="4"/>
  <c r="H225" i="4"/>
  <c r="I225" i="4"/>
  <c r="J225" i="4"/>
  <c r="K225" i="4"/>
  <c r="L225" i="4"/>
  <c r="M225" i="4"/>
  <c r="B226" i="4"/>
  <c r="C226" i="4"/>
  <c r="D226" i="4"/>
  <c r="E226" i="4"/>
  <c r="F226" i="4"/>
  <c r="G226" i="4"/>
  <c r="H226" i="4"/>
  <c r="I226" i="4"/>
  <c r="J226" i="4"/>
  <c r="K226" i="4"/>
  <c r="L226" i="4"/>
  <c r="M226" i="4"/>
  <c r="B227" i="4"/>
  <c r="C227" i="4"/>
  <c r="D227" i="4"/>
  <c r="E227" i="4"/>
  <c r="F227" i="4"/>
  <c r="G227" i="4"/>
  <c r="H227" i="4"/>
  <c r="I227" i="4"/>
  <c r="J227" i="4"/>
  <c r="K227" i="4"/>
  <c r="L227" i="4"/>
  <c r="M227" i="4"/>
  <c r="B228" i="4"/>
  <c r="C228" i="4"/>
  <c r="D228" i="4"/>
  <c r="E228" i="4"/>
  <c r="F228" i="4"/>
  <c r="G228" i="4"/>
  <c r="H228" i="4"/>
  <c r="I228" i="4"/>
  <c r="J228" i="4"/>
  <c r="K228" i="4"/>
  <c r="L228" i="4"/>
  <c r="M228" i="4"/>
  <c r="B229" i="4"/>
  <c r="C229" i="4"/>
  <c r="D229" i="4"/>
  <c r="E229" i="4"/>
  <c r="F229" i="4"/>
  <c r="G229" i="4"/>
  <c r="H229" i="4"/>
  <c r="I229" i="4"/>
  <c r="J229" i="4"/>
  <c r="K229" i="4"/>
  <c r="L229" i="4"/>
  <c r="M229" i="4"/>
  <c r="B230" i="4"/>
  <c r="C230" i="4"/>
  <c r="D230" i="4"/>
  <c r="E230" i="4"/>
  <c r="F230" i="4"/>
  <c r="G230" i="4"/>
  <c r="H230" i="4"/>
  <c r="I230" i="4"/>
  <c r="J230" i="4"/>
  <c r="K230" i="4"/>
  <c r="L230" i="4"/>
  <c r="M230" i="4"/>
  <c r="B231" i="4"/>
  <c r="C231" i="4"/>
  <c r="D231" i="4"/>
  <c r="E231" i="4"/>
  <c r="F231" i="4"/>
  <c r="G231" i="4"/>
  <c r="H231" i="4"/>
  <c r="I231" i="4"/>
  <c r="J231" i="4"/>
  <c r="K231" i="4"/>
  <c r="L231" i="4"/>
  <c r="M231" i="4"/>
  <c r="B232" i="4"/>
  <c r="C232" i="4"/>
  <c r="D232" i="4"/>
  <c r="E232" i="4"/>
  <c r="F232" i="4"/>
  <c r="G232" i="4"/>
  <c r="H232" i="4"/>
  <c r="I232" i="4"/>
  <c r="J232" i="4"/>
  <c r="K232" i="4"/>
  <c r="L232" i="4"/>
  <c r="M232" i="4"/>
  <c r="B233" i="4"/>
  <c r="C233" i="4"/>
  <c r="D233" i="4"/>
  <c r="E233" i="4"/>
  <c r="F233" i="4"/>
  <c r="G233" i="4"/>
  <c r="H233" i="4"/>
  <c r="I233" i="4"/>
  <c r="J233" i="4"/>
  <c r="K233" i="4"/>
  <c r="L233" i="4"/>
  <c r="M233" i="4"/>
  <c r="B234" i="4"/>
  <c r="C234" i="4"/>
  <c r="D234" i="4"/>
  <c r="E234" i="4"/>
  <c r="F234" i="4"/>
  <c r="G234" i="4"/>
  <c r="H234" i="4"/>
  <c r="I234" i="4"/>
  <c r="J234" i="4"/>
  <c r="K234" i="4"/>
  <c r="L234" i="4"/>
  <c r="M234" i="4"/>
  <c r="B235" i="4"/>
  <c r="C235" i="4"/>
  <c r="D235" i="4"/>
  <c r="E235" i="4"/>
  <c r="F235" i="4"/>
  <c r="G235" i="4"/>
  <c r="H235" i="4"/>
  <c r="I235" i="4"/>
  <c r="J235" i="4"/>
  <c r="K235" i="4"/>
  <c r="L235" i="4"/>
  <c r="M235" i="4"/>
  <c r="B236" i="4"/>
  <c r="C236" i="4"/>
  <c r="D236" i="4"/>
  <c r="E236" i="4"/>
  <c r="F236" i="4"/>
  <c r="G236" i="4"/>
  <c r="H236" i="4"/>
  <c r="I236" i="4"/>
  <c r="J236" i="4"/>
  <c r="K236" i="4"/>
  <c r="L236" i="4"/>
  <c r="M236" i="4"/>
  <c r="B237" i="4"/>
  <c r="C237" i="4"/>
  <c r="D237" i="4"/>
  <c r="E237" i="4"/>
  <c r="F237" i="4"/>
  <c r="G237" i="4"/>
  <c r="H237" i="4"/>
  <c r="I237" i="4"/>
  <c r="J237" i="4"/>
  <c r="K237" i="4"/>
  <c r="L237" i="4"/>
  <c r="M237" i="4"/>
  <c r="B238" i="4"/>
  <c r="C238" i="4"/>
  <c r="D238" i="4"/>
  <c r="E238" i="4"/>
  <c r="F238" i="4"/>
  <c r="G238" i="4"/>
  <c r="H238" i="4"/>
  <c r="I238" i="4"/>
  <c r="J238" i="4"/>
  <c r="K238" i="4"/>
  <c r="L238" i="4"/>
  <c r="M238" i="4"/>
  <c r="B239" i="4"/>
  <c r="C239" i="4"/>
  <c r="D239" i="4"/>
  <c r="E239" i="4"/>
  <c r="F239" i="4"/>
  <c r="G239" i="4"/>
  <c r="H239" i="4"/>
  <c r="I239" i="4"/>
  <c r="J239" i="4"/>
  <c r="K239" i="4"/>
  <c r="L239" i="4"/>
  <c r="M239" i="4"/>
  <c r="B240" i="4"/>
  <c r="C240" i="4"/>
  <c r="D240" i="4"/>
  <c r="E240" i="4"/>
  <c r="F240" i="4"/>
  <c r="G240" i="4"/>
  <c r="H240" i="4"/>
  <c r="I240" i="4"/>
  <c r="J240" i="4"/>
  <c r="K240" i="4"/>
  <c r="L240" i="4"/>
  <c r="M240" i="4"/>
  <c r="B241" i="4"/>
  <c r="C241" i="4"/>
  <c r="D241" i="4"/>
  <c r="E241" i="4"/>
  <c r="F241" i="4"/>
  <c r="G241" i="4"/>
  <c r="H241" i="4"/>
  <c r="I241" i="4"/>
  <c r="J241" i="4"/>
  <c r="K241" i="4"/>
  <c r="L241" i="4"/>
  <c r="M241" i="4"/>
  <c r="B242" i="4"/>
  <c r="C242" i="4"/>
  <c r="D242" i="4"/>
  <c r="E242" i="4"/>
  <c r="F242" i="4"/>
  <c r="G242" i="4"/>
  <c r="H242" i="4"/>
  <c r="I242" i="4"/>
  <c r="J242" i="4"/>
  <c r="K242" i="4"/>
  <c r="L242" i="4"/>
  <c r="M242" i="4"/>
  <c r="B243" i="4"/>
  <c r="C243" i="4"/>
  <c r="D243" i="4"/>
  <c r="E243" i="4"/>
  <c r="F243" i="4"/>
  <c r="G243" i="4"/>
  <c r="H243" i="4"/>
  <c r="I243" i="4"/>
  <c r="J243" i="4"/>
  <c r="K243" i="4"/>
  <c r="L243" i="4"/>
  <c r="M243" i="4"/>
  <c r="B244" i="4"/>
  <c r="C244" i="4"/>
  <c r="D244" i="4"/>
  <c r="E244" i="4"/>
  <c r="F244" i="4"/>
  <c r="G244" i="4"/>
  <c r="H244" i="4"/>
  <c r="I244" i="4"/>
  <c r="J244" i="4"/>
  <c r="K244" i="4"/>
  <c r="L244" i="4"/>
  <c r="M244" i="4"/>
  <c r="B245" i="4"/>
  <c r="C245" i="4"/>
  <c r="D245" i="4"/>
  <c r="E245" i="4"/>
  <c r="F245" i="4"/>
  <c r="G245" i="4"/>
  <c r="H245" i="4"/>
  <c r="I245" i="4"/>
  <c r="J245" i="4"/>
  <c r="K245" i="4"/>
  <c r="L245" i="4"/>
  <c r="M245" i="4"/>
  <c r="B246" i="4"/>
  <c r="C246" i="4"/>
  <c r="D246" i="4"/>
  <c r="E246" i="4"/>
  <c r="F246" i="4"/>
  <c r="G246" i="4"/>
  <c r="H246" i="4"/>
  <c r="I246" i="4"/>
  <c r="J246" i="4"/>
  <c r="K246" i="4"/>
  <c r="L246" i="4"/>
  <c r="M246" i="4"/>
  <c r="B247" i="4"/>
  <c r="C247" i="4"/>
  <c r="D247" i="4"/>
  <c r="E247" i="4"/>
  <c r="F247" i="4"/>
  <c r="G247" i="4"/>
  <c r="H247" i="4"/>
  <c r="I247" i="4"/>
  <c r="J247" i="4"/>
  <c r="K247" i="4"/>
  <c r="L247" i="4"/>
  <c r="M247" i="4"/>
  <c r="B248" i="4"/>
  <c r="C248" i="4"/>
  <c r="D248" i="4"/>
  <c r="E248" i="4"/>
  <c r="F248" i="4"/>
  <c r="G248" i="4"/>
  <c r="H248" i="4"/>
  <c r="I248" i="4"/>
  <c r="J248" i="4"/>
  <c r="K248" i="4"/>
  <c r="L248" i="4"/>
  <c r="M248" i="4"/>
  <c r="B249" i="4"/>
  <c r="C249" i="4"/>
  <c r="D249" i="4"/>
  <c r="E249" i="4"/>
  <c r="F249" i="4"/>
  <c r="G249" i="4"/>
  <c r="H249" i="4"/>
  <c r="I249" i="4"/>
  <c r="J249" i="4"/>
  <c r="K249" i="4"/>
  <c r="L249" i="4"/>
  <c r="M249" i="4"/>
  <c r="B250" i="4"/>
  <c r="C250" i="4"/>
  <c r="D250" i="4"/>
  <c r="E250" i="4"/>
  <c r="F250" i="4"/>
  <c r="G250" i="4"/>
  <c r="H250" i="4"/>
  <c r="I250" i="4"/>
  <c r="J250" i="4"/>
  <c r="K250" i="4"/>
  <c r="L250" i="4"/>
  <c r="M250" i="4"/>
  <c r="B251" i="4"/>
  <c r="C251" i="4"/>
  <c r="D251" i="4"/>
  <c r="E251" i="4"/>
  <c r="F251" i="4"/>
  <c r="G251" i="4"/>
  <c r="H251" i="4"/>
  <c r="I251" i="4"/>
  <c r="J251" i="4"/>
  <c r="K251" i="4"/>
  <c r="L251" i="4"/>
  <c r="M251" i="4"/>
  <c r="B252" i="4"/>
  <c r="C252" i="4"/>
  <c r="D252" i="4"/>
  <c r="E252" i="4"/>
  <c r="F252" i="4"/>
  <c r="G252" i="4"/>
  <c r="H252" i="4"/>
  <c r="I252" i="4"/>
  <c r="J252" i="4"/>
  <c r="K252" i="4"/>
  <c r="L252" i="4"/>
  <c r="M252" i="4"/>
  <c r="B253" i="4"/>
  <c r="C253" i="4"/>
  <c r="D253" i="4"/>
  <c r="E253" i="4"/>
  <c r="F253" i="4"/>
  <c r="G253" i="4"/>
  <c r="H253" i="4"/>
  <c r="I253" i="4"/>
  <c r="J253" i="4"/>
  <c r="K253" i="4"/>
  <c r="L253" i="4"/>
  <c r="M253" i="4"/>
  <c r="B254" i="4"/>
  <c r="C254" i="4"/>
  <c r="D254" i="4"/>
  <c r="E254" i="4"/>
  <c r="F254" i="4"/>
  <c r="G254" i="4"/>
  <c r="H254" i="4"/>
  <c r="I254" i="4"/>
  <c r="J254" i="4"/>
  <c r="K254" i="4"/>
  <c r="L254" i="4"/>
  <c r="M254" i="4"/>
  <c r="B255" i="4"/>
  <c r="C255" i="4"/>
  <c r="D255" i="4"/>
  <c r="E255" i="4"/>
  <c r="F255" i="4"/>
  <c r="G255" i="4"/>
  <c r="H255" i="4"/>
  <c r="I255" i="4"/>
  <c r="J255" i="4"/>
  <c r="K255" i="4"/>
  <c r="L255" i="4"/>
  <c r="M255" i="4"/>
  <c r="B256" i="4"/>
  <c r="C256" i="4"/>
  <c r="D256" i="4"/>
  <c r="E256" i="4"/>
  <c r="F256" i="4"/>
  <c r="G256" i="4"/>
  <c r="H256" i="4"/>
  <c r="I256" i="4"/>
  <c r="J256" i="4"/>
  <c r="K256" i="4"/>
  <c r="L256" i="4"/>
  <c r="M256" i="4"/>
  <c r="B257" i="4"/>
  <c r="C257" i="4"/>
  <c r="D257" i="4"/>
  <c r="E257" i="4"/>
  <c r="F257" i="4"/>
  <c r="G257" i="4"/>
  <c r="H257" i="4"/>
  <c r="I257" i="4"/>
  <c r="J257" i="4"/>
  <c r="K257" i="4"/>
  <c r="L257" i="4"/>
  <c r="M257" i="4"/>
  <c r="B258" i="4"/>
  <c r="C258" i="4"/>
  <c r="D258" i="4"/>
  <c r="E258" i="4"/>
  <c r="F258" i="4"/>
  <c r="G258" i="4"/>
  <c r="H258" i="4"/>
  <c r="I258" i="4"/>
  <c r="J258" i="4"/>
  <c r="K258" i="4"/>
  <c r="L258" i="4"/>
  <c r="M258" i="4"/>
  <c r="B259" i="4"/>
  <c r="C259" i="4"/>
  <c r="D259" i="4"/>
  <c r="E259" i="4"/>
  <c r="F259" i="4"/>
  <c r="G259" i="4"/>
  <c r="H259" i="4"/>
  <c r="I259" i="4"/>
  <c r="J259" i="4"/>
  <c r="K259" i="4"/>
  <c r="L259" i="4"/>
  <c r="M259" i="4"/>
  <c r="B260" i="4"/>
  <c r="C260" i="4"/>
  <c r="D260" i="4"/>
  <c r="E260" i="4"/>
  <c r="F260" i="4"/>
  <c r="G260" i="4"/>
  <c r="H260" i="4"/>
  <c r="I260" i="4"/>
  <c r="J260" i="4"/>
  <c r="K260" i="4"/>
  <c r="L260" i="4"/>
  <c r="M260" i="4"/>
  <c r="B261" i="4"/>
  <c r="C261" i="4"/>
  <c r="D261" i="4"/>
  <c r="E261" i="4"/>
  <c r="F261" i="4"/>
  <c r="G261" i="4"/>
  <c r="H261" i="4"/>
  <c r="I261" i="4"/>
  <c r="J261" i="4"/>
  <c r="K261" i="4"/>
  <c r="L261" i="4"/>
  <c r="M261" i="4"/>
  <c r="B262" i="4"/>
  <c r="C262" i="4"/>
  <c r="D262" i="4"/>
  <c r="E262" i="4"/>
  <c r="F262" i="4"/>
  <c r="G262" i="4"/>
  <c r="H262" i="4"/>
  <c r="I262" i="4"/>
  <c r="J262" i="4"/>
  <c r="K262" i="4"/>
  <c r="L262" i="4"/>
  <c r="M262" i="4"/>
  <c r="B263" i="4"/>
  <c r="C263" i="4"/>
  <c r="D263" i="4"/>
  <c r="E263" i="4"/>
  <c r="F263" i="4"/>
  <c r="G263" i="4"/>
  <c r="H263" i="4"/>
  <c r="I263" i="4"/>
  <c r="J263" i="4"/>
  <c r="K263" i="4"/>
  <c r="L263" i="4"/>
  <c r="M263" i="4"/>
  <c r="B264" i="4"/>
  <c r="C264" i="4"/>
  <c r="D264" i="4"/>
  <c r="E264" i="4"/>
  <c r="F264" i="4"/>
  <c r="G264" i="4"/>
  <c r="H264" i="4"/>
  <c r="I264" i="4"/>
  <c r="J264" i="4"/>
  <c r="K264" i="4"/>
  <c r="L264" i="4"/>
  <c r="M264" i="4"/>
  <c r="B265" i="4"/>
  <c r="C265" i="4"/>
  <c r="D265" i="4"/>
  <c r="E265" i="4"/>
  <c r="F265" i="4"/>
  <c r="G265" i="4"/>
  <c r="H265" i="4"/>
  <c r="I265" i="4"/>
  <c r="J265" i="4"/>
  <c r="K265" i="4"/>
  <c r="L265" i="4"/>
  <c r="M265" i="4"/>
  <c r="B266" i="4"/>
  <c r="C266" i="4"/>
  <c r="D266" i="4"/>
  <c r="E266" i="4"/>
  <c r="F266" i="4"/>
  <c r="G266" i="4"/>
  <c r="H266" i="4"/>
  <c r="I266" i="4"/>
  <c r="J266" i="4"/>
  <c r="K266" i="4"/>
  <c r="L266" i="4"/>
  <c r="M266" i="4"/>
  <c r="B267" i="4"/>
  <c r="C267" i="4"/>
  <c r="D267" i="4"/>
  <c r="E267" i="4"/>
  <c r="F267" i="4"/>
  <c r="G267" i="4"/>
  <c r="H267" i="4"/>
  <c r="I267" i="4"/>
  <c r="J267" i="4"/>
  <c r="K267" i="4"/>
  <c r="L267" i="4"/>
  <c r="M267" i="4"/>
  <c r="B268" i="4"/>
  <c r="C268" i="4"/>
  <c r="D268" i="4"/>
  <c r="E268" i="4"/>
  <c r="F268" i="4"/>
  <c r="G268" i="4"/>
  <c r="H268" i="4"/>
  <c r="I268" i="4"/>
  <c r="J268" i="4"/>
  <c r="K268" i="4"/>
  <c r="L268" i="4"/>
  <c r="M268" i="4"/>
  <c r="B269" i="4"/>
  <c r="C269" i="4"/>
  <c r="D269" i="4"/>
  <c r="E269" i="4"/>
  <c r="F269" i="4"/>
  <c r="G269" i="4"/>
  <c r="H269" i="4"/>
  <c r="I269" i="4"/>
  <c r="J269" i="4"/>
  <c r="K269" i="4"/>
  <c r="L269" i="4"/>
  <c r="M269" i="4"/>
  <c r="B270" i="4"/>
  <c r="C270" i="4"/>
  <c r="D270" i="4"/>
  <c r="E270" i="4"/>
  <c r="F270" i="4"/>
  <c r="G270" i="4"/>
  <c r="H270" i="4"/>
  <c r="I270" i="4"/>
  <c r="J270" i="4"/>
  <c r="K270" i="4"/>
  <c r="L270" i="4"/>
  <c r="M270" i="4"/>
  <c r="B271" i="4"/>
  <c r="C271" i="4"/>
  <c r="D271" i="4"/>
  <c r="E271" i="4"/>
  <c r="F271" i="4"/>
  <c r="G271" i="4"/>
  <c r="H271" i="4"/>
  <c r="I271" i="4"/>
  <c r="J271" i="4"/>
  <c r="K271" i="4"/>
  <c r="L271" i="4"/>
  <c r="M271" i="4"/>
  <c r="B272" i="4"/>
  <c r="C272" i="4"/>
  <c r="D272" i="4"/>
  <c r="E272" i="4"/>
  <c r="F272" i="4"/>
  <c r="G272" i="4"/>
  <c r="H272" i="4"/>
  <c r="I272" i="4"/>
  <c r="J272" i="4"/>
  <c r="K272" i="4"/>
  <c r="L272" i="4"/>
  <c r="M272" i="4"/>
  <c r="B273" i="4"/>
  <c r="C273" i="4"/>
  <c r="D273" i="4"/>
  <c r="E273" i="4"/>
  <c r="F273" i="4"/>
  <c r="G273" i="4"/>
  <c r="H273" i="4"/>
  <c r="I273" i="4"/>
  <c r="J273" i="4"/>
  <c r="K273" i="4"/>
  <c r="L273" i="4"/>
  <c r="M273" i="4"/>
  <c r="B274" i="4"/>
  <c r="C274" i="4"/>
  <c r="D274" i="4"/>
  <c r="E274" i="4"/>
  <c r="F274" i="4"/>
  <c r="G274" i="4"/>
  <c r="H274" i="4"/>
  <c r="I274" i="4"/>
  <c r="J274" i="4"/>
  <c r="K274" i="4"/>
  <c r="L274" i="4"/>
  <c r="M274" i="4"/>
  <c r="B275" i="4"/>
  <c r="C275" i="4"/>
  <c r="D275" i="4"/>
  <c r="E275" i="4"/>
  <c r="F275" i="4"/>
  <c r="G275" i="4"/>
  <c r="H275" i="4"/>
  <c r="I275" i="4"/>
  <c r="J275" i="4"/>
  <c r="K275" i="4"/>
  <c r="L275" i="4"/>
  <c r="M275" i="4"/>
  <c r="B276" i="4"/>
  <c r="C276" i="4"/>
  <c r="D276" i="4"/>
  <c r="E276" i="4"/>
  <c r="F276" i="4"/>
  <c r="G276" i="4"/>
  <c r="H276" i="4"/>
  <c r="I276" i="4"/>
  <c r="J276" i="4"/>
  <c r="K276" i="4"/>
  <c r="L276" i="4"/>
  <c r="M276" i="4"/>
  <c r="B277" i="4"/>
  <c r="C277" i="4"/>
  <c r="D277" i="4"/>
  <c r="E277" i="4"/>
  <c r="F277" i="4"/>
  <c r="G277" i="4"/>
  <c r="H277" i="4"/>
  <c r="I277" i="4"/>
  <c r="J277" i="4"/>
  <c r="K277" i="4"/>
  <c r="L277" i="4"/>
  <c r="M277" i="4"/>
  <c r="B278" i="4"/>
  <c r="C278" i="4"/>
  <c r="D278" i="4"/>
  <c r="E278" i="4"/>
  <c r="F278" i="4"/>
  <c r="G278" i="4"/>
  <c r="H278" i="4"/>
  <c r="I278" i="4"/>
  <c r="J278" i="4"/>
  <c r="K278" i="4"/>
  <c r="L278" i="4"/>
  <c r="M278" i="4"/>
  <c r="B279" i="4"/>
  <c r="C279" i="4"/>
  <c r="D279" i="4"/>
  <c r="E279" i="4"/>
  <c r="F279" i="4"/>
  <c r="G279" i="4"/>
  <c r="H279" i="4"/>
  <c r="I279" i="4"/>
  <c r="J279" i="4"/>
  <c r="K279" i="4"/>
  <c r="L279" i="4"/>
  <c r="M279" i="4"/>
  <c r="B280" i="4"/>
  <c r="C280" i="4"/>
  <c r="D280" i="4"/>
  <c r="E280" i="4"/>
  <c r="F280" i="4"/>
  <c r="G280" i="4"/>
  <c r="H280" i="4"/>
  <c r="I280" i="4"/>
  <c r="J280" i="4"/>
  <c r="K280" i="4"/>
  <c r="L280" i="4"/>
  <c r="M280" i="4"/>
  <c r="B281" i="4"/>
  <c r="C281" i="4"/>
  <c r="D281" i="4"/>
  <c r="E281" i="4"/>
  <c r="F281" i="4"/>
  <c r="G281" i="4"/>
  <c r="H281" i="4"/>
  <c r="I281" i="4"/>
  <c r="J281" i="4"/>
  <c r="K281" i="4"/>
  <c r="L281" i="4"/>
  <c r="M281" i="4"/>
  <c r="B282" i="4"/>
  <c r="C282" i="4"/>
  <c r="D282" i="4"/>
  <c r="E282" i="4"/>
  <c r="F282" i="4"/>
  <c r="G282" i="4"/>
  <c r="H282" i="4"/>
  <c r="I282" i="4"/>
  <c r="J282" i="4"/>
  <c r="K282" i="4"/>
  <c r="L282" i="4"/>
  <c r="M282" i="4"/>
  <c r="B283" i="4"/>
  <c r="C283" i="4"/>
  <c r="D283" i="4"/>
  <c r="E283" i="4"/>
  <c r="F283" i="4"/>
  <c r="G283" i="4"/>
  <c r="H283" i="4"/>
  <c r="I283" i="4"/>
  <c r="J283" i="4"/>
  <c r="K283" i="4"/>
  <c r="L283" i="4"/>
  <c r="M283" i="4"/>
  <c r="B284" i="4"/>
  <c r="C284" i="4"/>
  <c r="D284" i="4"/>
  <c r="E284" i="4"/>
  <c r="F284" i="4"/>
  <c r="G284" i="4"/>
  <c r="H284" i="4"/>
  <c r="I284" i="4"/>
  <c r="J284" i="4"/>
  <c r="K284" i="4"/>
  <c r="L284" i="4"/>
  <c r="M284" i="4"/>
  <c r="B285" i="4"/>
  <c r="C285" i="4"/>
  <c r="D285" i="4"/>
  <c r="E285" i="4"/>
  <c r="F285" i="4"/>
  <c r="G285" i="4"/>
  <c r="H285" i="4"/>
  <c r="I285" i="4"/>
  <c r="J285" i="4"/>
  <c r="K285" i="4"/>
  <c r="L285" i="4"/>
  <c r="M285" i="4"/>
  <c r="B286" i="4"/>
  <c r="C286" i="4"/>
  <c r="D286" i="4"/>
  <c r="E286" i="4"/>
  <c r="F286" i="4"/>
  <c r="G286" i="4"/>
  <c r="H286" i="4"/>
  <c r="I286" i="4"/>
  <c r="J286" i="4"/>
  <c r="K286" i="4"/>
  <c r="L286" i="4"/>
  <c r="M286" i="4"/>
  <c r="B287" i="4"/>
  <c r="C287" i="4"/>
  <c r="D287" i="4"/>
  <c r="E287" i="4"/>
  <c r="F287" i="4"/>
  <c r="G287" i="4"/>
  <c r="H287" i="4"/>
  <c r="I287" i="4"/>
  <c r="J287" i="4"/>
  <c r="K287" i="4"/>
  <c r="L287" i="4"/>
  <c r="M287" i="4"/>
  <c r="B288" i="4"/>
  <c r="C288" i="4"/>
  <c r="D288" i="4"/>
  <c r="E288" i="4"/>
  <c r="F288" i="4"/>
  <c r="G288" i="4"/>
  <c r="H288" i="4"/>
  <c r="I288" i="4"/>
  <c r="J288" i="4"/>
  <c r="K288" i="4"/>
  <c r="L288" i="4"/>
  <c r="M288" i="4"/>
  <c r="B289" i="4"/>
  <c r="C289" i="4"/>
  <c r="D289" i="4"/>
  <c r="E289" i="4"/>
  <c r="F289" i="4"/>
  <c r="G289" i="4"/>
  <c r="H289" i="4"/>
  <c r="I289" i="4"/>
  <c r="J289" i="4"/>
  <c r="K289" i="4"/>
  <c r="L289" i="4"/>
  <c r="M289" i="4"/>
  <c r="B290" i="4"/>
  <c r="C290" i="4"/>
  <c r="D290" i="4"/>
  <c r="E290" i="4"/>
  <c r="F290" i="4"/>
  <c r="G290" i="4"/>
  <c r="H290" i="4"/>
  <c r="I290" i="4"/>
  <c r="J290" i="4"/>
  <c r="K290" i="4"/>
  <c r="L290" i="4"/>
  <c r="M290" i="4"/>
  <c r="B291" i="4"/>
  <c r="C291" i="4"/>
  <c r="D291" i="4"/>
  <c r="E291" i="4"/>
  <c r="F291" i="4"/>
  <c r="G291" i="4"/>
  <c r="H291" i="4"/>
  <c r="I291" i="4"/>
  <c r="J291" i="4"/>
  <c r="K291" i="4"/>
  <c r="L291" i="4"/>
  <c r="M291" i="4"/>
  <c r="B292" i="4"/>
  <c r="C292" i="4"/>
  <c r="D292" i="4"/>
  <c r="E292" i="4"/>
  <c r="F292" i="4"/>
  <c r="G292" i="4"/>
  <c r="H292" i="4"/>
  <c r="I292" i="4"/>
  <c r="J292" i="4"/>
  <c r="K292" i="4"/>
  <c r="L292" i="4"/>
  <c r="M292" i="4"/>
  <c r="B293" i="4"/>
  <c r="C293" i="4"/>
  <c r="D293" i="4"/>
  <c r="E293" i="4"/>
  <c r="F293" i="4"/>
  <c r="G293" i="4"/>
  <c r="H293" i="4"/>
  <c r="I293" i="4"/>
  <c r="J293" i="4"/>
  <c r="K293" i="4"/>
  <c r="L293" i="4"/>
  <c r="M293" i="4"/>
  <c r="B294" i="4"/>
  <c r="C294" i="4"/>
  <c r="D294" i="4"/>
  <c r="E294" i="4"/>
  <c r="F294" i="4"/>
  <c r="G294" i="4"/>
  <c r="H294" i="4"/>
  <c r="I294" i="4"/>
  <c r="J294" i="4"/>
  <c r="K294" i="4"/>
  <c r="L294" i="4"/>
  <c r="M294" i="4"/>
  <c r="B295" i="4"/>
  <c r="C295" i="4"/>
  <c r="D295" i="4"/>
  <c r="E295" i="4"/>
  <c r="F295" i="4"/>
  <c r="G295" i="4"/>
  <c r="H295" i="4"/>
  <c r="I295" i="4"/>
  <c r="J295" i="4"/>
  <c r="K295" i="4"/>
  <c r="L295" i="4"/>
  <c r="M295" i="4"/>
  <c r="B296" i="4"/>
  <c r="C296" i="4"/>
  <c r="D296" i="4"/>
  <c r="E296" i="4"/>
  <c r="F296" i="4"/>
  <c r="G296" i="4"/>
  <c r="H296" i="4"/>
  <c r="I296" i="4"/>
  <c r="J296" i="4"/>
  <c r="K296" i="4"/>
  <c r="L296" i="4"/>
  <c r="M296" i="4"/>
  <c r="B297" i="4"/>
  <c r="C297" i="4"/>
  <c r="D297" i="4"/>
  <c r="E297" i="4"/>
  <c r="F297" i="4"/>
  <c r="G297" i="4"/>
  <c r="H297" i="4"/>
  <c r="I297" i="4"/>
  <c r="J297" i="4"/>
  <c r="K297" i="4"/>
  <c r="L297" i="4"/>
  <c r="M297" i="4"/>
  <c r="B298" i="4"/>
  <c r="C298" i="4"/>
  <c r="D298" i="4"/>
  <c r="E298" i="4"/>
  <c r="F298" i="4"/>
  <c r="G298" i="4"/>
  <c r="H298" i="4"/>
  <c r="I298" i="4"/>
  <c r="J298" i="4"/>
  <c r="K298" i="4"/>
  <c r="L298" i="4"/>
  <c r="M298" i="4"/>
  <c r="B299" i="4"/>
  <c r="C299" i="4"/>
  <c r="D299" i="4"/>
  <c r="E299" i="4"/>
  <c r="F299" i="4"/>
  <c r="G299" i="4"/>
  <c r="H299" i="4"/>
  <c r="I299" i="4"/>
  <c r="J299" i="4"/>
  <c r="K299" i="4"/>
  <c r="L299" i="4"/>
  <c r="M299" i="4"/>
  <c r="B300" i="4"/>
  <c r="C300" i="4"/>
  <c r="D300" i="4"/>
  <c r="E300" i="4"/>
  <c r="F300" i="4"/>
  <c r="G300" i="4"/>
  <c r="H300" i="4"/>
  <c r="I300" i="4"/>
  <c r="J300" i="4"/>
  <c r="K300" i="4"/>
  <c r="L300" i="4"/>
  <c r="M300" i="4"/>
  <c r="B301" i="4"/>
  <c r="C301" i="4"/>
  <c r="D301" i="4"/>
  <c r="E301" i="4"/>
  <c r="F301" i="4"/>
  <c r="G301" i="4"/>
  <c r="H301" i="4"/>
  <c r="I301" i="4"/>
  <c r="J301" i="4"/>
  <c r="K301" i="4"/>
  <c r="L301" i="4"/>
  <c r="M301" i="4"/>
  <c r="B302" i="4"/>
  <c r="C302" i="4"/>
  <c r="D302" i="4"/>
  <c r="E302" i="4"/>
  <c r="F302" i="4"/>
  <c r="G302" i="4"/>
  <c r="H302" i="4"/>
  <c r="I302" i="4"/>
  <c r="J302" i="4"/>
  <c r="K302" i="4"/>
  <c r="L302" i="4"/>
  <c r="M302" i="4"/>
  <c r="B303" i="4"/>
  <c r="C303" i="4"/>
  <c r="D303" i="4"/>
  <c r="E303" i="4"/>
  <c r="F303" i="4"/>
  <c r="G303" i="4"/>
  <c r="H303" i="4"/>
  <c r="I303" i="4"/>
  <c r="J303" i="4"/>
  <c r="K303" i="4"/>
  <c r="L303" i="4"/>
  <c r="M303" i="4"/>
  <c r="B304" i="4"/>
  <c r="C304" i="4"/>
  <c r="D304" i="4"/>
  <c r="E304" i="4"/>
  <c r="F304" i="4"/>
  <c r="G304" i="4"/>
  <c r="H304" i="4"/>
  <c r="I304" i="4"/>
  <c r="J304" i="4"/>
  <c r="K304" i="4"/>
  <c r="L304" i="4"/>
  <c r="M304" i="4"/>
  <c r="B305" i="4"/>
  <c r="C305" i="4"/>
  <c r="D305" i="4"/>
  <c r="E305" i="4"/>
  <c r="F305" i="4"/>
  <c r="G305" i="4"/>
  <c r="H305" i="4"/>
  <c r="I305" i="4"/>
  <c r="J305" i="4"/>
  <c r="K305" i="4"/>
  <c r="L305" i="4"/>
  <c r="M305" i="4"/>
  <c r="B306" i="4"/>
  <c r="C306" i="4"/>
  <c r="D306" i="4"/>
  <c r="E306" i="4"/>
  <c r="F306" i="4"/>
  <c r="G306" i="4"/>
  <c r="H306" i="4"/>
  <c r="I306" i="4"/>
  <c r="J306" i="4"/>
  <c r="K306" i="4"/>
  <c r="L306" i="4"/>
  <c r="M306" i="4"/>
  <c r="B307" i="4"/>
  <c r="C307" i="4"/>
  <c r="D307" i="4"/>
  <c r="E307" i="4"/>
  <c r="F307" i="4"/>
  <c r="G307" i="4"/>
  <c r="H307" i="4"/>
  <c r="I307" i="4"/>
  <c r="J307" i="4"/>
  <c r="K307" i="4"/>
  <c r="L307" i="4"/>
  <c r="M307" i="4"/>
  <c r="B308" i="4"/>
  <c r="C308" i="4"/>
  <c r="D308" i="4"/>
  <c r="E308" i="4"/>
  <c r="F308" i="4"/>
  <c r="G308" i="4"/>
  <c r="H308" i="4"/>
  <c r="I308" i="4"/>
  <c r="J308" i="4"/>
  <c r="K308" i="4"/>
  <c r="L308" i="4"/>
  <c r="M308" i="4"/>
  <c r="B309" i="4"/>
  <c r="C309" i="4"/>
  <c r="D309" i="4"/>
  <c r="E309" i="4"/>
  <c r="F309" i="4"/>
  <c r="G309" i="4"/>
  <c r="H309" i="4"/>
  <c r="I309" i="4"/>
  <c r="J309" i="4"/>
  <c r="K309" i="4"/>
  <c r="L309" i="4"/>
  <c r="M309" i="4"/>
  <c r="B310" i="4"/>
  <c r="C310" i="4"/>
  <c r="D310" i="4"/>
  <c r="E310" i="4"/>
  <c r="F310" i="4"/>
  <c r="G310" i="4"/>
  <c r="H310" i="4"/>
  <c r="I310" i="4"/>
  <c r="J310" i="4"/>
  <c r="K310" i="4"/>
  <c r="L310" i="4"/>
  <c r="M310" i="4"/>
  <c r="B311" i="4"/>
  <c r="C311" i="4"/>
  <c r="D311" i="4"/>
  <c r="E311" i="4"/>
  <c r="F311" i="4"/>
  <c r="G311" i="4"/>
  <c r="H311" i="4"/>
  <c r="I311" i="4"/>
  <c r="J311" i="4"/>
  <c r="K311" i="4"/>
  <c r="L311" i="4"/>
  <c r="M311" i="4"/>
  <c r="B312" i="4"/>
  <c r="C312" i="4"/>
  <c r="D312" i="4"/>
  <c r="E312" i="4"/>
  <c r="F312" i="4"/>
  <c r="G312" i="4"/>
  <c r="H312" i="4"/>
  <c r="I312" i="4"/>
  <c r="J312" i="4"/>
  <c r="K312" i="4"/>
  <c r="L312" i="4"/>
  <c r="M312" i="4"/>
  <c r="B313" i="4"/>
  <c r="C313" i="4"/>
  <c r="D313" i="4"/>
  <c r="E313" i="4"/>
  <c r="F313" i="4"/>
  <c r="G313" i="4"/>
  <c r="H313" i="4"/>
  <c r="I313" i="4"/>
  <c r="J313" i="4"/>
  <c r="K313" i="4"/>
  <c r="L313" i="4"/>
  <c r="M313" i="4"/>
  <c r="B314" i="4"/>
  <c r="C314" i="4"/>
  <c r="D314" i="4"/>
  <c r="E314" i="4"/>
  <c r="F314" i="4"/>
  <c r="G314" i="4"/>
  <c r="H314" i="4"/>
  <c r="I314" i="4"/>
  <c r="J314" i="4"/>
  <c r="K314" i="4"/>
  <c r="L314" i="4"/>
  <c r="M314" i="4"/>
  <c r="B315" i="4"/>
  <c r="C315" i="4"/>
  <c r="D315" i="4"/>
  <c r="E315" i="4"/>
  <c r="F315" i="4"/>
  <c r="G315" i="4"/>
  <c r="H315" i="4"/>
  <c r="I315" i="4"/>
  <c r="J315" i="4"/>
  <c r="K315" i="4"/>
  <c r="L315" i="4"/>
  <c r="M315" i="4"/>
  <c r="B316" i="4"/>
  <c r="C316" i="4"/>
  <c r="D316" i="4"/>
  <c r="E316" i="4"/>
  <c r="F316" i="4"/>
  <c r="G316" i="4"/>
  <c r="H316" i="4"/>
  <c r="I316" i="4"/>
  <c r="J316" i="4"/>
  <c r="K316" i="4"/>
  <c r="L316" i="4"/>
  <c r="M316" i="4"/>
  <c r="B317" i="4"/>
  <c r="C317" i="4"/>
  <c r="D317" i="4"/>
  <c r="E317" i="4"/>
  <c r="F317" i="4"/>
  <c r="G317" i="4"/>
  <c r="H317" i="4"/>
  <c r="I317" i="4"/>
  <c r="J317" i="4"/>
  <c r="K317" i="4"/>
  <c r="L317" i="4"/>
  <c r="M317" i="4"/>
  <c r="B318" i="4"/>
  <c r="C318" i="4"/>
  <c r="D318" i="4"/>
  <c r="E318" i="4"/>
  <c r="F318" i="4"/>
  <c r="G318" i="4"/>
  <c r="H318" i="4"/>
  <c r="I318" i="4"/>
  <c r="J318" i="4"/>
  <c r="K318" i="4"/>
  <c r="L318" i="4"/>
  <c r="M318" i="4"/>
  <c r="B319" i="4"/>
  <c r="C319" i="4"/>
  <c r="D319" i="4"/>
  <c r="E319" i="4"/>
  <c r="F319" i="4"/>
  <c r="G319" i="4"/>
  <c r="H319" i="4"/>
  <c r="I319" i="4"/>
  <c r="J319" i="4"/>
  <c r="K319" i="4"/>
  <c r="L319" i="4"/>
  <c r="M319" i="4"/>
  <c r="B320" i="4"/>
  <c r="C320" i="4"/>
  <c r="D320" i="4"/>
  <c r="E320" i="4"/>
  <c r="F320" i="4"/>
  <c r="G320" i="4"/>
  <c r="H320" i="4"/>
  <c r="I320" i="4"/>
  <c r="J320" i="4"/>
  <c r="K320" i="4"/>
  <c r="L320" i="4"/>
  <c r="M320" i="4"/>
  <c r="B321" i="4"/>
  <c r="C321" i="4"/>
  <c r="D321" i="4"/>
  <c r="E321" i="4"/>
  <c r="F321" i="4"/>
  <c r="G321" i="4"/>
  <c r="H321" i="4"/>
  <c r="I321" i="4"/>
  <c r="J321" i="4"/>
  <c r="K321" i="4"/>
  <c r="L321" i="4"/>
  <c r="M321" i="4"/>
  <c r="B322" i="4"/>
  <c r="C322" i="4"/>
  <c r="D322" i="4"/>
  <c r="E322" i="4"/>
  <c r="F322" i="4"/>
  <c r="G322" i="4"/>
  <c r="H322" i="4"/>
  <c r="I322" i="4"/>
  <c r="J322" i="4"/>
  <c r="K322" i="4"/>
  <c r="L322" i="4"/>
  <c r="M322" i="4"/>
  <c r="B323" i="4"/>
  <c r="C323" i="4"/>
  <c r="D323" i="4"/>
  <c r="E323" i="4"/>
  <c r="F323" i="4"/>
  <c r="G323" i="4"/>
  <c r="H323" i="4"/>
  <c r="I323" i="4"/>
  <c r="J323" i="4"/>
  <c r="K323" i="4"/>
  <c r="L323" i="4"/>
  <c r="M323" i="4"/>
  <c r="B324" i="4"/>
  <c r="C324" i="4"/>
  <c r="D324" i="4"/>
  <c r="E324" i="4"/>
  <c r="F324" i="4"/>
  <c r="G324" i="4"/>
  <c r="H324" i="4"/>
  <c r="I324" i="4"/>
  <c r="J324" i="4"/>
  <c r="K324" i="4"/>
  <c r="L324" i="4"/>
  <c r="M324" i="4"/>
  <c r="B325" i="4"/>
  <c r="C325" i="4"/>
  <c r="D325" i="4"/>
  <c r="E325" i="4"/>
  <c r="F325" i="4"/>
  <c r="G325" i="4"/>
  <c r="H325" i="4"/>
  <c r="I325" i="4"/>
  <c r="J325" i="4"/>
  <c r="K325" i="4"/>
  <c r="L325" i="4"/>
  <c r="M325" i="4"/>
  <c r="B326" i="4"/>
  <c r="C326" i="4"/>
  <c r="D326" i="4"/>
  <c r="E326" i="4"/>
  <c r="F326" i="4"/>
  <c r="G326" i="4"/>
  <c r="H326" i="4"/>
  <c r="I326" i="4"/>
  <c r="J326" i="4"/>
  <c r="K326" i="4"/>
  <c r="L326" i="4"/>
  <c r="M326" i="4"/>
  <c r="B327" i="4"/>
  <c r="C327" i="4"/>
  <c r="D327" i="4"/>
  <c r="E327" i="4"/>
  <c r="F327" i="4"/>
  <c r="G327" i="4"/>
  <c r="H327" i="4"/>
  <c r="I327" i="4"/>
  <c r="J327" i="4"/>
  <c r="K327" i="4"/>
  <c r="L327" i="4"/>
  <c r="M327" i="4"/>
  <c r="B328" i="4"/>
  <c r="C328" i="4"/>
  <c r="D328" i="4"/>
  <c r="E328" i="4"/>
  <c r="F328" i="4"/>
  <c r="G328" i="4"/>
  <c r="H328" i="4"/>
  <c r="I328" i="4"/>
  <c r="J328" i="4"/>
  <c r="K328" i="4"/>
  <c r="L328" i="4"/>
  <c r="M328" i="4"/>
  <c r="B329" i="4"/>
  <c r="C329" i="4"/>
  <c r="D329" i="4"/>
  <c r="E329" i="4"/>
  <c r="F329" i="4"/>
  <c r="G329" i="4"/>
  <c r="H329" i="4"/>
  <c r="I329" i="4"/>
  <c r="J329" i="4"/>
  <c r="K329" i="4"/>
  <c r="L329" i="4"/>
  <c r="M329" i="4"/>
  <c r="B330" i="4"/>
  <c r="C330" i="4"/>
  <c r="D330" i="4"/>
  <c r="E330" i="4"/>
  <c r="F330" i="4"/>
  <c r="G330" i="4"/>
  <c r="H330" i="4"/>
  <c r="I330" i="4"/>
  <c r="J330" i="4"/>
  <c r="K330" i="4"/>
  <c r="L330" i="4"/>
  <c r="M330" i="4"/>
  <c r="B331" i="4"/>
  <c r="C331" i="4"/>
  <c r="D331" i="4"/>
  <c r="E331" i="4"/>
  <c r="F331" i="4"/>
  <c r="G331" i="4"/>
  <c r="H331" i="4"/>
  <c r="I331" i="4"/>
  <c r="J331" i="4"/>
  <c r="K331" i="4"/>
  <c r="L331" i="4"/>
  <c r="M331" i="4"/>
  <c r="B332" i="4"/>
  <c r="C332" i="4"/>
  <c r="D332" i="4"/>
  <c r="E332" i="4"/>
  <c r="F332" i="4"/>
  <c r="G332" i="4"/>
  <c r="H332" i="4"/>
  <c r="I332" i="4"/>
  <c r="J332" i="4"/>
  <c r="K332" i="4"/>
  <c r="L332" i="4"/>
  <c r="M332" i="4"/>
  <c r="B333" i="4"/>
  <c r="C333" i="4"/>
  <c r="D333" i="4"/>
  <c r="E333" i="4"/>
  <c r="F333" i="4"/>
  <c r="G333" i="4"/>
  <c r="H333" i="4"/>
  <c r="I333" i="4"/>
  <c r="J333" i="4"/>
  <c r="K333" i="4"/>
  <c r="L333" i="4"/>
  <c r="M333" i="4"/>
  <c r="B334" i="4"/>
  <c r="C334" i="4"/>
  <c r="D334" i="4"/>
  <c r="E334" i="4"/>
  <c r="F334" i="4"/>
  <c r="G334" i="4"/>
  <c r="H334" i="4"/>
  <c r="I334" i="4"/>
  <c r="J334" i="4"/>
  <c r="K334" i="4"/>
  <c r="L334" i="4"/>
  <c r="M334" i="4"/>
  <c r="B335" i="4"/>
  <c r="C335" i="4"/>
  <c r="D335" i="4"/>
  <c r="E335" i="4"/>
  <c r="F335" i="4"/>
  <c r="G335" i="4"/>
  <c r="H335" i="4"/>
  <c r="I335" i="4"/>
  <c r="J335" i="4"/>
  <c r="K335" i="4"/>
  <c r="L335" i="4"/>
  <c r="M335" i="4"/>
  <c r="B336" i="4"/>
  <c r="C336" i="4"/>
  <c r="D336" i="4"/>
  <c r="E336" i="4"/>
  <c r="F336" i="4"/>
  <c r="G336" i="4"/>
  <c r="H336" i="4"/>
  <c r="I336" i="4"/>
  <c r="J336" i="4"/>
  <c r="K336" i="4"/>
  <c r="L336" i="4"/>
  <c r="M336" i="4"/>
  <c r="B337" i="4"/>
  <c r="C337" i="4"/>
  <c r="D337" i="4"/>
  <c r="E337" i="4"/>
  <c r="F337" i="4"/>
  <c r="G337" i="4"/>
  <c r="H337" i="4"/>
  <c r="I337" i="4"/>
  <c r="J337" i="4"/>
  <c r="K337" i="4"/>
  <c r="L337" i="4"/>
  <c r="M337" i="4"/>
  <c r="B338" i="4"/>
  <c r="C338" i="4"/>
  <c r="D338" i="4"/>
  <c r="E338" i="4"/>
  <c r="F338" i="4"/>
  <c r="G338" i="4"/>
  <c r="H338" i="4"/>
  <c r="I338" i="4"/>
  <c r="J338" i="4"/>
  <c r="K338" i="4"/>
  <c r="L338" i="4"/>
  <c r="M338" i="4"/>
  <c r="B339" i="4"/>
  <c r="C339" i="4"/>
  <c r="D339" i="4"/>
  <c r="E339" i="4"/>
  <c r="F339" i="4"/>
  <c r="G339" i="4"/>
  <c r="H339" i="4"/>
  <c r="I339" i="4"/>
  <c r="J339" i="4"/>
  <c r="K339" i="4"/>
  <c r="L339" i="4"/>
  <c r="M339" i="4"/>
  <c r="B340" i="4"/>
  <c r="C340" i="4"/>
  <c r="D340" i="4"/>
  <c r="E340" i="4"/>
  <c r="F340" i="4"/>
  <c r="G340" i="4"/>
  <c r="H340" i="4"/>
  <c r="I340" i="4"/>
  <c r="J340" i="4"/>
  <c r="K340" i="4"/>
  <c r="L340" i="4"/>
  <c r="M340" i="4"/>
  <c r="B341" i="4"/>
  <c r="C341" i="4"/>
  <c r="D341" i="4"/>
  <c r="E341" i="4"/>
  <c r="F341" i="4"/>
  <c r="G341" i="4"/>
  <c r="H341" i="4"/>
  <c r="I341" i="4"/>
  <c r="J341" i="4"/>
  <c r="K341" i="4"/>
  <c r="L341" i="4"/>
  <c r="M341" i="4"/>
  <c r="B342" i="4"/>
  <c r="C342" i="4"/>
  <c r="D342" i="4"/>
  <c r="E342" i="4"/>
  <c r="F342" i="4"/>
  <c r="G342" i="4"/>
  <c r="H342" i="4"/>
  <c r="I342" i="4"/>
  <c r="J342" i="4"/>
  <c r="K342" i="4"/>
  <c r="L342" i="4"/>
  <c r="M342" i="4"/>
  <c r="B343" i="4"/>
  <c r="C343" i="4"/>
  <c r="D343" i="4"/>
  <c r="E343" i="4"/>
  <c r="F343" i="4"/>
  <c r="G343" i="4"/>
  <c r="H343" i="4"/>
  <c r="I343" i="4"/>
  <c r="J343" i="4"/>
  <c r="K343" i="4"/>
  <c r="L343" i="4"/>
  <c r="M343" i="4"/>
  <c r="B344" i="4"/>
  <c r="C344" i="4"/>
  <c r="D344" i="4"/>
  <c r="E344" i="4"/>
  <c r="F344" i="4"/>
  <c r="G344" i="4"/>
  <c r="H344" i="4"/>
  <c r="I344" i="4"/>
  <c r="J344" i="4"/>
  <c r="K344" i="4"/>
  <c r="L344" i="4"/>
  <c r="M344" i="4"/>
  <c r="B345" i="4"/>
  <c r="C345" i="4"/>
  <c r="D345" i="4"/>
  <c r="E345" i="4"/>
  <c r="F345" i="4"/>
  <c r="G345" i="4"/>
  <c r="H345" i="4"/>
  <c r="I345" i="4"/>
  <c r="J345" i="4"/>
  <c r="K345" i="4"/>
  <c r="L345" i="4"/>
  <c r="M345" i="4"/>
  <c r="B346" i="4"/>
  <c r="C346" i="4"/>
  <c r="D346" i="4"/>
  <c r="E346" i="4"/>
  <c r="F346" i="4"/>
  <c r="G346" i="4"/>
  <c r="H346" i="4"/>
  <c r="I346" i="4"/>
  <c r="J346" i="4"/>
  <c r="K346" i="4"/>
  <c r="L346" i="4"/>
  <c r="M346" i="4"/>
  <c r="B347" i="4"/>
  <c r="C347" i="4"/>
  <c r="D347" i="4"/>
  <c r="E347" i="4"/>
  <c r="F347" i="4"/>
  <c r="G347" i="4"/>
  <c r="H347" i="4"/>
  <c r="I347" i="4"/>
  <c r="J347" i="4"/>
  <c r="K347" i="4"/>
  <c r="L347" i="4"/>
  <c r="M347" i="4"/>
  <c r="B348" i="4"/>
  <c r="C348" i="4"/>
  <c r="D348" i="4"/>
  <c r="E348" i="4"/>
  <c r="F348" i="4"/>
  <c r="G348" i="4"/>
  <c r="H348" i="4"/>
  <c r="I348" i="4"/>
  <c r="J348" i="4"/>
  <c r="K348" i="4"/>
  <c r="L348" i="4"/>
  <c r="M348" i="4"/>
  <c r="B349" i="4"/>
  <c r="C349" i="4"/>
  <c r="D349" i="4"/>
  <c r="E349" i="4"/>
  <c r="F349" i="4"/>
  <c r="G349" i="4"/>
  <c r="H349" i="4"/>
  <c r="I349" i="4"/>
  <c r="J349" i="4"/>
  <c r="K349" i="4"/>
  <c r="L349" i="4"/>
  <c r="M349" i="4"/>
  <c r="B350" i="4"/>
  <c r="C350" i="4"/>
  <c r="D350" i="4"/>
  <c r="E350" i="4"/>
  <c r="F350" i="4"/>
  <c r="G350" i="4"/>
  <c r="H350" i="4"/>
  <c r="I350" i="4"/>
  <c r="J350" i="4"/>
  <c r="K350" i="4"/>
  <c r="L350" i="4"/>
  <c r="M350" i="4"/>
  <c r="B351" i="4"/>
  <c r="C351" i="4"/>
  <c r="D351" i="4"/>
  <c r="E351" i="4"/>
  <c r="F351" i="4"/>
  <c r="G351" i="4"/>
  <c r="H351" i="4"/>
  <c r="I351" i="4"/>
  <c r="J351" i="4"/>
  <c r="K351" i="4"/>
  <c r="L351" i="4"/>
  <c r="M351" i="4"/>
  <c r="B352" i="4"/>
  <c r="C352" i="4"/>
  <c r="D352" i="4"/>
  <c r="E352" i="4"/>
  <c r="F352" i="4"/>
  <c r="G352" i="4"/>
  <c r="H352" i="4"/>
  <c r="I352" i="4"/>
  <c r="J352" i="4"/>
  <c r="K352" i="4"/>
  <c r="L352" i="4"/>
  <c r="M352" i="4"/>
  <c r="B353" i="4"/>
  <c r="C353" i="4"/>
  <c r="D353" i="4"/>
  <c r="E353" i="4"/>
  <c r="F353" i="4"/>
  <c r="G353" i="4"/>
  <c r="H353" i="4"/>
  <c r="I353" i="4"/>
  <c r="J353" i="4"/>
  <c r="K353" i="4"/>
  <c r="L353" i="4"/>
  <c r="M353" i="4"/>
  <c r="B354" i="4"/>
  <c r="C354" i="4"/>
  <c r="D354" i="4"/>
  <c r="E354" i="4"/>
  <c r="F354" i="4"/>
  <c r="G354" i="4"/>
  <c r="H354" i="4"/>
  <c r="I354" i="4"/>
  <c r="J354" i="4"/>
  <c r="K354" i="4"/>
  <c r="L354" i="4"/>
  <c r="M354" i="4"/>
  <c r="B355" i="4"/>
  <c r="C355" i="4"/>
  <c r="D355" i="4"/>
  <c r="E355" i="4"/>
  <c r="F355" i="4"/>
  <c r="G355" i="4"/>
  <c r="H355" i="4"/>
  <c r="I355" i="4"/>
  <c r="J355" i="4"/>
  <c r="K355" i="4"/>
  <c r="L355" i="4"/>
  <c r="M355" i="4"/>
  <c r="B356" i="4"/>
  <c r="C356" i="4"/>
  <c r="D356" i="4"/>
  <c r="E356" i="4"/>
  <c r="F356" i="4"/>
  <c r="G356" i="4"/>
  <c r="H356" i="4"/>
  <c r="I356" i="4"/>
  <c r="J356" i="4"/>
  <c r="K356" i="4"/>
  <c r="L356" i="4"/>
  <c r="M356" i="4"/>
  <c r="B357" i="4"/>
  <c r="C357" i="4"/>
  <c r="D357" i="4"/>
  <c r="E357" i="4"/>
  <c r="F357" i="4"/>
  <c r="G357" i="4"/>
  <c r="H357" i="4"/>
  <c r="I357" i="4"/>
  <c r="J357" i="4"/>
  <c r="K357" i="4"/>
  <c r="L357" i="4"/>
  <c r="M357" i="4"/>
  <c r="B358" i="4"/>
  <c r="C358" i="4"/>
  <c r="D358" i="4"/>
  <c r="E358" i="4"/>
  <c r="F358" i="4"/>
  <c r="G358" i="4"/>
  <c r="H358" i="4"/>
  <c r="I358" i="4"/>
  <c r="J358" i="4"/>
  <c r="K358" i="4"/>
  <c r="L358" i="4"/>
  <c r="M358" i="4"/>
  <c r="B359" i="4"/>
  <c r="C359" i="4"/>
  <c r="D359" i="4"/>
  <c r="E359" i="4"/>
  <c r="F359" i="4"/>
  <c r="G359" i="4"/>
  <c r="H359" i="4"/>
  <c r="I359" i="4"/>
  <c r="J359" i="4"/>
  <c r="K359" i="4"/>
  <c r="L359" i="4"/>
  <c r="M359" i="4"/>
  <c r="B360" i="4"/>
  <c r="C360" i="4"/>
  <c r="D360" i="4"/>
  <c r="E360" i="4"/>
  <c r="F360" i="4"/>
  <c r="G360" i="4"/>
  <c r="H360" i="4"/>
  <c r="I360" i="4"/>
  <c r="J360" i="4"/>
  <c r="K360" i="4"/>
  <c r="L360" i="4"/>
  <c r="M360" i="4"/>
  <c r="B361" i="4"/>
  <c r="C361" i="4"/>
  <c r="D361" i="4"/>
  <c r="E361" i="4"/>
  <c r="F361" i="4"/>
  <c r="G361" i="4"/>
  <c r="H361" i="4"/>
  <c r="I361" i="4"/>
  <c r="J361" i="4"/>
  <c r="K361" i="4"/>
  <c r="L361" i="4"/>
  <c r="M361" i="4"/>
  <c r="B362" i="4"/>
  <c r="C362" i="4"/>
  <c r="D362" i="4"/>
  <c r="E362" i="4"/>
  <c r="F362" i="4"/>
  <c r="G362" i="4"/>
  <c r="H362" i="4"/>
  <c r="I362" i="4"/>
  <c r="J362" i="4"/>
  <c r="K362" i="4"/>
  <c r="L362" i="4"/>
  <c r="M362" i="4"/>
  <c r="B363" i="4"/>
  <c r="C363" i="4"/>
  <c r="D363" i="4"/>
  <c r="E363" i="4"/>
  <c r="F363" i="4"/>
  <c r="G363" i="4"/>
  <c r="H363" i="4"/>
  <c r="I363" i="4"/>
  <c r="J363" i="4"/>
  <c r="K363" i="4"/>
  <c r="L363" i="4"/>
  <c r="M363" i="4"/>
  <c r="B364" i="4"/>
  <c r="C364" i="4"/>
  <c r="D364" i="4"/>
  <c r="E364" i="4"/>
  <c r="F364" i="4"/>
  <c r="G364" i="4"/>
  <c r="H364" i="4"/>
  <c r="I364" i="4"/>
  <c r="J364" i="4"/>
  <c r="K364" i="4"/>
  <c r="L364" i="4"/>
  <c r="M364" i="4"/>
  <c r="B365" i="4"/>
  <c r="C365" i="4"/>
  <c r="D365" i="4"/>
  <c r="E365" i="4"/>
  <c r="F365" i="4"/>
  <c r="G365" i="4"/>
  <c r="H365" i="4"/>
  <c r="I365" i="4"/>
  <c r="J365" i="4"/>
  <c r="K365" i="4"/>
  <c r="L365" i="4"/>
  <c r="M365" i="4"/>
  <c r="B366" i="4"/>
  <c r="C366" i="4"/>
  <c r="D366" i="4"/>
  <c r="E366" i="4"/>
  <c r="F366" i="4"/>
  <c r="G366" i="4"/>
  <c r="H366" i="4"/>
  <c r="I366" i="4"/>
  <c r="J366" i="4"/>
  <c r="K366" i="4"/>
  <c r="L366" i="4"/>
  <c r="M366" i="4"/>
  <c r="B367" i="4"/>
  <c r="C367" i="4"/>
  <c r="D367" i="4"/>
  <c r="E367" i="4"/>
  <c r="F367" i="4"/>
  <c r="G367" i="4"/>
  <c r="H367" i="4"/>
  <c r="I367" i="4"/>
  <c r="J367" i="4"/>
  <c r="K367" i="4"/>
  <c r="L367" i="4"/>
  <c r="M367" i="4"/>
  <c r="B368" i="4"/>
  <c r="C368" i="4"/>
  <c r="D368" i="4"/>
  <c r="E368" i="4"/>
  <c r="F368" i="4"/>
  <c r="G368" i="4"/>
  <c r="H368" i="4"/>
  <c r="I368" i="4"/>
  <c r="J368" i="4"/>
  <c r="K368" i="4"/>
  <c r="L368" i="4"/>
  <c r="M368" i="4"/>
  <c r="B369" i="4"/>
  <c r="C369" i="4"/>
  <c r="D369" i="4"/>
  <c r="E369" i="4"/>
  <c r="F369" i="4"/>
  <c r="G369" i="4"/>
  <c r="H369" i="4"/>
  <c r="I369" i="4"/>
  <c r="J369" i="4"/>
  <c r="K369" i="4"/>
  <c r="L369" i="4"/>
  <c r="M369" i="4"/>
  <c r="B370" i="4"/>
  <c r="C370" i="4"/>
  <c r="D370" i="4"/>
  <c r="E370" i="4"/>
  <c r="F370" i="4"/>
  <c r="G370" i="4"/>
  <c r="H370" i="4"/>
  <c r="I370" i="4"/>
  <c r="J370" i="4"/>
  <c r="K370" i="4"/>
  <c r="L370" i="4"/>
  <c r="M370" i="4"/>
  <c r="B371" i="4"/>
  <c r="C371" i="4"/>
  <c r="D371" i="4"/>
  <c r="E371" i="4"/>
  <c r="F371" i="4"/>
  <c r="G371" i="4"/>
  <c r="H371" i="4"/>
  <c r="I371" i="4"/>
  <c r="J371" i="4"/>
  <c r="K371" i="4"/>
  <c r="L371" i="4"/>
  <c r="M371" i="4"/>
  <c r="B372" i="4"/>
  <c r="C372" i="4"/>
  <c r="D372" i="4"/>
  <c r="E372" i="4"/>
  <c r="F372" i="4"/>
  <c r="G372" i="4"/>
  <c r="H372" i="4"/>
  <c r="I372" i="4"/>
  <c r="J372" i="4"/>
  <c r="K372" i="4"/>
  <c r="L372" i="4"/>
  <c r="M372" i="4"/>
  <c r="B373" i="4"/>
  <c r="C373" i="4"/>
  <c r="D373" i="4"/>
  <c r="E373" i="4"/>
  <c r="F373" i="4"/>
  <c r="G373" i="4"/>
  <c r="H373" i="4"/>
  <c r="I373" i="4"/>
  <c r="J373" i="4"/>
  <c r="K373" i="4"/>
  <c r="L373" i="4"/>
  <c r="M373" i="4"/>
  <c r="B374" i="4"/>
  <c r="C374" i="4"/>
  <c r="D374" i="4"/>
  <c r="E374" i="4"/>
  <c r="F374" i="4"/>
  <c r="G374" i="4"/>
  <c r="H374" i="4"/>
  <c r="I374" i="4"/>
  <c r="J374" i="4"/>
  <c r="K374" i="4"/>
  <c r="L374" i="4"/>
  <c r="M374" i="4"/>
  <c r="B375" i="4"/>
  <c r="C375" i="4"/>
  <c r="D375" i="4"/>
  <c r="E375" i="4"/>
  <c r="F375" i="4"/>
  <c r="G375" i="4"/>
  <c r="H375" i="4"/>
  <c r="I375" i="4"/>
  <c r="J375" i="4"/>
  <c r="K375" i="4"/>
  <c r="L375" i="4"/>
  <c r="M375" i="4"/>
  <c r="B376" i="4"/>
  <c r="C376" i="4"/>
  <c r="D376" i="4"/>
  <c r="E376" i="4"/>
  <c r="F376" i="4"/>
  <c r="G376" i="4"/>
  <c r="H376" i="4"/>
  <c r="I376" i="4"/>
  <c r="J376" i="4"/>
  <c r="K376" i="4"/>
  <c r="L376" i="4"/>
  <c r="M376" i="4"/>
  <c r="B377" i="4"/>
  <c r="C377" i="4"/>
  <c r="D377" i="4"/>
  <c r="E377" i="4"/>
  <c r="F377" i="4"/>
  <c r="G377" i="4"/>
  <c r="H377" i="4"/>
  <c r="I377" i="4"/>
  <c r="J377" i="4"/>
  <c r="K377" i="4"/>
  <c r="L377" i="4"/>
  <c r="M377" i="4"/>
  <c r="B378" i="4"/>
  <c r="C378" i="4"/>
  <c r="D378" i="4"/>
  <c r="E378" i="4"/>
  <c r="F378" i="4"/>
  <c r="G378" i="4"/>
  <c r="H378" i="4"/>
  <c r="I378" i="4"/>
  <c r="J378" i="4"/>
  <c r="K378" i="4"/>
  <c r="L378" i="4"/>
  <c r="M378" i="4"/>
  <c r="B379" i="4"/>
  <c r="C379" i="4"/>
  <c r="D379" i="4"/>
  <c r="E379" i="4"/>
  <c r="F379" i="4"/>
  <c r="G379" i="4"/>
  <c r="H379" i="4"/>
  <c r="I379" i="4"/>
  <c r="J379" i="4"/>
  <c r="K379" i="4"/>
  <c r="L379" i="4"/>
  <c r="M379" i="4"/>
  <c r="B380" i="4"/>
  <c r="C380" i="4"/>
  <c r="D380" i="4"/>
  <c r="E380" i="4"/>
  <c r="F380" i="4"/>
  <c r="G380" i="4"/>
  <c r="H380" i="4"/>
  <c r="I380" i="4"/>
  <c r="J380" i="4"/>
  <c r="K380" i="4"/>
  <c r="L380" i="4"/>
  <c r="M380" i="4"/>
  <c r="B381" i="4"/>
  <c r="C381" i="4"/>
  <c r="D381" i="4"/>
  <c r="E381" i="4"/>
  <c r="F381" i="4"/>
  <c r="G381" i="4"/>
  <c r="H381" i="4"/>
  <c r="I381" i="4"/>
  <c r="J381" i="4"/>
  <c r="K381" i="4"/>
  <c r="L381" i="4"/>
  <c r="M381" i="4"/>
  <c r="B382" i="4"/>
  <c r="C382" i="4"/>
  <c r="D382" i="4"/>
  <c r="E382" i="4"/>
  <c r="F382" i="4"/>
  <c r="G382" i="4"/>
  <c r="H382" i="4"/>
  <c r="I382" i="4"/>
  <c r="J382" i="4"/>
  <c r="K382" i="4"/>
  <c r="L382" i="4"/>
  <c r="M382" i="4"/>
  <c r="B383" i="4"/>
  <c r="C383" i="4"/>
  <c r="D383" i="4"/>
  <c r="E383" i="4"/>
  <c r="F383" i="4"/>
  <c r="G383" i="4"/>
  <c r="H383" i="4"/>
  <c r="I383" i="4"/>
  <c r="J383" i="4"/>
  <c r="K383" i="4"/>
  <c r="L383" i="4"/>
  <c r="M383" i="4"/>
  <c r="B384" i="4"/>
  <c r="C384" i="4"/>
  <c r="D384" i="4"/>
  <c r="E384" i="4"/>
  <c r="F384" i="4"/>
  <c r="G384" i="4"/>
  <c r="H384" i="4"/>
  <c r="I384" i="4"/>
  <c r="J384" i="4"/>
  <c r="K384" i="4"/>
  <c r="L384" i="4"/>
  <c r="M384" i="4"/>
  <c r="B385" i="4"/>
  <c r="C385" i="4"/>
  <c r="D385" i="4"/>
  <c r="E385" i="4"/>
  <c r="F385" i="4"/>
  <c r="G385" i="4"/>
  <c r="H385" i="4"/>
  <c r="I385" i="4"/>
  <c r="J385" i="4"/>
  <c r="K385" i="4"/>
  <c r="L385" i="4"/>
  <c r="M385" i="4"/>
  <c r="B386" i="4"/>
  <c r="C386" i="4"/>
  <c r="D386" i="4"/>
  <c r="E386" i="4"/>
  <c r="F386" i="4"/>
  <c r="G386" i="4"/>
  <c r="H386" i="4"/>
  <c r="I386" i="4"/>
  <c r="J386" i="4"/>
  <c r="K386" i="4"/>
  <c r="L386" i="4"/>
  <c r="M386" i="4"/>
  <c r="B387" i="4"/>
  <c r="C387" i="4"/>
  <c r="D387" i="4"/>
  <c r="E387" i="4"/>
  <c r="F387" i="4"/>
  <c r="G387" i="4"/>
  <c r="H387" i="4"/>
  <c r="I387" i="4"/>
  <c r="J387" i="4"/>
  <c r="K387" i="4"/>
  <c r="L387" i="4"/>
  <c r="M387" i="4"/>
  <c r="B388" i="4"/>
  <c r="C388" i="4"/>
  <c r="D388" i="4"/>
  <c r="E388" i="4"/>
  <c r="F388" i="4"/>
  <c r="G388" i="4"/>
  <c r="H388" i="4"/>
  <c r="I388" i="4"/>
  <c r="J388" i="4"/>
  <c r="K388" i="4"/>
  <c r="L388" i="4"/>
  <c r="M388" i="4"/>
  <c r="B389" i="4"/>
  <c r="C389" i="4"/>
  <c r="D389" i="4"/>
  <c r="E389" i="4"/>
  <c r="F389" i="4"/>
  <c r="G389" i="4"/>
  <c r="H389" i="4"/>
  <c r="I389" i="4"/>
  <c r="J389" i="4"/>
  <c r="K389" i="4"/>
  <c r="L389" i="4"/>
  <c r="M389" i="4"/>
  <c r="B390" i="4"/>
  <c r="C390" i="4"/>
  <c r="D390" i="4"/>
  <c r="E390" i="4"/>
  <c r="F390" i="4"/>
  <c r="G390" i="4"/>
  <c r="H390" i="4"/>
  <c r="I390" i="4"/>
  <c r="J390" i="4"/>
  <c r="K390" i="4"/>
  <c r="L390" i="4"/>
  <c r="M390" i="4"/>
  <c r="B391" i="4"/>
  <c r="C391" i="4"/>
  <c r="D391" i="4"/>
  <c r="E391" i="4"/>
  <c r="F391" i="4"/>
  <c r="G391" i="4"/>
  <c r="H391" i="4"/>
  <c r="I391" i="4"/>
  <c r="J391" i="4"/>
  <c r="K391" i="4"/>
  <c r="L391" i="4"/>
  <c r="M391" i="4"/>
  <c r="B392" i="4"/>
  <c r="C392" i="4"/>
  <c r="D392" i="4"/>
  <c r="E392" i="4"/>
  <c r="F392" i="4"/>
  <c r="G392" i="4"/>
  <c r="H392" i="4"/>
  <c r="I392" i="4"/>
  <c r="J392" i="4"/>
  <c r="K392" i="4"/>
  <c r="L392" i="4"/>
  <c r="M392" i="4"/>
  <c r="B393" i="4"/>
  <c r="C393" i="4"/>
  <c r="D393" i="4"/>
  <c r="E393" i="4"/>
  <c r="F393" i="4"/>
  <c r="G393" i="4"/>
  <c r="H393" i="4"/>
  <c r="I393" i="4"/>
  <c r="J393" i="4"/>
  <c r="K393" i="4"/>
  <c r="L393" i="4"/>
  <c r="M393" i="4"/>
  <c r="B394" i="4"/>
  <c r="C394" i="4"/>
  <c r="D394" i="4"/>
  <c r="E394" i="4"/>
  <c r="F394" i="4"/>
  <c r="G394" i="4"/>
  <c r="H394" i="4"/>
  <c r="I394" i="4"/>
  <c r="J394" i="4"/>
  <c r="K394" i="4"/>
  <c r="L394" i="4"/>
  <c r="M394" i="4"/>
  <c r="B395" i="4"/>
  <c r="C395" i="4"/>
  <c r="D395" i="4"/>
  <c r="E395" i="4"/>
  <c r="F395" i="4"/>
  <c r="G395" i="4"/>
  <c r="H395" i="4"/>
  <c r="I395" i="4"/>
  <c r="J395" i="4"/>
  <c r="K395" i="4"/>
  <c r="L395" i="4"/>
  <c r="M395" i="4"/>
  <c r="B396" i="4"/>
  <c r="C396" i="4"/>
  <c r="D396" i="4"/>
  <c r="E396" i="4"/>
  <c r="F396" i="4"/>
  <c r="G396" i="4"/>
  <c r="H396" i="4"/>
  <c r="I396" i="4"/>
  <c r="J396" i="4"/>
  <c r="K396" i="4"/>
  <c r="L396" i="4"/>
  <c r="M396" i="4"/>
  <c r="B397" i="4"/>
  <c r="C397" i="4"/>
  <c r="D397" i="4"/>
  <c r="E397" i="4"/>
  <c r="F397" i="4"/>
  <c r="G397" i="4"/>
  <c r="H397" i="4"/>
  <c r="I397" i="4"/>
  <c r="J397" i="4"/>
  <c r="K397" i="4"/>
  <c r="L397" i="4"/>
  <c r="M397" i="4"/>
  <c r="B398" i="4"/>
  <c r="C398" i="4"/>
  <c r="D398" i="4"/>
  <c r="E398" i="4"/>
  <c r="F398" i="4"/>
  <c r="G398" i="4"/>
  <c r="H398" i="4"/>
  <c r="I398" i="4"/>
  <c r="J398" i="4"/>
  <c r="K398" i="4"/>
  <c r="L398" i="4"/>
  <c r="M398" i="4"/>
  <c r="B399" i="4"/>
  <c r="C399" i="4"/>
  <c r="D399" i="4"/>
  <c r="E399" i="4"/>
  <c r="F399" i="4"/>
  <c r="G399" i="4"/>
  <c r="H399" i="4"/>
  <c r="I399" i="4"/>
  <c r="J399" i="4"/>
  <c r="K399" i="4"/>
  <c r="L399" i="4"/>
  <c r="M399" i="4"/>
  <c r="B400" i="4"/>
  <c r="C400" i="4"/>
  <c r="D400" i="4"/>
  <c r="E400" i="4"/>
  <c r="F400" i="4"/>
  <c r="G400" i="4"/>
  <c r="H400" i="4"/>
  <c r="I400" i="4"/>
  <c r="J400" i="4"/>
  <c r="K400" i="4"/>
  <c r="L400" i="4"/>
  <c r="M400" i="4"/>
  <c r="B401" i="4"/>
  <c r="C401" i="4"/>
  <c r="D401" i="4"/>
  <c r="E401" i="4"/>
  <c r="F401" i="4"/>
  <c r="G401" i="4"/>
  <c r="H401" i="4"/>
  <c r="I401" i="4"/>
  <c r="J401" i="4"/>
  <c r="K401" i="4"/>
  <c r="L401" i="4"/>
  <c r="M401" i="4"/>
  <c r="B402" i="4"/>
  <c r="C402" i="4"/>
  <c r="D402" i="4"/>
  <c r="E402" i="4"/>
  <c r="F402" i="4"/>
  <c r="G402" i="4"/>
  <c r="H402" i="4"/>
  <c r="I402" i="4"/>
  <c r="J402" i="4"/>
  <c r="K402" i="4"/>
  <c r="L402" i="4"/>
  <c r="M402" i="4"/>
  <c r="B403" i="4"/>
  <c r="C403" i="4"/>
  <c r="D403" i="4"/>
  <c r="E403" i="4"/>
  <c r="F403" i="4"/>
  <c r="G403" i="4"/>
  <c r="H403" i="4"/>
  <c r="I403" i="4"/>
  <c r="J403" i="4"/>
  <c r="K403" i="4"/>
  <c r="L403" i="4"/>
  <c r="M403" i="4"/>
  <c r="B404" i="4"/>
  <c r="C404" i="4"/>
  <c r="D404" i="4"/>
  <c r="E404" i="4"/>
  <c r="F404" i="4"/>
  <c r="G404" i="4"/>
  <c r="H404" i="4"/>
  <c r="I404" i="4"/>
  <c r="J404" i="4"/>
  <c r="K404" i="4"/>
  <c r="L404" i="4"/>
  <c r="M404" i="4"/>
  <c r="B405" i="4"/>
  <c r="C405" i="4"/>
  <c r="D405" i="4"/>
  <c r="E405" i="4"/>
  <c r="F405" i="4"/>
  <c r="G405" i="4"/>
  <c r="H405" i="4"/>
  <c r="I405" i="4"/>
  <c r="J405" i="4"/>
  <c r="K405" i="4"/>
  <c r="L405" i="4"/>
  <c r="M405" i="4"/>
  <c r="B406" i="4"/>
  <c r="C406" i="4"/>
  <c r="D406" i="4"/>
  <c r="E406" i="4"/>
  <c r="F406" i="4"/>
  <c r="G406" i="4"/>
  <c r="H406" i="4"/>
  <c r="I406" i="4"/>
  <c r="J406" i="4"/>
  <c r="K406" i="4"/>
  <c r="L406" i="4"/>
  <c r="M406" i="4"/>
  <c r="B407" i="4"/>
  <c r="C407" i="4"/>
  <c r="D407" i="4"/>
  <c r="E407" i="4"/>
  <c r="F407" i="4"/>
  <c r="G407" i="4"/>
  <c r="H407" i="4"/>
  <c r="I407" i="4"/>
  <c r="J407" i="4"/>
  <c r="K407" i="4"/>
  <c r="L407" i="4"/>
  <c r="M407" i="4"/>
  <c r="B408" i="4"/>
  <c r="C408" i="4"/>
  <c r="D408" i="4"/>
  <c r="E408" i="4"/>
  <c r="F408" i="4"/>
  <c r="G408" i="4"/>
  <c r="H408" i="4"/>
  <c r="I408" i="4"/>
  <c r="J408" i="4"/>
  <c r="K408" i="4"/>
  <c r="L408" i="4"/>
  <c r="M408" i="4"/>
  <c r="B409" i="4"/>
  <c r="C409" i="4"/>
  <c r="D409" i="4"/>
  <c r="E409" i="4"/>
  <c r="F409" i="4"/>
  <c r="G409" i="4"/>
  <c r="H409" i="4"/>
  <c r="I409" i="4"/>
  <c r="J409" i="4"/>
  <c r="K409" i="4"/>
  <c r="L409" i="4"/>
  <c r="M409" i="4"/>
  <c r="B410" i="4"/>
  <c r="C410" i="4"/>
  <c r="D410" i="4"/>
  <c r="E410" i="4"/>
  <c r="F410" i="4"/>
  <c r="G410" i="4"/>
  <c r="H410" i="4"/>
  <c r="I410" i="4"/>
  <c r="J410" i="4"/>
  <c r="K410" i="4"/>
  <c r="L410" i="4"/>
  <c r="M410" i="4"/>
  <c r="B411" i="4"/>
  <c r="C411" i="4"/>
  <c r="D411" i="4"/>
  <c r="E411" i="4"/>
  <c r="F411" i="4"/>
  <c r="G411" i="4"/>
  <c r="H411" i="4"/>
  <c r="I411" i="4"/>
  <c r="J411" i="4"/>
  <c r="K411" i="4"/>
  <c r="L411" i="4"/>
  <c r="M411" i="4"/>
  <c r="B412" i="4"/>
  <c r="C412" i="4"/>
  <c r="D412" i="4"/>
  <c r="E412" i="4"/>
  <c r="F412" i="4"/>
  <c r="G412" i="4"/>
  <c r="H412" i="4"/>
  <c r="I412" i="4"/>
  <c r="J412" i="4"/>
  <c r="K412" i="4"/>
  <c r="L412" i="4"/>
  <c r="M412" i="4"/>
  <c r="B413" i="4"/>
  <c r="C413" i="4"/>
  <c r="D413" i="4"/>
  <c r="E413" i="4"/>
  <c r="F413" i="4"/>
  <c r="G413" i="4"/>
  <c r="H413" i="4"/>
  <c r="I413" i="4"/>
  <c r="J413" i="4"/>
  <c r="K413" i="4"/>
  <c r="L413" i="4"/>
  <c r="M413" i="4"/>
  <c r="B414" i="4"/>
  <c r="C414" i="4"/>
  <c r="D414" i="4"/>
  <c r="E414" i="4"/>
  <c r="F414" i="4"/>
  <c r="G414" i="4"/>
  <c r="H414" i="4"/>
  <c r="I414" i="4"/>
  <c r="J414" i="4"/>
  <c r="K414" i="4"/>
  <c r="L414" i="4"/>
  <c r="M414" i="4"/>
  <c r="B415" i="4"/>
  <c r="C415" i="4"/>
  <c r="D415" i="4"/>
  <c r="E415" i="4"/>
  <c r="F415" i="4"/>
  <c r="G415" i="4"/>
  <c r="H415" i="4"/>
  <c r="I415" i="4"/>
  <c r="J415" i="4"/>
  <c r="K415" i="4"/>
  <c r="L415" i="4"/>
  <c r="M415" i="4"/>
  <c r="B416" i="4"/>
  <c r="C416" i="4"/>
  <c r="D416" i="4"/>
  <c r="E416" i="4"/>
  <c r="F416" i="4"/>
  <c r="G416" i="4"/>
  <c r="H416" i="4"/>
  <c r="I416" i="4"/>
  <c r="J416" i="4"/>
  <c r="K416" i="4"/>
  <c r="L416" i="4"/>
  <c r="M416" i="4"/>
  <c r="B417" i="4"/>
  <c r="C417" i="4"/>
  <c r="D417" i="4"/>
  <c r="E417" i="4"/>
  <c r="F417" i="4"/>
  <c r="G417" i="4"/>
  <c r="H417" i="4"/>
  <c r="I417" i="4"/>
  <c r="J417" i="4"/>
  <c r="K417" i="4"/>
  <c r="L417" i="4"/>
  <c r="M417" i="4"/>
  <c r="B418" i="4"/>
  <c r="C418" i="4"/>
  <c r="D418" i="4"/>
  <c r="E418" i="4"/>
  <c r="F418" i="4"/>
  <c r="G418" i="4"/>
  <c r="H418" i="4"/>
  <c r="I418" i="4"/>
  <c r="J418" i="4"/>
  <c r="K418" i="4"/>
  <c r="L418" i="4"/>
  <c r="M418" i="4"/>
  <c r="B419" i="4"/>
  <c r="C419" i="4"/>
  <c r="D419" i="4"/>
  <c r="E419" i="4"/>
  <c r="F419" i="4"/>
  <c r="G419" i="4"/>
  <c r="H419" i="4"/>
  <c r="I419" i="4"/>
  <c r="J419" i="4"/>
  <c r="K419" i="4"/>
  <c r="L419" i="4"/>
  <c r="M419" i="4"/>
  <c r="B420" i="4"/>
  <c r="C420" i="4"/>
  <c r="D420" i="4"/>
  <c r="E420" i="4"/>
  <c r="F420" i="4"/>
  <c r="G420" i="4"/>
  <c r="H420" i="4"/>
  <c r="I420" i="4"/>
  <c r="J420" i="4"/>
  <c r="K420" i="4"/>
  <c r="L420" i="4"/>
  <c r="M420" i="4"/>
  <c r="B421" i="4"/>
  <c r="C421" i="4"/>
  <c r="D421" i="4"/>
  <c r="E421" i="4"/>
  <c r="F421" i="4"/>
  <c r="G421" i="4"/>
  <c r="H421" i="4"/>
  <c r="I421" i="4"/>
  <c r="J421" i="4"/>
  <c r="K421" i="4"/>
  <c r="L421" i="4"/>
  <c r="M421" i="4"/>
  <c r="B422" i="4"/>
  <c r="C422" i="4"/>
  <c r="D422" i="4"/>
  <c r="E422" i="4"/>
  <c r="F422" i="4"/>
  <c r="G422" i="4"/>
  <c r="H422" i="4"/>
  <c r="I422" i="4"/>
  <c r="J422" i="4"/>
  <c r="K422" i="4"/>
  <c r="L422" i="4"/>
  <c r="M422" i="4"/>
  <c r="B423" i="4"/>
  <c r="C423" i="4"/>
  <c r="D423" i="4"/>
  <c r="E423" i="4"/>
  <c r="F423" i="4"/>
  <c r="G423" i="4"/>
  <c r="H423" i="4"/>
  <c r="I423" i="4"/>
  <c r="J423" i="4"/>
  <c r="K423" i="4"/>
  <c r="L423" i="4"/>
  <c r="M423" i="4"/>
  <c r="B424" i="4"/>
  <c r="C424" i="4"/>
  <c r="D424" i="4"/>
  <c r="E424" i="4"/>
  <c r="F424" i="4"/>
  <c r="G424" i="4"/>
  <c r="H424" i="4"/>
  <c r="I424" i="4"/>
  <c r="J424" i="4"/>
  <c r="K424" i="4"/>
  <c r="L424" i="4"/>
  <c r="M424" i="4"/>
  <c r="B425" i="4"/>
  <c r="C425" i="4"/>
  <c r="D425" i="4"/>
  <c r="E425" i="4"/>
  <c r="F425" i="4"/>
  <c r="G425" i="4"/>
  <c r="H425" i="4"/>
  <c r="I425" i="4"/>
  <c r="J425" i="4"/>
  <c r="K425" i="4"/>
  <c r="L425" i="4"/>
  <c r="M425" i="4"/>
  <c r="B426" i="4"/>
  <c r="C426" i="4"/>
  <c r="D426" i="4"/>
  <c r="E426" i="4"/>
  <c r="F426" i="4"/>
  <c r="G426" i="4"/>
  <c r="H426" i="4"/>
  <c r="I426" i="4"/>
  <c r="J426" i="4"/>
  <c r="K426" i="4"/>
  <c r="L426" i="4"/>
  <c r="M426" i="4"/>
  <c r="B427" i="4"/>
  <c r="C427" i="4"/>
  <c r="D427" i="4"/>
  <c r="E427" i="4"/>
  <c r="F427" i="4"/>
  <c r="G427" i="4"/>
  <c r="H427" i="4"/>
  <c r="I427" i="4"/>
  <c r="J427" i="4"/>
  <c r="K427" i="4"/>
  <c r="L427" i="4"/>
  <c r="M427" i="4"/>
  <c r="B428" i="4"/>
  <c r="C428" i="4"/>
  <c r="D428" i="4"/>
  <c r="E428" i="4"/>
  <c r="F428" i="4"/>
  <c r="G428" i="4"/>
  <c r="H428" i="4"/>
  <c r="I428" i="4"/>
  <c r="J428" i="4"/>
  <c r="K428" i="4"/>
  <c r="L428" i="4"/>
  <c r="M428" i="4"/>
  <c r="B429" i="4"/>
  <c r="C429" i="4"/>
  <c r="D429" i="4"/>
  <c r="E429" i="4"/>
  <c r="F429" i="4"/>
  <c r="G429" i="4"/>
  <c r="H429" i="4"/>
  <c r="I429" i="4"/>
  <c r="J429" i="4"/>
  <c r="K429" i="4"/>
  <c r="L429" i="4"/>
  <c r="M429" i="4"/>
  <c r="B430" i="4"/>
  <c r="C430" i="4"/>
  <c r="D430" i="4"/>
  <c r="E430" i="4"/>
  <c r="F430" i="4"/>
  <c r="G430" i="4"/>
  <c r="H430" i="4"/>
  <c r="I430" i="4"/>
  <c r="J430" i="4"/>
  <c r="K430" i="4"/>
  <c r="L430" i="4"/>
  <c r="M430" i="4"/>
  <c r="B431" i="4"/>
  <c r="C431" i="4"/>
  <c r="D431" i="4"/>
  <c r="E431" i="4"/>
  <c r="F431" i="4"/>
  <c r="G431" i="4"/>
  <c r="H431" i="4"/>
  <c r="I431" i="4"/>
  <c r="J431" i="4"/>
  <c r="K431" i="4"/>
  <c r="L431" i="4"/>
  <c r="M431" i="4"/>
  <c r="B432" i="4"/>
  <c r="C432" i="4"/>
  <c r="D432" i="4"/>
  <c r="E432" i="4"/>
  <c r="F432" i="4"/>
  <c r="G432" i="4"/>
  <c r="H432" i="4"/>
  <c r="I432" i="4"/>
  <c r="J432" i="4"/>
  <c r="K432" i="4"/>
  <c r="L432" i="4"/>
  <c r="M432" i="4"/>
  <c r="B433" i="4"/>
  <c r="C433" i="4"/>
  <c r="D433" i="4"/>
  <c r="E433" i="4"/>
  <c r="F433" i="4"/>
  <c r="G433" i="4"/>
  <c r="H433" i="4"/>
  <c r="I433" i="4"/>
  <c r="J433" i="4"/>
  <c r="K433" i="4"/>
  <c r="L433" i="4"/>
  <c r="M433" i="4"/>
  <c r="B434" i="4"/>
  <c r="C434" i="4"/>
  <c r="D434" i="4"/>
  <c r="E434" i="4"/>
  <c r="F434" i="4"/>
  <c r="G434" i="4"/>
  <c r="H434" i="4"/>
  <c r="I434" i="4"/>
  <c r="J434" i="4"/>
  <c r="K434" i="4"/>
  <c r="L434" i="4"/>
  <c r="M434" i="4"/>
  <c r="B435" i="4"/>
  <c r="C435" i="4"/>
  <c r="D435" i="4"/>
  <c r="E435" i="4"/>
  <c r="F435" i="4"/>
  <c r="G435" i="4"/>
  <c r="H435" i="4"/>
  <c r="I435" i="4"/>
  <c r="J435" i="4"/>
  <c r="K435" i="4"/>
  <c r="L435" i="4"/>
  <c r="M435" i="4"/>
  <c r="B436" i="4"/>
  <c r="C436" i="4"/>
  <c r="D436" i="4"/>
  <c r="E436" i="4"/>
  <c r="F436" i="4"/>
  <c r="G436" i="4"/>
  <c r="H436" i="4"/>
  <c r="I436" i="4"/>
  <c r="J436" i="4"/>
  <c r="K436" i="4"/>
  <c r="L436" i="4"/>
  <c r="M436" i="4"/>
  <c r="B437" i="4"/>
  <c r="C437" i="4"/>
  <c r="D437" i="4"/>
  <c r="E437" i="4"/>
  <c r="F437" i="4"/>
  <c r="G437" i="4"/>
  <c r="H437" i="4"/>
  <c r="I437" i="4"/>
  <c r="J437" i="4"/>
  <c r="K437" i="4"/>
  <c r="L437" i="4"/>
  <c r="M437" i="4"/>
  <c r="B438" i="4"/>
  <c r="C438" i="4"/>
  <c r="D438" i="4"/>
  <c r="E438" i="4"/>
  <c r="F438" i="4"/>
  <c r="G438" i="4"/>
  <c r="H438" i="4"/>
  <c r="I438" i="4"/>
  <c r="J438" i="4"/>
  <c r="K438" i="4"/>
  <c r="L438" i="4"/>
  <c r="M438" i="4"/>
  <c r="B439" i="4"/>
  <c r="C439" i="4"/>
  <c r="D439" i="4"/>
  <c r="E439" i="4"/>
  <c r="F439" i="4"/>
  <c r="G439" i="4"/>
  <c r="H439" i="4"/>
  <c r="I439" i="4"/>
  <c r="J439" i="4"/>
  <c r="K439" i="4"/>
  <c r="L439" i="4"/>
  <c r="M439" i="4"/>
  <c r="B440" i="4"/>
  <c r="C440" i="4"/>
  <c r="D440" i="4"/>
  <c r="E440" i="4"/>
  <c r="F440" i="4"/>
  <c r="G440" i="4"/>
  <c r="H440" i="4"/>
  <c r="I440" i="4"/>
  <c r="J440" i="4"/>
  <c r="K440" i="4"/>
  <c r="L440" i="4"/>
  <c r="M440" i="4"/>
  <c r="B441" i="4"/>
  <c r="C441" i="4"/>
  <c r="D441" i="4"/>
  <c r="E441" i="4"/>
  <c r="F441" i="4"/>
  <c r="G441" i="4"/>
  <c r="H441" i="4"/>
  <c r="I441" i="4"/>
  <c r="J441" i="4"/>
  <c r="K441" i="4"/>
  <c r="L441" i="4"/>
  <c r="M441" i="4"/>
  <c r="B442" i="4"/>
  <c r="C442" i="4"/>
  <c r="D442" i="4"/>
  <c r="E442" i="4"/>
  <c r="F442" i="4"/>
  <c r="G442" i="4"/>
  <c r="H442" i="4"/>
  <c r="I442" i="4"/>
  <c r="J442" i="4"/>
  <c r="K442" i="4"/>
  <c r="L442" i="4"/>
  <c r="M442" i="4"/>
  <c r="B443" i="4"/>
  <c r="C443" i="4"/>
  <c r="D443" i="4"/>
  <c r="E443" i="4"/>
  <c r="F443" i="4"/>
  <c r="G443" i="4"/>
  <c r="H443" i="4"/>
  <c r="I443" i="4"/>
  <c r="J443" i="4"/>
  <c r="K443" i="4"/>
  <c r="L443" i="4"/>
  <c r="M443" i="4"/>
  <c r="B444" i="4"/>
  <c r="C444" i="4"/>
  <c r="D444" i="4"/>
  <c r="E444" i="4"/>
  <c r="F444" i="4"/>
  <c r="G444" i="4"/>
  <c r="H444" i="4"/>
  <c r="I444" i="4"/>
  <c r="J444" i="4"/>
  <c r="K444" i="4"/>
  <c r="L444" i="4"/>
  <c r="M444" i="4"/>
  <c r="B445" i="4"/>
  <c r="C445" i="4"/>
  <c r="D445" i="4"/>
  <c r="E445" i="4"/>
  <c r="F445" i="4"/>
  <c r="G445" i="4"/>
  <c r="H445" i="4"/>
  <c r="I445" i="4"/>
  <c r="J445" i="4"/>
  <c r="K445" i="4"/>
  <c r="L445" i="4"/>
  <c r="M445" i="4"/>
  <c r="B446" i="4"/>
  <c r="C446" i="4"/>
  <c r="D446" i="4"/>
  <c r="E446" i="4"/>
  <c r="F446" i="4"/>
  <c r="G446" i="4"/>
  <c r="H446" i="4"/>
  <c r="I446" i="4"/>
  <c r="J446" i="4"/>
  <c r="K446" i="4"/>
  <c r="L446" i="4"/>
  <c r="M446" i="4"/>
  <c r="B447" i="4"/>
  <c r="C447" i="4"/>
  <c r="D447" i="4"/>
  <c r="E447" i="4"/>
  <c r="F447" i="4"/>
  <c r="G447" i="4"/>
  <c r="H447" i="4"/>
  <c r="I447" i="4"/>
  <c r="J447" i="4"/>
  <c r="K447" i="4"/>
  <c r="L447" i="4"/>
  <c r="M447" i="4"/>
  <c r="B448" i="4"/>
  <c r="C448" i="4"/>
  <c r="D448" i="4"/>
  <c r="E448" i="4"/>
  <c r="F448" i="4"/>
  <c r="G448" i="4"/>
  <c r="H448" i="4"/>
  <c r="I448" i="4"/>
  <c r="J448" i="4"/>
  <c r="K448" i="4"/>
  <c r="L448" i="4"/>
  <c r="M448" i="4"/>
  <c r="B449" i="4"/>
  <c r="C449" i="4"/>
  <c r="D449" i="4"/>
  <c r="E449" i="4"/>
  <c r="F449" i="4"/>
  <c r="G449" i="4"/>
  <c r="H449" i="4"/>
  <c r="I449" i="4"/>
  <c r="J449" i="4"/>
  <c r="K449" i="4"/>
  <c r="L449" i="4"/>
  <c r="M449" i="4"/>
  <c r="B450" i="4"/>
  <c r="C450" i="4"/>
  <c r="D450" i="4"/>
  <c r="E450" i="4"/>
  <c r="F450" i="4"/>
  <c r="G450" i="4"/>
  <c r="H450" i="4"/>
  <c r="I450" i="4"/>
  <c r="J450" i="4"/>
  <c r="K450" i="4"/>
  <c r="L450" i="4"/>
  <c r="M450" i="4"/>
  <c r="B451" i="4"/>
  <c r="C451" i="4"/>
  <c r="D451" i="4"/>
  <c r="E451" i="4"/>
  <c r="F451" i="4"/>
  <c r="G451" i="4"/>
  <c r="H451" i="4"/>
  <c r="I451" i="4"/>
  <c r="J451" i="4"/>
  <c r="K451" i="4"/>
  <c r="L451" i="4"/>
  <c r="M451" i="4"/>
  <c r="B452" i="4"/>
  <c r="C452" i="4"/>
  <c r="D452" i="4"/>
  <c r="E452" i="4"/>
  <c r="F452" i="4"/>
  <c r="G452" i="4"/>
  <c r="H452" i="4"/>
  <c r="I452" i="4"/>
  <c r="J452" i="4"/>
  <c r="K452" i="4"/>
  <c r="L452" i="4"/>
  <c r="M452" i="4"/>
  <c r="B453" i="4"/>
  <c r="C453" i="4"/>
  <c r="D453" i="4"/>
  <c r="E453" i="4"/>
  <c r="F453" i="4"/>
  <c r="G453" i="4"/>
  <c r="H453" i="4"/>
  <c r="I453" i="4"/>
  <c r="J453" i="4"/>
  <c r="K453" i="4"/>
  <c r="L453" i="4"/>
  <c r="M453" i="4"/>
  <c r="B454" i="4"/>
  <c r="C454" i="4"/>
  <c r="D454" i="4"/>
  <c r="E454" i="4"/>
  <c r="F454" i="4"/>
  <c r="G454" i="4"/>
  <c r="H454" i="4"/>
  <c r="I454" i="4"/>
  <c r="J454" i="4"/>
  <c r="K454" i="4"/>
  <c r="L454" i="4"/>
  <c r="M454" i="4"/>
  <c r="B455" i="4"/>
  <c r="C455" i="4"/>
  <c r="D455" i="4"/>
  <c r="E455" i="4"/>
  <c r="F455" i="4"/>
  <c r="G455" i="4"/>
  <c r="H455" i="4"/>
  <c r="I455" i="4"/>
  <c r="J455" i="4"/>
  <c r="K455" i="4"/>
  <c r="L455" i="4"/>
  <c r="M455" i="4"/>
  <c r="B456" i="4"/>
  <c r="C456" i="4"/>
  <c r="D456" i="4"/>
  <c r="E456" i="4"/>
  <c r="F456" i="4"/>
  <c r="G456" i="4"/>
  <c r="H456" i="4"/>
  <c r="I456" i="4"/>
  <c r="J456" i="4"/>
  <c r="K456" i="4"/>
  <c r="L456" i="4"/>
  <c r="M456" i="4"/>
  <c r="B457" i="4"/>
  <c r="C457" i="4"/>
  <c r="D457" i="4"/>
  <c r="E457" i="4"/>
  <c r="F457" i="4"/>
  <c r="G457" i="4"/>
  <c r="H457" i="4"/>
  <c r="I457" i="4"/>
  <c r="J457" i="4"/>
  <c r="K457" i="4"/>
  <c r="L457" i="4"/>
  <c r="M457" i="4"/>
  <c r="B458" i="4"/>
  <c r="C458" i="4"/>
  <c r="D458" i="4"/>
  <c r="E458" i="4"/>
  <c r="F458" i="4"/>
  <c r="G458" i="4"/>
  <c r="H458" i="4"/>
  <c r="I458" i="4"/>
  <c r="J458" i="4"/>
  <c r="K458" i="4"/>
  <c r="L458" i="4"/>
  <c r="M458" i="4"/>
  <c r="B459" i="4"/>
  <c r="C459" i="4"/>
  <c r="D459" i="4"/>
  <c r="E459" i="4"/>
  <c r="F459" i="4"/>
  <c r="G459" i="4"/>
  <c r="H459" i="4"/>
  <c r="I459" i="4"/>
  <c r="J459" i="4"/>
  <c r="K459" i="4"/>
  <c r="L459" i="4"/>
  <c r="M459" i="4"/>
  <c r="B460" i="4"/>
  <c r="C460" i="4"/>
  <c r="D460" i="4"/>
  <c r="E460" i="4"/>
  <c r="F460" i="4"/>
  <c r="G460" i="4"/>
  <c r="H460" i="4"/>
  <c r="I460" i="4"/>
  <c r="J460" i="4"/>
  <c r="K460" i="4"/>
  <c r="L460" i="4"/>
  <c r="M460" i="4"/>
  <c r="B461" i="4"/>
  <c r="C461" i="4"/>
  <c r="D461" i="4"/>
  <c r="E461" i="4"/>
  <c r="F461" i="4"/>
  <c r="G461" i="4"/>
  <c r="H461" i="4"/>
  <c r="I461" i="4"/>
  <c r="J461" i="4"/>
  <c r="K461" i="4"/>
  <c r="L461" i="4"/>
  <c r="M461" i="4"/>
  <c r="B462" i="4"/>
  <c r="C462" i="4"/>
  <c r="D462" i="4"/>
  <c r="E462" i="4"/>
  <c r="F462" i="4"/>
  <c r="G462" i="4"/>
  <c r="H462" i="4"/>
  <c r="I462" i="4"/>
  <c r="J462" i="4"/>
  <c r="K462" i="4"/>
  <c r="L462" i="4"/>
  <c r="M462" i="4"/>
  <c r="B463" i="4"/>
  <c r="C463" i="4"/>
  <c r="D463" i="4"/>
  <c r="E463" i="4"/>
  <c r="F463" i="4"/>
  <c r="G463" i="4"/>
  <c r="H463" i="4"/>
  <c r="I463" i="4"/>
  <c r="J463" i="4"/>
  <c r="K463" i="4"/>
  <c r="L463" i="4"/>
  <c r="M463" i="4"/>
  <c r="B464" i="4"/>
  <c r="C464" i="4"/>
  <c r="D464" i="4"/>
  <c r="E464" i="4"/>
  <c r="F464" i="4"/>
  <c r="G464" i="4"/>
  <c r="H464" i="4"/>
  <c r="I464" i="4"/>
  <c r="J464" i="4"/>
  <c r="K464" i="4"/>
  <c r="L464" i="4"/>
  <c r="M464" i="4"/>
  <c r="B465" i="4"/>
  <c r="C465" i="4"/>
  <c r="D465" i="4"/>
  <c r="E465" i="4"/>
  <c r="F465" i="4"/>
  <c r="G465" i="4"/>
  <c r="H465" i="4"/>
  <c r="I465" i="4"/>
  <c r="J465" i="4"/>
  <c r="K465" i="4"/>
  <c r="L465" i="4"/>
  <c r="M465" i="4"/>
  <c r="B466" i="4"/>
  <c r="C466" i="4"/>
  <c r="D466" i="4"/>
  <c r="E466" i="4"/>
  <c r="F466" i="4"/>
  <c r="G466" i="4"/>
  <c r="H466" i="4"/>
  <c r="I466" i="4"/>
  <c r="J466" i="4"/>
  <c r="K466" i="4"/>
  <c r="L466" i="4"/>
  <c r="M466" i="4"/>
  <c r="B467" i="4"/>
  <c r="C467" i="4"/>
  <c r="D467" i="4"/>
  <c r="E467" i="4"/>
  <c r="F467" i="4"/>
  <c r="G467" i="4"/>
  <c r="H467" i="4"/>
  <c r="I467" i="4"/>
  <c r="J467" i="4"/>
  <c r="K467" i="4"/>
  <c r="L467" i="4"/>
  <c r="M467" i="4"/>
  <c r="B468" i="4"/>
  <c r="C468" i="4"/>
  <c r="D468" i="4"/>
  <c r="E468" i="4"/>
  <c r="F468" i="4"/>
  <c r="G468" i="4"/>
  <c r="H468" i="4"/>
  <c r="I468" i="4"/>
  <c r="J468" i="4"/>
  <c r="K468" i="4"/>
  <c r="L468" i="4"/>
  <c r="M468" i="4"/>
  <c r="B469" i="4"/>
  <c r="C469" i="4"/>
  <c r="D469" i="4"/>
  <c r="E469" i="4"/>
  <c r="F469" i="4"/>
  <c r="G469" i="4"/>
  <c r="H469" i="4"/>
  <c r="I469" i="4"/>
  <c r="J469" i="4"/>
  <c r="K469" i="4"/>
  <c r="L469" i="4"/>
  <c r="M469" i="4"/>
  <c r="B470" i="4"/>
  <c r="C470" i="4"/>
  <c r="D470" i="4"/>
  <c r="E470" i="4"/>
  <c r="F470" i="4"/>
  <c r="G470" i="4"/>
  <c r="H470" i="4"/>
  <c r="I470" i="4"/>
  <c r="J470" i="4"/>
  <c r="K470" i="4"/>
  <c r="L470" i="4"/>
  <c r="M470" i="4"/>
  <c r="B471" i="4"/>
  <c r="C471" i="4"/>
  <c r="D471" i="4"/>
  <c r="E471" i="4"/>
  <c r="F471" i="4"/>
  <c r="G471" i="4"/>
  <c r="H471" i="4"/>
  <c r="I471" i="4"/>
  <c r="J471" i="4"/>
  <c r="K471" i="4"/>
  <c r="L471" i="4"/>
  <c r="M471" i="4"/>
  <c r="B472" i="4"/>
  <c r="C472" i="4"/>
  <c r="D472" i="4"/>
  <c r="E472" i="4"/>
  <c r="F472" i="4"/>
  <c r="G472" i="4"/>
  <c r="H472" i="4"/>
  <c r="I472" i="4"/>
  <c r="J472" i="4"/>
  <c r="K472" i="4"/>
  <c r="L472" i="4"/>
  <c r="M472" i="4"/>
  <c r="B473" i="4"/>
  <c r="C473" i="4"/>
  <c r="D473" i="4"/>
  <c r="E473" i="4"/>
  <c r="F473" i="4"/>
  <c r="G473" i="4"/>
  <c r="H473" i="4"/>
  <c r="I473" i="4"/>
  <c r="J473" i="4"/>
  <c r="K473" i="4"/>
  <c r="L473" i="4"/>
  <c r="M473" i="4"/>
  <c r="B474" i="4"/>
  <c r="C474" i="4"/>
  <c r="D474" i="4"/>
  <c r="E474" i="4"/>
  <c r="F474" i="4"/>
  <c r="G474" i="4"/>
  <c r="H474" i="4"/>
  <c r="I474" i="4"/>
  <c r="J474" i="4"/>
  <c r="K474" i="4"/>
  <c r="L474" i="4"/>
  <c r="M474" i="4"/>
  <c r="B475" i="4"/>
  <c r="C475" i="4"/>
  <c r="D475" i="4"/>
  <c r="E475" i="4"/>
  <c r="F475" i="4"/>
  <c r="G475" i="4"/>
  <c r="H475" i="4"/>
  <c r="I475" i="4"/>
  <c r="J475" i="4"/>
  <c r="K475" i="4"/>
  <c r="L475" i="4"/>
  <c r="M475" i="4"/>
  <c r="B476" i="4"/>
  <c r="C476" i="4"/>
  <c r="D476" i="4"/>
  <c r="E476" i="4"/>
  <c r="F476" i="4"/>
  <c r="G476" i="4"/>
  <c r="H476" i="4"/>
  <c r="I476" i="4"/>
  <c r="J476" i="4"/>
  <c r="K476" i="4"/>
  <c r="L476" i="4"/>
  <c r="M476" i="4"/>
  <c r="B477" i="4"/>
  <c r="C477" i="4"/>
  <c r="D477" i="4"/>
  <c r="E477" i="4"/>
  <c r="F477" i="4"/>
  <c r="G477" i="4"/>
  <c r="H477" i="4"/>
  <c r="I477" i="4"/>
  <c r="J477" i="4"/>
  <c r="K477" i="4"/>
  <c r="L477" i="4"/>
  <c r="M477" i="4"/>
  <c r="B478" i="4"/>
  <c r="C478" i="4"/>
  <c r="D478" i="4"/>
  <c r="E478" i="4"/>
  <c r="F478" i="4"/>
  <c r="G478" i="4"/>
  <c r="H478" i="4"/>
  <c r="I478" i="4"/>
  <c r="J478" i="4"/>
  <c r="K478" i="4"/>
  <c r="L478" i="4"/>
  <c r="M478" i="4"/>
  <c r="B479" i="4"/>
  <c r="C479" i="4"/>
  <c r="D479" i="4"/>
  <c r="E479" i="4"/>
  <c r="F479" i="4"/>
  <c r="G479" i="4"/>
  <c r="H479" i="4"/>
  <c r="I479" i="4"/>
  <c r="J479" i="4"/>
  <c r="K479" i="4"/>
  <c r="L479" i="4"/>
  <c r="M479" i="4"/>
  <c r="B480" i="4"/>
  <c r="C480" i="4"/>
  <c r="D480" i="4"/>
  <c r="E480" i="4"/>
  <c r="F480" i="4"/>
  <c r="G480" i="4"/>
  <c r="H480" i="4"/>
  <c r="I480" i="4"/>
  <c r="J480" i="4"/>
  <c r="K480" i="4"/>
  <c r="L480" i="4"/>
  <c r="M480" i="4"/>
  <c r="B481" i="4"/>
  <c r="C481" i="4"/>
  <c r="D481" i="4"/>
  <c r="E481" i="4"/>
  <c r="F481" i="4"/>
  <c r="G481" i="4"/>
  <c r="H481" i="4"/>
  <c r="I481" i="4"/>
  <c r="J481" i="4"/>
  <c r="K481" i="4"/>
  <c r="L481" i="4"/>
  <c r="M481" i="4"/>
  <c r="B482" i="4"/>
  <c r="C482" i="4"/>
  <c r="D482" i="4"/>
  <c r="E482" i="4"/>
  <c r="F482" i="4"/>
  <c r="G482" i="4"/>
  <c r="H482" i="4"/>
  <c r="I482" i="4"/>
  <c r="J482" i="4"/>
  <c r="K482" i="4"/>
  <c r="L482" i="4"/>
  <c r="M482" i="4"/>
  <c r="B483" i="4"/>
  <c r="C483" i="4"/>
  <c r="D483" i="4"/>
  <c r="E483" i="4"/>
  <c r="F483" i="4"/>
  <c r="G483" i="4"/>
  <c r="H483" i="4"/>
  <c r="I483" i="4"/>
  <c r="J483" i="4"/>
  <c r="K483" i="4"/>
  <c r="L483" i="4"/>
  <c r="M483" i="4"/>
  <c r="B484" i="4"/>
  <c r="C484" i="4"/>
  <c r="D484" i="4"/>
  <c r="E484" i="4"/>
  <c r="F484" i="4"/>
  <c r="G484" i="4"/>
  <c r="H484" i="4"/>
  <c r="I484" i="4"/>
  <c r="J484" i="4"/>
  <c r="K484" i="4"/>
  <c r="L484" i="4"/>
  <c r="M484" i="4"/>
  <c r="B485" i="4"/>
  <c r="C485" i="4"/>
  <c r="D485" i="4"/>
  <c r="E485" i="4"/>
  <c r="F485" i="4"/>
  <c r="G485" i="4"/>
  <c r="H485" i="4"/>
  <c r="I485" i="4"/>
  <c r="J485" i="4"/>
  <c r="K485" i="4"/>
  <c r="L485" i="4"/>
  <c r="M485" i="4"/>
  <c r="B486" i="4"/>
  <c r="C486" i="4"/>
  <c r="D486" i="4"/>
  <c r="E486" i="4"/>
  <c r="F486" i="4"/>
  <c r="G486" i="4"/>
  <c r="H486" i="4"/>
  <c r="I486" i="4"/>
  <c r="J486" i="4"/>
  <c r="K486" i="4"/>
  <c r="L486" i="4"/>
  <c r="M486" i="4"/>
  <c r="B487" i="4"/>
  <c r="C487" i="4"/>
  <c r="D487" i="4"/>
  <c r="E487" i="4"/>
  <c r="F487" i="4"/>
  <c r="G487" i="4"/>
  <c r="H487" i="4"/>
  <c r="I487" i="4"/>
  <c r="J487" i="4"/>
  <c r="K487" i="4"/>
  <c r="L487" i="4"/>
  <c r="M487" i="4"/>
  <c r="B488" i="4"/>
  <c r="C488" i="4"/>
  <c r="D488" i="4"/>
  <c r="E488" i="4"/>
  <c r="F488" i="4"/>
  <c r="G488" i="4"/>
  <c r="H488" i="4"/>
  <c r="I488" i="4"/>
  <c r="J488" i="4"/>
  <c r="K488" i="4"/>
  <c r="L488" i="4"/>
  <c r="M488" i="4"/>
  <c r="B489" i="4"/>
  <c r="C489" i="4"/>
  <c r="D489" i="4"/>
  <c r="E489" i="4"/>
  <c r="F489" i="4"/>
  <c r="G489" i="4"/>
  <c r="H489" i="4"/>
  <c r="I489" i="4"/>
  <c r="J489" i="4"/>
  <c r="K489" i="4"/>
  <c r="L489" i="4"/>
  <c r="M489" i="4"/>
  <c r="B490" i="4"/>
  <c r="C490" i="4"/>
  <c r="D490" i="4"/>
  <c r="E490" i="4"/>
  <c r="F490" i="4"/>
  <c r="G490" i="4"/>
  <c r="H490" i="4"/>
  <c r="I490" i="4"/>
  <c r="J490" i="4"/>
  <c r="K490" i="4"/>
  <c r="L490" i="4"/>
  <c r="M490" i="4"/>
  <c r="B491" i="4"/>
  <c r="C491" i="4"/>
  <c r="D491" i="4"/>
  <c r="E491" i="4"/>
  <c r="F491" i="4"/>
  <c r="G491" i="4"/>
  <c r="H491" i="4"/>
  <c r="I491" i="4"/>
  <c r="J491" i="4"/>
  <c r="K491" i="4"/>
  <c r="L491" i="4"/>
  <c r="M491" i="4"/>
  <c r="B492" i="4"/>
  <c r="C492" i="4"/>
  <c r="D492" i="4"/>
  <c r="E492" i="4"/>
  <c r="F492" i="4"/>
  <c r="G492" i="4"/>
  <c r="H492" i="4"/>
  <c r="I492" i="4"/>
  <c r="J492" i="4"/>
  <c r="K492" i="4"/>
  <c r="L492" i="4"/>
  <c r="M492" i="4"/>
  <c r="B493" i="4"/>
  <c r="C493" i="4"/>
  <c r="D493" i="4"/>
  <c r="E493" i="4"/>
  <c r="F493" i="4"/>
  <c r="G493" i="4"/>
  <c r="H493" i="4"/>
  <c r="I493" i="4"/>
  <c r="J493" i="4"/>
  <c r="K493" i="4"/>
  <c r="L493" i="4"/>
  <c r="M493" i="4"/>
  <c r="B494" i="4"/>
  <c r="C494" i="4"/>
  <c r="D494" i="4"/>
  <c r="E494" i="4"/>
  <c r="F494" i="4"/>
  <c r="G494" i="4"/>
  <c r="H494" i="4"/>
  <c r="I494" i="4"/>
  <c r="J494" i="4"/>
  <c r="K494" i="4"/>
  <c r="L494" i="4"/>
  <c r="M494" i="4"/>
  <c r="B495" i="4"/>
  <c r="C495" i="4"/>
  <c r="D495" i="4"/>
  <c r="E495" i="4"/>
  <c r="F495" i="4"/>
  <c r="G495" i="4"/>
  <c r="H495" i="4"/>
  <c r="I495" i="4"/>
  <c r="J495" i="4"/>
  <c r="K495" i="4"/>
  <c r="L495" i="4"/>
  <c r="M495" i="4"/>
  <c r="B496" i="4"/>
  <c r="C496" i="4"/>
  <c r="D496" i="4"/>
  <c r="E496" i="4"/>
  <c r="F496" i="4"/>
  <c r="G496" i="4"/>
  <c r="H496" i="4"/>
  <c r="I496" i="4"/>
  <c r="J496" i="4"/>
  <c r="K496" i="4"/>
  <c r="L496" i="4"/>
  <c r="M496" i="4"/>
  <c r="B497" i="4"/>
  <c r="C497" i="4"/>
  <c r="D497" i="4"/>
  <c r="E497" i="4"/>
  <c r="F497" i="4"/>
  <c r="G497" i="4"/>
  <c r="H497" i="4"/>
  <c r="I497" i="4"/>
  <c r="J497" i="4"/>
  <c r="K497" i="4"/>
  <c r="L497" i="4"/>
  <c r="M497" i="4"/>
  <c r="B498" i="4"/>
  <c r="C498" i="4"/>
  <c r="D498" i="4"/>
  <c r="E498" i="4"/>
  <c r="F498" i="4"/>
  <c r="G498" i="4"/>
  <c r="H498" i="4"/>
  <c r="I498" i="4"/>
  <c r="J498" i="4"/>
  <c r="K498" i="4"/>
  <c r="L498" i="4"/>
  <c r="M498" i="4"/>
  <c r="B499" i="4"/>
  <c r="C499" i="4"/>
  <c r="D499" i="4"/>
  <c r="E499" i="4"/>
  <c r="F499" i="4"/>
  <c r="G499" i="4"/>
  <c r="H499" i="4"/>
  <c r="I499" i="4"/>
  <c r="J499" i="4"/>
  <c r="K499" i="4"/>
  <c r="L499" i="4"/>
  <c r="M499" i="4"/>
  <c r="B500" i="4"/>
  <c r="C500" i="4"/>
  <c r="D500" i="4"/>
  <c r="E500" i="4"/>
  <c r="F500" i="4"/>
  <c r="G500" i="4"/>
  <c r="H500" i="4"/>
  <c r="I500" i="4"/>
  <c r="J500" i="4"/>
  <c r="K500" i="4"/>
  <c r="L500" i="4"/>
  <c r="M500" i="4"/>
  <c r="B501" i="4"/>
  <c r="C501" i="4"/>
  <c r="D501" i="4"/>
  <c r="E501" i="4"/>
  <c r="F501" i="4"/>
  <c r="G501" i="4"/>
  <c r="H501" i="4"/>
  <c r="I501" i="4"/>
  <c r="J501" i="4"/>
  <c r="K501" i="4"/>
  <c r="L501" i="4"/>
  <c r="M501" i="4"/>
  <c r="B502" i="4"/>
  <c r="C502" i="4"/>
  <c r="D502" i="4"/>
  <c r="E502" i="4"/>
  <c r="F502" i="4"/>
  <c r="G502" i="4"/>
  <c r="H502" i="4"/>
  <c r="I502" i="4"/>
  <c r="J502" i="4"/>
  <c r="K502" i="4"/>
  <c r="L502" i="4"/>
  <c r="M502" i="4"/>
  <c r="B503" i="4"/>
  <c r="C503" i="4"/>
  <c r="D503" i="4"/>
  <c r="E503" i="4"/>
  <c r="F503" i="4"/>
  <c r="G503" i="4"/>
  <c r="H503" i="4"/>
  <c r="I503" i="4"/>
  <c r="J503" i="4"/>
  <c r="K503" i="4"/>
  <c r="L503" i="4"/>
  <c r="M503" i="4"/>
  <c r="B504" i="4"/>
  <c r="C504" i="4"/>
  <c r="D504" i="4"/>
  <c r="E504" i="4"/>
  <c r="F504" i="4"/>
  <c r="G504" i="4"/>
  <c r="H504" i="4"/>
  <c r="I504" i="4"/>
  <c r="J504" i="4"/>
  <c r="K504" i="4"/>
  <c r="L504" i="4"/>
  <c r="M504" i="4"/>
  <c r="B505" i="4"/>
  <c r="C505" i="4"/>
  <c r="D505" i="4"/>
  <c r="E505" i="4"/>
  <c r="F505" i="4"/>
  <c r="G505" i="4"/>
  <c r="H505" i="4"/>
  <c r="I505" i="4"/>
  <c r="J505" i="4"/>
  <c r="K505" i="4"/>
  <c r="L505" i="4"/>
  <c r="M505" i="4"/>
  <c r="B506" i="4"/>
  <c r="C506" i="4"/>
  <c r="D506" i="4"/>
  <c r="E506" i="4"/>
  <c r="F506" i="4"/>
  <c r="G506" i="4"/>
  <c r="H506" i="4"/>
  <c r="I506" i="4"/>
  <c r="J506" i="4"/>
  <c r="K506" i="4"/>
  <c r="L506" i="4"/>
  <c r="M506" i="4"/>
  <c r="B507" i="4"/>
  <c r="C507" i="4"/>
  <c r="D507" i="4"/>
  <c r="E507" i="4"/>
  <c r="F507" i="4"/>
  <c r="G507" i="4"/>
  <c r="H507" i="4"/>
  <c r="I507" i="4"/>
  <c r="J507" i="4"/>
  <c r="K507" i="4"/>
  <c r="L507" i="4"/>
  <c r="M507" i="4"/>
  <c r="B508" i="4"/>
  <c r="C508" i="4"/>
  <c r="D508" i="4"/>
  <c r="E508" i="4"/>
  <c r="F508" i="4"/>
  <c r="G508" i="4"/>
  <c r="H508" i="4"/>
  <c r="I508" i="4"/>
  <c r="J508" i="4"/>
  <c r="K508" i="4"/>
  <c r="L508" i="4"/>
  <c r="M508" i="4"/>
  <c r="B509" i="4"/>
  <c r="C509" i="4"/>
  <c r="D509" i="4"/>
  <c r="E509" i="4"/>
  <c r="F509" i="4"/>
  <c r="G509" i="4"/>
  <c r="H509" i="4"/>
  <c r="I509" i="4"/>
  <c r="J509" i="4"/>
  <c r="K509" i="4"/>
  <c r="L509" i="4"/>
  <c r="M509" i="4"/>
  <c r="B510" i="4"/>
  <c r="C510" i="4"/>
  <c r="D510" i="4"/>
  <c r="E510" i="4"/>
  <c r="F510" i="4"/>
  <c r="G510" i="4"/>
  <c r="H510" i="4"/>
  <c r="I510" i="4"/>
  <c r="J510" i="4"/>
  <c r="K510" i="4"/>
  <c r="L510" i="4"/>
  <c r="M510" i="4"/>
  <c r="B511" i="4"/>
  <c r="C511" i="4"/>
  <c r="D511" i="4"/>
  <c r="E511" i="4"/>
  <c r="F511" i="4"/>
  <c r="G511" i="4"/>
  <c r="H511" i="4"/>
  <c r="I511" i="4"/>
  <c r="J511" i="4"/>
  <c r="K511" i="4"/>
  <c r="L511" i="4"/>
  <c r="M511" i="4"/>
  <c r="B512" i="4"/>
  <c r="C512" i="4"/>
  <c r="D512" i="4"/>
  <c r="E512" i="4"/>
  <c r="F512" i="4"/>
  <c r="G512" i="4"/>
  <c r="H512" i="4"/>
  <c r="I512" i="4"/>
  <c r="J512" i="4"/>
  <c r="K512" i="4"/>
  <c r="L512" i="4"/>
  <c r="M512" i="4"/>
  <c r="B513" i="4"/>
  <c r="C513" i="4"/>
  <c r="D513" i="4"/>
  <c r="E513" i="4"/>
  <c r="F513" i="4"/>
  <c r="G513" i="4"/>
  <c r="H513" i="4"/>
  <c r="I513" i="4"/>
  <c r="J513" i="4"/>
  <c r="K513" i="4"/>
  <c r="L513" i="4"/>
  <c r="M513" i="4"/>
  <c r="B514" i="4"/>
  <c r="C514" i="4"/>
  <c r="D514" i="4"/>
  <c r="E514" i="4"/>
  <c r="F514" i="4"/>
  <c r="G514" i="4"/>
  <c r="H514" i="4"/>
  <c r="I514" i="4"/>
  <c r="J514" i="4"/>
  <c r="K514" i="4"/>
  <c r="L514" i="4"/>
  <c r="M514" i="4"/>
  <c r="B515" i="4"/>
  <c r="C515" i="4"/>
  <c r="D515" i="4"/>
  <c r="E515" i="4"/>
  <c r="F515" i="4"/>
  <c r="G515" i="4"/>
  <c r="H515" i="4"/>
  <c r="I515" i="4"/>
  <c r="J515" i="4"/>
  <c r="K515" i="4"/>
  <c r="L515" i="4"/>
  <c r="M515" i="4"/>
  <c r="B516" i="4"/>
  <c r="C516" i="4"/>
  <c r="D516" i="4"/>
  <c r="E516" i="4"/>
  <c r="F516" i="4"/>
  <c r="G516" i="4"/>
  <c r="H516" i="4"/>
  <c r="I516" i="4"/>
  <c r="J516" i="4"/>
  <c r="K516" i="4"/>
  <c r="L516" i="4"/>
  <c r="M516" i="4"/>
  <c r="B517" i="4"/>
  <c r="C517" i="4"/>
  <c r="D517" i="4"/>
  <c r="E517" i="4"/>
  <c r="F517" i="4"/>
  <c r="G517" i="4"/>
  <c r="H517" i="4"/>
  <c r="I517" i="4"/>
  <c r="J517" i="4"/>
  <c r="K517" i="4"/>
  <c r="L517" i="4"/>
  <c r="M517" i="4"/>
  <c r="B518" i="4"/>
  <c r="C518" i="4"/>
  <c r="D518" i="4"/>
  <c r="E518" i="4"/>
  <c r="F518" i="4"/>
  <c r="G518" i="4"/>
  <c r="H518" i="4"/>
  <c r="I518" i="4"/>
  <c r="J518" i="4"/>
  <c r="K518" i="4"/>
  <c r="L518" i="4"/>
  <c r="M518" i="4"/>
  <c r="B519" i="4"/>
  <c r="C519" i="4"/>
  <c r="D519" i="4"/>
  <c r="E519" i="4"/>
  <c r="F519" i="4"/>
  <c r="G519" i="4"/>
  <c r="H519" i="4"/>
  <c r="I519" i="4"/>
  <c r="J519" i="4"/>
  <c r="K519" i="4"/>
  <c r="L519" i="4"/>
  <c r="M519" i="4"/>
  <c r="B520" i="4"/>
  <c r="C520" i="4"/>
  <c r="D520" i="4"/>
  <c r="E520" i="4"/>
  <c r="F520" i="4"/>
  <c r="G520" i="4"/>
  <c r="H520" i="4"/>
  <c r="I520" i="4"/>
  <c r="J520" i="4"/>
  <c r="K520" i="4"/>
  <c r="L520" i="4"/>
  <c r="M520" i="4"/>
  <c r="B521" i="4"/>
  <c r="C521" i="4"/>
  <c r="D521" i="4"/>
  <c r="E521" i="4"/>
  <c r="F521" i="4"/>
  <c r="G521" i="4"/>
  <c r="H521" i="4"/>
  <c r="I521" i="4"/>
  <c r="J521" i="4"/>
  <c r="K521" i="4"/>
  <c r="L521" i="4"/>
  <c r="M521" i="4"/>
  <c r="B522" i="4"/>
  <c r="C522" i="4"/>
  <c r="D522" i="4"/>
  <c r="E522" i="4"/>
  <c r="F522" i="4"/>
  <c r="G522" i="4"/>
  <c r="H522" i="4"/>
  <c r="I522" i="4"/>
  <c r="J522" i="4"/>
  <c r="K522" i="4"/>
  <c r="L522" i="4"/>
  <c r="M522" i="4"/>
  <c r="B523" i="4"/>
  <c r="C523" i="4"/>
  <c r="D523" i="4"/>
  <c r="E523" i="4"/>
  <c r="F523" i="4"/>
  <c r="G523" i="4"/>
  <c r="H523" i="4"/>
  <c r="I523" i="4"/>
  <c r="J523" i="4"/>
  <c r="K523" i="4"/>
  <c r="L523" i="4"/>
  <c r="M523" i="4"/>
  <c r="B524" i="4"/>
  <c r="C524" i="4"/>
  <c r="D524" i="4"/>
  <c r="E524" i="4"/>
  <c r="F524" i="4"/>
  <c r="G524" i="4"/>
  <c r="H524" i="4"/>
  <c r="I524" i="4"/>
  <c r="J524" i="4"/>
  <c r="K524" i="4"/>
  <c r="L524" i="4"/>
  <c r="M524" i="4"/>
  <c r="B525" i="4"/>
  <c r="C525" i="4"/>
  <c r="D525" i="4"/>
  <c r="E525" i="4"/>
  <c r="F525" i="4"/>
  <c r="G525" i="4"/>
  <c r="H525" i="4"/>
  <c r="I525" i="4"/>
  <c r="J525" i="4"/>
  <c r="K525" i="4"/>
  <c r="L525" i="4"/>
  <c r="M525" i="4"/>
  <c r="B526" i="4"/>
  <c r="C526" i="4"/>
  <c r="D526" i="4"/>
  <c r="E526" i="4"/>
  <c r="F526" i="4"/>
  <c r="G526" i="4"/>
  <c r="H526" i="4"/>
  <c r="I526" i="4"/>
  <c r="J526" i="4"/>
  <c r="K526" i="4"/>
  <c r="L526" i="4"/>
  <c r="M526" i="4"/>
  <c r="B527" i="4"/>
  <c r="C527" i="4"/>
  <c r="D527" i="4"/>
  <c r="E527" i="4"/>
  <c r="F527" i="4"/>
  <c r="G527" i="4"/>
  <c r="H527" i="4"/>
  <c r="I527" i="4"/>
  <c r="J527" i="4"/>
  <c r="K527" i="4"/>
  <c r="L527" i="4"/>
  <c r="M527" i="4"/>
  <c r="B528" i="4"/>
  <c r="C528" i="4"/>
  <c r="D528" i="4"/>
  <c r="E528" i="4"/>
  <c r="F528" i="4"/>
  <c r="G528" i="4"/>
  <c r="H528" i="4"/>
  <c r="I528" i="4"/>
  <c r="J528" i="4"/>
  <c r="K528" i="4"/>
  <c r="L528" i="4"/>
  <c r="M528" i="4"/>
  <c r="B529" i="4"/>
  <c r="C529" i="4"/>
  <c r="D529" i="4"/>
  <c r="E529" i="4"/>
  <c r="F529" i="4"/>
  <c r="G529" i="4"/>
  <c r="H529" i="4"/>
  <c r="I529" i="4"/>
  <c r="J529" i="4"/>
  <c r="K529" i="4"/>
  <c r="L529" i="4"/>
  <c r="M529" i="4"/>
  <c r="B530" i="4"/>
  <c r="C530" i="4"/>
  <c r="D530" i="4"/>
  <c r="E530" i="4"/>
  <c r="F530" i="4"/>
  <c r="G530" i="4"/>
  <c r="H530" i="4"/>
  <c r="I530" i="4"/>
  <c r="J530" i="4"/>
  <c r="K530" i="4"/>
  <c r="L530" i="4"/>
  <c r="M530" i="4"/>
  <c r="B531" i="4"/>
  <c r="C531" i="4"/>
  <c r="D531" i="4"/>
  <c r="E531" i="4"/>
  <c r="F531" i="4"/>
  <c r="G531" i="4"/>
  <c r="H531" i="4"/>
  <c r="I531" i="4"/>
  <c r="J531" i="4"/>
  <c r="K531" i="4"/>
  <c r="L531" i="4"/>
  <c r="M531" i="4"/>
  <c r="B532" i="4"/>
  <c r="C532" i="4"/>
  <c r="D532" i="4"/>
  <c r="E532" i="4"/>
  <c r="F532" i="4"/>
  <c r="G532" i="4"/>
  <c r="H532" i="4"/>
  <c r="I532" i="4"/>
  <c r="J532" i="4"/>
  <c r="K532" i="4"/>
  <c r="L532" i="4"/>
  <c r="M532" i="4"/>
  <c r="B533" i="4"/>
  <c r="C533" i="4"/>
  <c r="D533" i="4"/>
  <c r="E533" i="4"/>
  <c r="F533" i="4"/>
  <c r="G533" i="4"/>
  <c r="H533" i="4"/>
  <c r="I533" i="4"/>
  <c r="J533" i="4"/>
  <c r="K533" i="4"/>
  <c r="L533" i="4"/>
  <c r="M533" i="4"/>
  <c r="B534" i="4"/>
  <c r="C534" i="4"/>
  <c r="D534" i="4"/>
  <c r="E534" i="4"/>
  <c r="F534" i="4"/>
  <c r="G534" i="4"/>
  <c r="H534" i="4"/>
  <c r="I534" i="4"/>
  <c r="J534" i="4"/>
  <c r="K534" i="4"/>
  <c r="L534" i="4"/>
  <c r="M534" i="4"/>
  <c r="B535" i="4"/>
  <c r="C535" i="4"/>
  <c r="D535" i="4"/>
  <c r="E535" i="4"/>
  <c r="F535" i="4"/>
  <c r="G535" i="4"/>
  <c r="H535" i="4"/>
  <c r="I535" i="4"/>
  <c r="J535" i="4"/>
  <c r="K535" i="4"/>
  <c r="L535" i="4"/>
  <c r="M535" i="4"/>
  <c r="B536" i="4"/>
  <c r="C536" i="4"/>
  <c r="D536" i="4"/>
  <c r="E536" i="4"/>
  <c r="F536" i="4"/>
  <c r="G536" i="4"/>
  <c r="H536" i="4"/>
  <c r="I536" i="4"/>
  <c r="J536" i="4"/>
  <c r="K536" i="4"/>
  <c r="L536" i="4"/>
  <c r="M536" i="4"/>
  <c r="B537" i="4"/>
  <c r="C537" i="4"/>
  <c r="D537" i="4"/>
  <c r="E537" i="4"/>
  <c r="F537" i="4"/>
  <c r="G537" i="4"/>
  <c r="H537" i="4"/>
  <c r="I537" i="4"/>
  <c r="J537" i="4"/>
  <c r="K537" i="4"/>
  <c r="L537" i="4"/>
  <c r="M537" i="4"/>
  <c r="B538" i="4"/>
  <c r="C538" i="4"/>
  <c r="D538" i="4"/>
  <c r="E538" i="4"/>
  <c r="F538" i="4"/>
  <c r="G538" i="4"/>
  <c r="H538" i="4"/>
  <c r="I538" i="4"/>
  <c r="J538" i="4"/>
  <c r="K538" i="4"/>
  <c r="L538" i="4"/>
  <c r="M538" i="4"/>
  <c r="B539" i="4"/>
  <c r="C539" i="4"/>
  <c r="D539" i="4"/>
  <c r="E539" i="4"/>
  <c r="F539" i="4"/>
  <c r="G539" i="4"/>
  <c r="H539" i="4"/>
  <c r="I539" i="4"/>
  <c r="J539" i="4"/>
  <c r="K539" i="4"/>
  <c r="L539" i="4"/>
  <c r="M539" i="4"/>
  <c r="B540" i="4"/>
  <c r="C540" i="4"/>
  <c r="D540" i="4"/>
  <c r="E540" i="4"/>
  <c r="F540" i="4"/>
  <c r="G540" i="4"/>
  <c r="H540" i="4"/>
  <c r="I540" i="4"/>
  <c r="J540" i="4"/>
  <c r="K540" i="4"/>
  <c r="L540" i="4"/>
  <c r="M540" i="4"/>
  <c r="B541" i="4"/>
  <c r="C541" i="4"/>
  <c r="D541" i="4"/>
  <c r="E541" i="4"/>
  <c r="F541" i="4"/>
  <c r="G541" i="4"/>
  <c r="H541" i="4"/>
  <c r="I541" i="4"/>
  <c r="J541" i="4"/>
  <c r="K541" i="4"/>
  <c r="L541" i="4"/>
  <c r="M541" i="4"/>
  <c r="B542" i="4"/>
  <c r="C542" i="4"/>
  <c r="D542" i="4"/>
  <c r="E542" i="4"/>
  <c r="F542" i="4"/>
  <c r="G542" i="4"/>
  <c r="H542" i="4"/>
  <c r="I542" i="4"/>
  <c r="J542" i="4"/>
  <c r="K542" i="4"/>
  <c r="L542" i="4"/>
  <c r="M542" i="4"/>
  <c r="B543" i="4"/>
  <c r="C543" i="4"/>
  <c r="D543" i="4"/>
  <c r="E543" i="4"/>
  <c r="F543" i="4"/>
  <c r="G543" i="4"/>
  <c r="H543" i="4"/>
  <c r="I543" i="4"/>
  <c r="J543" i="4"/>
  <c r="K543" i="4"/>
  <c r="L543" i="4"/>
  <c r="M543" i="4"/>
  <c r="B544" i="4"/>
  <c r="C544" i="4"/>
  <c r="D544" i="4"/>
  <c r="E544" i="4"/>
  <c r="F544" i="4"/>
  <c r="G544" i="4"/>
  <c r="H544" i="4"/>
  <c r="I544" i="4"/>
  <c r="J544" i="4"/>
  <c r="K544" i="4"/>
  <c r="L544" i="4"/>
  <c r="M544" i="4"/>
  <c r="B545" i="4"/>
  <c r="C545" i="4"/>
  <c r="D545" i="4"/>
  <c r="E545" i="4"/>
  <c r="F545" i="4"/>
  <c r="G545" i="4"/>
  <c r="H545" i="4"/>
  <c r="I545" i="4"/>
  <c r="J545" i="4"/>
  <c r="K545" i="4"/>
  <c r="L545" i="4"/>
  <c r="M545" i="4"/>
  <c r="B546" i="4"/>
  <c r="C546" i="4"/>
  <c r="D546" i="4"/>
  <c r="E546" i="4"/>
  <c r="F546" i="4"/>
  <c r="G546" i="4"/>
  <c r="H546" i="4"/>
  <c r="I546" i="4"/>
  <c r="J546" i="4"/>
  <c r="K546" i="4"/>
  <c r="L546" i="4"/>
  <c r="M546" i="4"/>
  <c r="B547" i="4"/>
  <c r="C547" i="4"/>
  <c r="D547" i="4"/>
  <c r="E547" i="4"/>
  <c r="F547" i="4"/>
  <c r="G547" i="4"/>
  <c r="H547" i="4"/>
  <c r="I547" i="4"/>
  <c r="J547" i="4"/>
  <c r="K547" i="4"/>
  <c r="L547" i="4"/>
  <c r="M547" i="4"/>
  <c r="B548" i="4"/>
  <c r="C548" i="4"/>
  <c r="D548" i="4"/>
  <c r="E548" i="4"/>
  <c r="F548" i="4"/>
  <c r="G548" i="4"/>
  <c r="H548" i="4"/>
  <c r="I548" i="4"/>
  <c r="J548" i="4"/>
  <c r="K548" i="4"/>
  <c r="L548" i="4"/>
  <c r="M548" i="4"/>
  <c r="B549" i="4"/>
  <c r="C549" i="4"/>
  <c r="D549" i="4"/>
  <c r="E549" i="4"/>
  <c r="F549" i="4"/>
  <c r="G549" i="4"/>
  <c r="H549" i="4"/>
  <c r="I549" i="4"/>
  <c r="J549" i="4"/>
  <c r="K549" i="4"/>
  <c r="L549" i="4"/>
  <c r="M549" i="4"/>
  <c r="B550" i="4"/>
  <c r="C550" i="4"/>
  <c r="D550" i="4"/>
  <c r="E550" i="4"/>
  <c r="F550" i="4"/>
  <c r="G550" i="4"/>
  <c r="H550" i="4"/>
  <c r="I550" i="4"/>
  <c r="J550" i="4"/>
  <c r="K550" i="4"/>
  <c r="L550" i="4"/>
  <c r="M550" i="4"/>
  <c r="B551" i="4"/>
  <c r="C551" i="4"/>
  <c r="D551" i="4"/>
  <c r="E551" i="4"/>
  <c r="F551" i="4"/>
  <c r="G551" i="4"/>
  <c r="H551" i="4"/>
  <c r="I551" i="4"/>
  <c r="J551" i="4"/>
  <c r="K551" i="4"/>
  <c r="L551" i="4"/>
  <c r="M551" i="4"/>
  <c r="B552" i="4"/>
  <c r="C552" i="4"/>
  <c r="D552" i="4"/>
  <c r="E552" i="4"/>
  <c r="F552" i="4"/>
  <c r="G552" i="4"/>
  <c r="H552" i="4"/>
  <c r="I552" i="4"/>
  <c r="J552" i="4"/>
  <c r="K552" i="4"/>
  <c r="L552" i="4"/>
  <c r="M552" i="4"/>
  <c r="B553" i="4"/>
  <c r="C553" i="4"/>
  <c r="D553" i="4"/>
  <c r="E553" i="4"/>
  <c r="F553" i="4"/>
  <c r="G553" i="4"/>
  <c r="H553" i="4"/>
  <c r="I553" i="4"/>
  <c r="J553" i="4"/>
  <c r="K553" i="4"/>
  <c r="L553" i="4"/>
  <c r="M553" i="4"/>
  <c r="B554" i="4"/>
  <c r="C554" i="4"/>
  <c r="D554" i="4"/>
  <c r="E554" i="4"/>
  <c r="F554" i="4"/>
  <c r="G554" i="4"/>
  <c r="H554" i="4"/>
  <c r="I554" i="4"/>
  <c r="J554" i="4"/>
  <c r="K554" i="4"/>
  <c r="L554" i="4"/>
  <c r="M554" i="4"/>
  <c r="B555" i="4"/>
  <c r="C555" i="4"/>
  <c r="D555" i="4"/>
  <c r="E555" i="4"/>
  <c r="F555" i="4"/>
  <c r="G555" i="4"/>
  <c r="H555" i="4"/>
  <c r="I555" i="4"/>
  <c r="J555" i="4"/>
  <c r="K555" i="4"/>
  <c r="L555" i="4"/>
  <c r="M555" i="4"/>
  <c r="B556" i="4"/>
  <c r="C556" i="4"/>
  <c r="D556" i="4"/>
  <c r="E556" i="4"/>
  <c r="F556" i="4"/>
  <c r="G556" i="4"/>
  <c r="H556" i="4"/>
  <c r="I556" i="4"/>
  <c r="J556" i="4"/>
  <c r="K556" i="4"/>
  <c r="L556" i="4"/>
  <c r="M556" i="4"/>
  <c r="B557" i="4"/>
  <c r="C557" i="4"/>
  <c r="D557" i="4"/>
  <c r="E557" i="4"/>
  <c r="F557" i="4"/>
  <c r="G557" i="4"/>
  <c r="H557" i="4"/>
  <c r="I557" i="4"/>
  <c r="J557" i="4"/>
  <c r="K557" i="4"/>
  <c r="L557" i="4"/>
  <c r="M557" i="4"/>
  <c r="B558" i="4"/>
  <c r="C558" i="4"/>
  <c r="D558" i="4"/>
  <c r="E558" i="4"/>
  <c r="F558" i="4"/>
  <c r="G558" i="4"/>
  <c r="H558" i="4"/>
  <c r="I558" i="4"/>
  <c r="J558" i="4"/>
  <c r="K558" i="4"/>
  <c r="L558" i="4"/>
  <c r="M558" i="4"/>
  <c r="B559" i="4"/>
  <c r="C559" i="4"/>
  <c r="D559" i="4"/>
  <c r="E559" i="4"/>
  <c r="F559" i="4"/>
  <c r="G559" i="4"/>
  <c r="H559" i="4"/>
  <c r="I559" i="4"/>
  <c r="J559" i="4"/>
  <c r="K559" i="4"/>
  <c r="L559" i="4"/>
  <c r="M559" i="4"/>
  <c r="B560" i="4"/>
  <c r="C560" i="4"/>
  <c r="D560" i="4"/>
  <c r="E560" i="4"/>
  <c r="F560" i="4"/>
  <c r="G560" i="4"/>
  <c r="H560" i="4"/>
  <c r="I560" i="4"/>
  <c r="J560" i="4"/>
  <c r="K560" i="4"/>
  <c r="L560" i="4"/>
  <c r="M560" i="4"/>
  <c r="B561" i="4"/>
  <c r="C561" i="4"/>
  <c r="D561" i="4"/>
  <c r="E561" i="4"/>
  <c r="F561" i="4"/>
  <c r="G561" i="4"/>
  <c r="H561" i="4"/>
  <c r="I561" i="4"/>
  <c r="J561" i="4"/>
  <c r="K561" i="4"/>
  <c r="L561" i="4"/>
  <c r="M561" i="4"/>
  <c r="B562" i="4"/>
  <c r="C562" i="4"/>
  <c r="D562" i="4"/>
  <c r="E562" i="4"/>
  <c r="F562" i="4"/>
  <c r="G562" i="4"/>
  <c r="H562" i="4"/>
  <c r="I562" i="4"/>
  <c r="J562" i="4"/>
  <c r="K562" i="4"/>
  <c r="L562" i="4"/>
  <c r="M562" i="4"/>
  <c r="B563" i="4"/>
  <c r="C563" i="4"/>
  <c r="D563" i="4"/>
  <c r="E563" i="4"/>
  <c r="F563" i="4"/>
  <c r="G563" i="4"/>
  <c r="H563" i="4"/>
  <c r="I563" i="4"/>
  <c r="J563" i="4"/>
  <c r="K563" i="4"/>
  <c r="L563" i="4"/>
  <c r="M563" i="4"/>
  <c r="B564" i="4"/>
  <c r="C564" i="4"/>
  <c r="D564" i="4"/>
  <c r="E564" i="4"/>
  <c r="F564" i="4"/>
  <c r="G564" i="4"/>
  <c r="H564" i="4"/>
  <c r="I564" i="4"/>
  <c r="J564" i="4"/>
  <c r="K564" i="4"/>
  <c r="L564" i="4"/>
  <c r="M564" i="4"/>
  <c r="B565" i="4"/>
  <c r="C565" i="4"/>
  <c r="D565" i="4"/>
  <c r="E565" i="4"/>
  <c r="F565" i="4"/>
  <c r="G565" i="4"/>
  <c r="H565" i="4"/>
  <c r="I565" i="4"/>
  <c r="J565" i="4"/>
  <c r="K565" i="4"/>
  <c r="L565" i="4"/>
  <c r="M565" i="4"/>
  <c r="B566" i="4"/>
  <c r="C566" i="4"/>
  <c r="D566" i="4"/>
  <c r="E566" i="4"/>
  <c r="F566" i="4"/>
  <c r="G566" i="4"/>
  <c r="H566" i="4"/>
  <c r="I566" i="4"/>
  <c r="J566" i="4"/>
  <c r="K566" i="4"/>
  <c r="L566" i="4"/>
  <c r="M566" i="4"/>
  <c r="B567" i="4"/>
  <c r="C567" i="4"/>
  <c r="D567" i="4"/>
  <c r="E567" i="4"/>
  <c r="F567" i="4"/>
  <c r="G567" i="4"/>
  <c r="H567" i="4"/>
  <c r="I567" i="4"/>
  <c r="J567" i="4"/>
  <c r="K567" i="4"/>
  <c r="L567" i="4"/>
  <c r="M567" i="4"/>
  <c r="B568" i="4"/>
  <c r="C568" i="4"/>
  <c r="D568" i="4"/>
  <c r="E568" i="4"/>
  <c r="F568" i="4"/>
  <c r="G568" i="4"/>
  <c r="H568" i="4"/>
  <c r="I568" i="4"/>
  <c r="J568" i="4"/>
  <c r="K568" i="4"/>
  <c r="L568" i="4"/>
  <c r="M568" i="4"/>
  <c r="B569" i="4"/>
  <c r="C569" i="4"/>
  <c r="D569" i="4"/>
  <c r="E569" i="4"/>
  <c r="F569" i="4"/>
  <c r="G569" i="4"/>
  <c r="H569" i="4"/>
  <c r="I569" i="4"/>
  <c r="J569" i="4"/>
  <c r="K569" i="4"/>
  <c r="L569" i="4"/>
  <c r="M569" i="4"/>
  <c r="B570" i="4"/>
  <c r="C570" i="4"/>
  <c r="D570" i="4"/>
  <c r="E570" i="4"/>
  <c r="F570" i="4"/>
  <c r="G570" i="4"/>
  <c r="H570" i="4"/>
  <c r="I570" i="4"/>
  <c r="J570" i="4"/>
  <c r="K570" i="4"/>
  <c r="L570" i="4"/>
  <c r="M570" i="4"/>
  <c r="B571" i="4"/>
  <c r="C571" i="4"/>
  <c r="D571" i="4"/>
  <c r="E571" i="4"/>
  <c r="F571" i="4"/>
  <c r="G571" i="4"/>
  <c r="H571" i="4"/>
  <c r="I571" i="4"/>
  <c r="J571" i="4"/>
  <c r="K571" i="4"/>
  <c r="L571" i="4"/>
  <c r="M571" i="4"/>
  <c r="B572" i="4"/>
  <c r="C572" i="4"/>
  <c r="D572" i="4"/>
  <c r="E572" i="4"/>
  <c r="F572" i="4"/>
  <c r="G572" i="4"/>
  <c r="H572" i="4"/>
  <c r="I572" i="4"/>
  <c r="J572" i="4"/>
  <c r="K572" i="4"/>
  <c r="L572" i="4"/>
  <c r="M572" i="4"/>
  <c r="B573" i="4"/>
  <c r="C573" i="4"/>
  <c r="D573" i="4"/>
  <c r="E573" i="4"/>
  <c r="F573" i="4"/>
  <c r="G573" i="4"/>
  <c r="H573" i="4"/>
  <c r="I573" i="4"/>
  <c r="J573" i="4"/>
  <c r="K573" i="4"/>
  <c r="L573" i="4"/>
  <c r="M573" i="4"/>
  <c r="B574" i="4"/>
  <c r="C574" i="4"/>
  <c r="D574" i="4"/>
  <c r="E574" i="4"/>
  <c r="F574" i="4"/>
  <c r="G574" i="4"/>
  <c r="H574" i="4"/>
  <c r="I574" i="4"/>
  <c r="J574" i="4"/>
  <c r="K574" i="4"/>
  <c r="L574" i="4"/>
  <c r="M574" i="4"/>
  <c r="B575" i="4"/>
  <c r="C575" i="4"/>
  <c r="D575" i="4"/>
  <c r="E575" i="4"/>
  <c r="F575" i="4"/>
  <c r="G575" i="4"/>
  <c r="H575" i="4"/>
  <c r="I575" i="4"/>
  <c r="J575" i="4"/>
  <c r="K575" i="4"/>
  <c r="L575" i="4"/>
  <c r="M575" i="4"/>
  <c r="B576" i="4"/>
  <c r="C576" i="4"/>
  <c r="D576" i="4"/>
  <c r="E576" i="4"/>
  <c r="F576" i="4"/>
  <c r="G576" i="4"/>
  <c r="H576" i="4"/>
  <c r="I576" i="4"/>
  <c r="J576" i="4"/>
  <c r="K576" i="4"/>
  <c r="L576" i="4"/>
  <c r="M576" i="4"/>
  <c r="B577" i="4"/>
  <c r="C577" i="4"/>
  <c r="D577" i="4"/>
  <c r="E577" i="4"/>
  <c r="F577" i="4"/>
  <c r="G577" i="4"/>
  <c r="H577" i="4"/>
  <c r="I577" i="4"/>
  <c r="J577" i="4"/>
  <c r="K577" i="4"/>
  <c r="L577" i="4"/>
  <c r="M577" i="4"/>
  <c r="B578" i="4"/>
  <c r="C578" i="4"/>
  <c r="D578" i="4"/>
  <c r="E578" i="4"/>
  <c r="F578" i="4"/>
  <c r="G578" i="4"/>
  <c r="H578" i="4"/>
  <c r="I578" i="4"/>
  <c r="J578" i="4"/>
  <c r="K578" i="4"/>
  <c r="L578" i="4"/>
  <c r="M578" i="4"/>
  <c r="B579" i="4"/>
  <c r="C579" i="4"/>
  <c r="D579" i="4"/>
  <c r="E579" i="4"/>
  <c r="F579" i="4"/>
  <c r="G579" i="4"/>
  <c r="H579" i="4"/>
  <c r="I579" i="4"/>
  <c r="J579" i="4"/>
  <c r="K579" i="4"/>
  <c r="L579" i="4"/>
  <c r="M579" i="4"/>
  <c r="B580" i="4"/>
  <c r="C580" i="4"/>
  <c r="D580" i="4"/>
  <c r="E580" i="4"/>
  <c r="F580" i="4"/>
  <c r="G580" i="4"/>
  <c r="H580" i="4"/>
  <c r="I580" i="4"/>
  <c r="J580" i="4"/>
  <c r="K580" i="4"/>
  <c r="L580" i="4"/>
  <c r="M580" i="4"/>
  <c r="B581" i="4"/>
  <c r="C581" i="4"/>
  <c r="D581" i="4"/>
  <c r="E581" i="4"/>
  <c r="F581" i="4"/>
  <c r="G581" i="4"/>
  <c r="H581" i="4"/>
  <c r="I581" i="4"/>
  <c r="J581" i="4"/>
  <c r="K581" i="4"/>
  <c r="L581" i="4"/>
  <c r="M581" i="4"/>
  <c r="B582" i="4"/>
  <c r="C582" i="4"/>
  <c r="D582" i="4"/>
  <c r="E582" i="4"/>
  <c r="F582" i="4"/>
  <c r="G582" i="4"/>
  <c r="H582" i="4"/>
  <c r="I582" i="4"/>
  <c r="J582" i="4"/>
  <c r="K582" i="4"/>
  <c r="L582" i="4"/>
  <c r="M582" i="4"/>
  <c r="B583" i="4"/>
  <c r="C583" i="4"/>
  <c r="D583" i="4"/>
  <c r="E583" i="4"/>
  <c r="F583" i="4"/>
  <c r="G583" i="4"/>
  <c r="H583" i="4"/>
  <c r="I583" i="4"/>
  <c r="J583" i="4"/>
  <c r="K583" i="4"/>
  <c r="L583" i="4"/>
  <c r="M583" i="4"/>
  <c r="B584" i="4"/>
  <c r="C584" i="4"/>
  <c r="D584" i="4"/>
  <c r="E584" i="4"/>
  <c r="F584" i="4"/>
  <c r="G584" i="4"/>
  <c r="H584" i="4"/>
  <c r="I584" i="4"/>
  <c r="J584" i="4"/>
  <c r="K584" i="4"/>
  <c r="L584" i="4"/>
  <c r="M584" i="4"/>
  <c r="B585" i="4"/>
  <c r="C585" i="4"/>
  <c r="D585" i="4"/>
  <c r="E585" i="4"/>
  <c r="F585" i="4"/>
  <c r="G585" i="4"/>
  <c r="H585" i="4"/>
  <c r="I585" i="4"/>
  <c r="J585" i="4"/>
  <c r="K585" i="4"/>
  <c r="L585" i="4"/>
  <c r="M585" i="4"/>
  <c r="B586" i="4"/>
  <c r="C586" i="4"/>
  <c r="D586" i="4"/>
  <c r="E586" i="4"/>
  <c r="F586" i="4"/>
  <c r="G586" i="4"/>
  <c r="H586" i="4"/>
  <c r="I586" i="4"/>
  <c r="J586" i="4"/>
  <c r="K586" i="4"/>
  <c r="L586" i="4"/>
  <c r="M586" i="4"/>
  <c r="B587" i="4"/>
  <c r="C587" i="4"/>
  <c r="D587" i="4"/>
  <c r="E587" i="4"/>
  <c r="F587" i="4"/>
  <c r="G587" i="4"/>
  <c r="H587" i="4"/>
  <c r="I587" i="4"/>
  <c r="J587" i="4"/>
  <c r="K587" i="4"/>
  <c r="L587" i="4"/>
  <c r="M587" i="4"/>
  <c r="B588" i="4"/>
  <c r="C588" i="4"/>
  <c r="D588" i="4"/>
  <c r="E588" i="4"/>
  <c r="F588" i="4"/>
  <c r="G588" i="4"/>
  <c r="H588" i="4"/>
  <c r="I588" i="4"/>
  <c r="J588" i="4"/>
  <c r="K588" i="4"/>
  <c r="L588" i="4"/>
  <c r="M588" i="4"/>
  <c r="B589" i="4"/>
  <c r="C589" i="4"/>
  <c r="D589" i="4"/>
  <c r="E589" i="4"/>
  <c r="F589" i="4"/>
  <c r="G589" i="4"/>
  <c r="H589" i="4"/>
  <c r="I589" i="4"/>
  <c r="J589" i="4"/>
  <c r="K589" i="4"/>
  <c r="L589" i="4"/>
  <c r="M589" i="4"/>
  <c r="B590" i="4"/>
  <c r="C590" i="4"/>
  <c r="D590" i="4"/>
  <c r="E590" i="4"/>
  <c r="F590" i="4"/>
  <c r="G590" i="4"/>
  <c r="H590" i="4"/>
  <c r="I590" i="4"/>
  <c r="J590" i="4"/>
  <c r="K590" i="4"/>
  <c r="L590" i="4"/>
  <c r="M590" i="4"/>
  <c r="B591" i="4"/>
  <c r="C591" i="4"/>
  <c r="D591" i="4"/>
  <c r="E591" i="4"/>
  <c r="F591" i="4"/>
  <c r="G591" i="4"/>
  <c r="H591" i="4"/>
  <c r="I591" i="4"/>
  <c r="J591" i="4"/>
  <c r="K591" i="4"/>
  <c r="L591" i="4"/>
  <c r="M591" i="4"/>
  <c r="B592" i="4"/>
  <c r="C592" i="4"/>
  <c r="D592" i="4"/>
  <c r="E592" i="4"/>
  <c r="F592" i="4"/>
  <c r="G592" i="4"/>
  <c r="H592" i="4"/>
  <c r="I592" i="4"/>
  <c r="J592" i="4"/>
  <c r="K592" i="4"/>
  <c r="L592" i="4"/>
  <c r="M592" i="4"/>
  <c r="B593" i="4"/>
  <c r="C593" i="4"/>
  <c r="D593" i="4"/>
  <c r="E593" i="4"/>
  <c r="F593" i="4"/>
  <c r="G593" i="4"/>
  <c r="H593" i="4"/>
  <c r="I593" i="4"/>
  <c r="J593" i="4"/>
  <c r="K593" i="4"/>
  <c r="L593" i="4"/>
  <c r="M593" i="4"/>
  <c r="B594" i="4"/>
  <c r="C594" i="4"/>
  <c r="D594" i="4"/>
  <c r="E594" i="4"/>
  <c r="F594" i="4"/>
  <c r="G594" i="4"/>
  <c r="H594" i="4"/>
  <c r="I594" i="4"/>
  <c r="J594" i="4"/>
  <c r="K594" i="4"/>
  <c r="L594" i="4"/>
  <c r="M594" i="4"/>
  <c r="B595" i="4"/>
  <c r="C595" i="4"/>
  <c r="D595" i="4"/>
  <c r="E595" i="4"/>
  <c r="F595" i="4"/>
  <c r="G595" i="4"/>
  <c r="H595" i="4"/>
  <c r="I595" i="4"/>
  <c r="J595" i="4"/>
  <c r="K595" i="4"/>
  <c r="L595" i="4"/>
  <c r="M595" i="4"/>
  <c r="B596" i="4"/>
  <c r="C596" i="4"/>
  <c r="D596" i="4"/>
  <c r="E596" i="4"/>
  <c r="F596" i="4"/>
  <c r="G596" i="4"/>
  <c r="H596" i="4"/>
  <c r="I596" i="4"/>
  <c r="J596" i="4"/>
  <c r="K596" i="4"/>
  <c r="L596" i="4"/>
  <c r="M596" i="4"/>
  <c r="B597" i="4"/>
  <c r="C597" i="4"/>
  <c r="D597" i="4"/>
  <c r="E597" i="4"/>
  <c r="F597" i="4"/>
  <c r="G597" i="4"/>
  <c r="H597" i="4"/>
  <c r="I597" i="4"/>
  <c r="J597" i="4"/>
  <c r="K597" i="4"/>
  <c r="L597" i="4"/>
  <c r="M597" i="4"/>
  <c r="B598" i="4"/>
  <c r="C598" i="4"/>
  <c r="D598" i="4"/>
  <c r="E598" i="4"/>
  <c r="F598" i="4"/>
  <c r="G598" i="4"/>
  <c r="H598" i="4"/>
  <c r="I598" i="4"/>
  <c r="J598" i="4"/>
  <c r="K598" i="4"/>
  <c r="L598" i="4"/>
  <c r="M598" i="4"/>
  <c r="B599" i="4"/>
  <c r="C599" i="4"/>
  <c r="D599" i="4"/>
  <c r="E599" i="4"/>
  <c r="F599" i="4"/>
  <c r="G599" i="4"/>
  <c r="H599" i="4"/>
  <c r="I599" i="4"/>
  <c r="J599" i="4"/>
  <c r="K599" i="4"/>
  <c r="L599" i="4"/>
  <c r="M599" i="4"/>
  <c r="B600" i="4"/>
  <c r="C600" i="4"/>
  <c r="D600" i="4"/>
  <c r="E600" i="4"/>
  <c r="F600" i="4"/>
  <c r="G600" i="4"/>
  <c r="H600" i="4"/>
  <c r="I600" i="4"/>
  <c r="J600" i="4"/>
  <c r="K600" i="4"/>
  <c r="L600" i="4"/>
  <c r="M600" i="4"/>
  <c r="B601" i="4"/>
  <c r="C601" i="4"/>
  <c r="D601" i="4"/>
  <c r="E601" i="4"/>
  <c r="F601" i="4"/>
  <c r="G601" i="4"/>
  <c r="H601" i="4"/>
  <c r="I601" i="4"/>
  <c r="J601" i="4"/>
  <c r="K601" i="4"/>
  <c r="L601" i="4"/>
  <c r="M601" i="4"/>
  <c r="B602" i="4"/>
  <c r="C602" i="4"/>
  <c r="D602" i="4"/>
  <c r="E602" i="4"/>
  <c r="F602" i="4"/>
  <c r="G602" i="4"/>
  <c r="H602" i="4"/>
  <c r="I602" i="4"/>
  <c r="J602" i="4"/>
  <c r="K602" i="4"/>
  <c r="L602" i="4"/>
  <c r="M602" i="4"/>
  <c r="B603" i="4"/>
  <c r="C603" i="4"/>
  <c r="D603" i="4"/>
  <c r="E603" i="4"/>
  <c r="F603" i="4"/>
  <c r="G603" i="4"/>
  <c r="H603" i="4"/>
  <c r="I603" i="4"/>
  <c r="J603" i="4"/>
  <c r="K603" i="4"/>
  <c r="L603" i="4"/>
  <c r="M603" i="4"/>
  <c r="B604" i="4"/>
  <c r="C604" i="4"/>
  <c r="D604" i="4"/>
  <c r="E604" i="4"/>
  <c r="F604" i="4"/>
  <c r="G604" i="4"/>
  <c r="H604" i="4"/>
  <c r="I604" i="4"/>
  <c r="J604" i="4"/>
  <c r="K604" i="4"/>
  <c r="L604" i="4"/>
  <c r="M604" i="4"/>
  <c r="B605" i="4"/>
  <c r="C605" i="4"/>
  <c r="D605" i="4"/>
  <c r="E605" i="4"/>
  <c r="F605" i="4"/>
  <c r="G605" i="4"/>
  <c r="H605" i="4"/>
  <c r="I605" i="4"/>
  <c r="J605" i="4"/>
  <c r="K605" i="4"/>
  <c r="L605" i="4"/>
  <c r="M605" i="4"/>
  <c r="B606" i="4"/>
  <c r="C606" i="4"/>
  <c r="D606" i="4"/>
  <c r="E606" i="4"/>
  <c r="F606" i="4"/>
  <c r="G606" i="4"/>
  <c r="H606" i="4"/>
  <c r="I606" i="4"/>
  <c r="J606" i="4"/>
  <c r="K606" i="4"/>
  <c r="L606" i="4"/>
  <c r="M606" i="4"/>
  <c r="B607" i="4"/>
  <c r="C607" i="4"/>
  <c r="D607" i="4"/>
  <c r="E607" i="4"/>
  <c r="F607" i="4"/>
  <c r="G607" i="4"/>
  <c r="H607" i="4"/>
  <c r="I607" i="4"/>
  <c r="J607" i="4"/>
  <c r="K607" i="4"/>
  <c r="L607" i="4"/>
  <c r="M607" i="4"/>
  <c r="B608" i="4"/>
  <c r="C608" i="4"/>
  <c r="D608" i="4"/>
  <c r="E608" i="4"/>
  <c r="F608" i="4"/>
  <c r="G608" i="4"/>
  <c r="H608" i="4"/>
  <c r="I608" i="4"/>
  <c r="J608" i="4"/>
  <c r="K608" i="4"/>
  <c r="L608" i="4"/>
  <c r="M608" i="4"/>
  <c r="B609" i="4"/>
  <c r="C609" i="4"/>
  <c r="D609" i="4"/>
  <c r="E609" i="4"/>
  <c r="F609" i="4"/>
  <c r="G609" i="4"/>
  <c r="H609" i="4"/>
  <c r="I609" i="4"/>
  <c r="J609" i="4"/>
  <c r="K609" i="4"/>
  <c r="L609" i="4"/>
  <c r="M609" i="4"/>
  <c r="B610" i="4"/>
  <c r="C610" i="4"/>
  <c r="D610" i="4"/>
  <c r="E610" i="4"/>
  <c r="F610" i="4"/>
  <c r="G610" i="4"/>
  <c r="H610" i="4"/>
  <c r="I610" i="4"/>
  <c r="J610" i="4"/>
  <c r="K610" i="4"/>
  <c r="L610" i="4"/>
  <c r="M610" i="4"/>
  <c r="B611" i="4"/>
  <c r="C611" i="4"/>
  <c r="D611" i="4"/>
  <c r="E611" i="4"/>
  <c r="F611" i="4"/>
  <c r="G611" i="4"/>
  <c r="H611" i="4"/>
  <c r="I611" i="4"/>
  <c r="J611" i="4"/>
  <c r="K611" i="4"/>
  <c r="L611" i="4"/>
  <c r="M611" i="4"/>
  <c r="B612" i="4"/>
  <c r="C612" i="4"/>
  <c r="D612" i="4"/>
  <c r="E612" i="4"/>
  <c r="F612" i="4"/>
  <c r="G612" i="4"/>
  <c r="H612" i="4"/>
  <c r="I612" i="4"/>
  <c r="J612" i="4"/>
  <c r="K612" i="4"/>
  <c r="L612" i="4"/>
  <c r="M612" i="4"/>
  <c r="B613" i="4"/>
  <c r="C613" i="4"/>
  <c r="D613" i="4"/>
  <c r="E613" i="4"/>
  <c r="F613" i="4"/>
  <c r="G613" i="4"/>
  <c r="H613" i="4"/>
  <c r="I613" i="4"/>
  <c r="J613" i="4"/>
  <c r="K613" i="4"/>
  <c r="L613" i="4"/>
  <c r="M613" i="4"/>
  <c r="B614" i="4"/>
  <c r="C614" i="4"/>
  <c r="D614" i="4"/>
  <c r="E614" i="4"/>
  <c r="F614" i="4"/>
  <c r="G614" i="4"/>
  <c r="H614" i="4"/>
  <c r="I614" i="4"/>
  <c r="J614" i="4"/>
  <c r="K614" i="4"/>
  <c r="L614" i="4"/>
  <c r="M614" i="4"/>
  <c r="B615" i="4"/>
  <c r="C615" i="4"/>
  <c r="D615" i="4"/>
  <c r="E615" i="4"/>
  <c r="F615" i="4"/>
  <c r="G615" i="4"/>
  <c r="H615" i="4"/>
  <c r="I615" i="4"/>
  <c r="J615" i="4"/>
  <c r="K615" i="4"/>
  <c r="L615" i="4"/>
  <c r="M615" i="4"/>
  <c r="B616" i="4"/>
  <c r="C616" i="4"/>
  <c r="D616" i="4"/>
  <c r="E616" i="4"/>
  <c r="F616" i="4"/>
  <c r="G616" i="4"/>
  <c r="H616" i="4"/>
  <c r="I616" i="4"/>
  <c r="J616" i="4"/>
  <c r="K616" i="4"/>
  <c r="L616" i="4"/>
  <c r="M616" i="4"/>
  <c r="B617" i="4"/>
  <c r="C617" i="4"/>
  <c r="D617" i="4"/>
  <c r="E617" i="4"/>
  <c r="F617" i="4"/>
  <c r="G617" i="4"/>
  <c r="H617" i="4"/>
  <c r="I617" i="4"/>
  <c r="J617" i="4"/>
  <c r="K617" i="4"/>
  <c r="L617" i="4"/>
  <c r="M617" i="4"/>
  <c r="B618" i="4"/>
  <c r="C618" i="4"/>
  <c r="D618" i="4"/>
  <c r="E618" i="4"/>
  <c r="F618" i="4"/>
  <c r="G618" i="4"/>
  <c r="H618" i="4"/>
  <c r="I618" i="4"/>
  <c r="J618" i="4"/>
  <c r="K618" i="4"/>
  <c r="L618" i="4"/>
  <c r="M618" i="4"/>
  <c r="B619" i="4"/>
  <c r="C619" i="4"/>
  <c r="D619" i="4"/>
  <c r="E619" i="4"/>
  <c r="F619" i="4"/>
  <c r="G619" i="4"/>
  <c r="H619" i="4"/>
  <c r="I619" i="4"/>
  <c r="J619" i="4"/>
  <c r="K619" i="4"/>
  <c r="L619" i="4"/>
  <c r="M619" i="4"/>
  <c r="B620" i="4"/>
  <c r="C620" i="4"/>
  <c r="D620" i="4"/>
  <c r="E620" i="4"/>
  <c r="F620" i="4"/>
  <c r="G620" i="4"/>
  <c r="H620" i="4"/>
  <c r="I620" i="4"/>
  <c r="J620" i="4"/>
  <c r="K620" i="4"/>
  <c r="L620" i="4"/>
  <c r="M620" i="4"/>
  <c r="B621" i="4"/>
  <c r="C621" i="4"/>
  <c r="D621" i="4"/>
  <c r="E621" i="4"/>
  <c r="F621" i="4"/>
  <c r="G621" i="4"/>
  <c r="H621" i="4"/>
  <c r="I621" i="4"/>
  <c r="J621" i="4"/>
  <c r="K621" i="4"/>
  <c r="L621" i="4"/>
  <c r="M621" i="4"/>
  <c r="B622" i="4"/>
  <c r="C622" i="4"/>
  <c r="D622" i="4"/>
  <c r="E622" i="4"/>
  <c r="F622" i="4"/>
  <c r="G622" i="4"/>
  <c r="H622" i="4"/>
  <c r="I622" i="4"/>
  <c r="J622" i="4"/>
  <c r="K622" i="4"/>
  <c r="L622" i="4"/>
  <c r="M622" i="4"/>
  <c r="B623" i="4"/>
  <c r="C623" i="4"/>
  <c r="D623" i="4"/>
  <c r="E623" i="4"/>
  <c r="F623" i="4"/>
  <c r="G623" i="4"/>
  <c r="H623" i="4"/>
  <c r="I623" i="4"/>
  <c r="J623" i="4"/>
  <c r="K623" i="4"/>
  <c r="L623" i="4"/>
  <c r="M623" i="4"/>
  <c r="B624" i="4"/>
  <c r="C624" i="4"/>
  <c r="D624" i="4"/>
  <c r="E624" i="4"/>
  <c r="F624" i="4"/>
  <c r="G624" i="4"/>
  <c r="H624" i="4"/>
  <c r="I624" i="4"/>
  <c r="J624" i="4"/>
  <c r="K624" i="4"/>
  <c r="L624" i="4"/>
  <c r="M624" i="4"/>
  <c r="B625" i="4"/>
  <c r="C625" i="4"/>
  <c r="D625" i="4"/>
  <c r="E625" i="4"/>
  <c r="F625" i="4"/>
  <c r="G625" i="4"/>
  <c r="H625" i="4"/>
  <c r="I625" i="4"/>
  <c r="J625" i="4"/>
  <c r="K625" i="4"/>
  <c r="L625" i="4"/>
  <c r="M625" i="4"/>
  <c r="B626" i="4"/>
  <c r="C626" i="4"/>
  <c r="D626" i="4"/>
  <c r="E626" i="4"/>
  <c r="F626" i="4"/>
  <c r="G626" i="4"/>
  <c r="H626" i="4"/>
  <c r="I626" i="4"/>
  <c r="J626" i="4"/>
  <c r="K626" i="4"/>
  <c r="L626" i="4"/>
  <c r="M626" i="4"/>
  <c r="B627" i="4"/>
  <c r="C627" i="4"/>
  <c r="D627" i="4"/>
  <c r="E627" i="4"/>
  <c r="F627" i="4"/>
  <c r="G627" i="4"/>
  <c r="H627" i="4"/>
  <c r="I627" i="4"/>
  <c r="J627" i="4"/>
  <c r="K627" i="4"/>
  <c r="L627" i="4"/>
  <c r="M627" i="4"/>
  <c r="B628" i="4"/>
  <c r="C628" i="4"/>
  <c r="D628" i="4"/>
  <c r="E628" i="4"/>
  <c r="F628" i="4"/>
  <c r="G628" i="4"/>
  <c r="H628" i="4"/>
  <c r="I628" i="4"/>
  <c r="J628" i="4"/>
  <c r="K628" i="4"/>
  <c r="L628" i="4"/>
  <c r="M628" i="4"/>
  <c r="B629" i="4"/>
  <c r="C629" i="4"/>
  <c r="D629" i="4"/>
  <c r="E629" i="4"/>
  <c r="F629" i="4"/>
  <c r="G629" i="4"/>
  <c r="H629" i="4"/>
  <c r="I629" i="4"/>
  <c r="J629" i="4"/>
  <c r="K629" i="4"/>
  <c r="L629" i="4"/>
  <c r="M629" i="4"/>
  <c r="B630" i="4"/>
  <c r="C630" i="4"/>
  <c r="D630" i="4"/>
  <c r="E630" i="4"/>
  <c r="F630" i="4"/>
  <c r="G630" i="4"/>
  <c r="H630" i="4"/>
  <c r="I630" i="4"/>
  <c r="J630" i="4"/>
  <c r="K630" i="4"/>
  <c r="L630" i="4"/>
  <c r="M630" i="4"/>
  <c r="B631" i="4"/>
  <c r="C631" i="4"/>
  <c r="D631" i="4"/>
  <c r="E631" i="4"/>
  <c r="F631" i="4"/>
  <c r="G631" i="4"/>
  <c r="H631" i="4"/>
  <c r="I631" i="4"/>
  <c r="J631" i="4"/>
  <c r="K631" i="4"/>
  <c r="L631" i="4"/>
  <c r="M631" i="4"/>
  <c r="B632" i="4"/>
  <c r="C632" i="4"/>
  <c r="D632" i="4"/>
  <c r="E632" i="4"/>
  <c r="F632" i="4"/>
  <c r="G632" i="4"/>
  <c r="H632" i="4"/>
  <c r="I632" i="4"/>
  <c r="J632" i="4"/>
  <c r="K632" i="4"/>
  <c r="L632" i="4"/>
  <c r="M632" i="4"/>
  <c r="B633" i="4"/>
  <c r="C633" i="4"/>
  <c r="D633" i="4"/>
  <c r="E633" i="4"/>
  <c r="F633" i="4"/>
  <c r="G633" i="4"/>
  <c r="H633" i="4"/>
  <c r="I633" i="4"/>
  <c r="J633" i="4"/>
  <c r="K633" i="4"/>
  <c r="L633" i="4"/>
  <c r="M633" i="4"/>
  <c r="B634" i="4"/>
  <c r="C634" i="4"/>
  <c r="D634" i="4"/>
  <c r="E634" i="4"/>
  <c r="F634" i="4"/>
  <c r="G634" i="4"/>
  <c r="H634" i="4"/>
  <c r="I634" i="4"/>
  <c r="J634" i="4"/>
  <c r="K634" i="4"/>
  <c r="L634" i="4"/>
  <c r="M634" i="4"/>
  <c r="B635" i="4"/>
  <c r="C635" i="4"/>
  <c r="D635" i="4"/>
  <c r="E635" i="4"/>
  <c r="F635" i="4"/>
  <c r="G635" i="4"/>
  <c r="H635" i="4"/>
  <c r="I635" i="4"/>
  <c r="J635" i="4"/>
  <c r="K635" i="4"/>
  <c r="L635" i="4"/>
  <c r="M635" i="4"/>
  <c r="B636" i="4"/>
  <c r="C636" i="4"/>
  <c r="D636" i="4"/>
  <c r="E636" i="4"/>
  <c r="F636" i="4"/>
  <c r="G636" i="4"/>
  <c r="H636" i="4"/>
  <c r="I636" i="4"/>
  <c r="J636" i="4"/>
  <c r="K636" i="4"/>
  <c r="L636" i="4"/>
  <c r="M636" i="4"/>
  <c r="B637" i="4"/>
  <c r="C637" i="4"/>
  <c r="D637" i="4"/>
  <c r="E637" i="4"/>
  <c r="F637" i="4"/>
  <c r="G637" i="4"/>
  <c r="H637" i="4"/>
  <c r="I637" i="4"/>
  <c r="J637" i="4"/>
  <c r="K637" i="4"/>
  <c r="L637" i="4"/>
  <c r="M637" i="4"/>
  <c r="B638" i="4"/>
  <c r="C638" i="4"/>
  <c r="D638" i="4"/>
  <c r="E638" i="4"/>
  <c r="F638" i="4"/>
  <c r="G638" i="4"/>
  <c r="H638" i="4"/>
  <c r="I638" i="4"/>
  <c r="J638" i="4"/>
  <c r="K638" i="4"/>
  <c r="L638" i="4"/>
  <c r="M638" i="4"/>
  <c r="B639" i="4"/>
  <c r="C639" i="4"/>
  <c r="D639" i="4"/>
  <c r="E639" i="4"/>
  <c r="F639" i="4"/>
  <c r="G639" i="4"/>
  <c r="H639" i="4"/>
  <c r="I639" i="4"/>
  <c r="J639" i="4"/>
  <c r="K639" i="4"/>
  <c r="L639" i="4"/>
  <c r="M639" i="4"/>
  <c r="B640" i="4"/>
  <c r="C640" i="4"/>
  <c r="D640" i="4"/>
  <c r="E640" i="4"/>
  <c r="F640" i="4"/>
  <c r="G640" i="4"/>
  <c r="H640" i="4"/>
  <c r="I640" i="4"/>
  <c r="J640" i="4"/>
  <c r="K640" i="4"/>
  <c r="L640" i="4"/>
  <c r="M640" i="4"/>
  <c r="B641" i="4"/>
  <c r="C641" i="4"/>
  <c r="D641" i="4"/>
  <c r="E641" i="4"/>
  <c r="F641" i="4"/>
  <c r="G641" i="4"/>
  <c r="H641" i="4"/>
  <c r="I641" i="4"/>
  <c r="J641" i="4"/>
  <c r="K641" i="4"/>
  <c r="L641" i="4"/>
  <c r="M641" i="4"/>
  <c r="B642" i="4"/>
  <c r="C642" i="4"/>
  <c r="D642" i="4"/>
  <c r="E642" i="4"/>
  <c r="F642" i="4"/>
  <c r="G642" i="4"/>
  <c r="H642" i="4"/>
  <c r="I642" i="4"/>
  <c r="J642" i="4"/>
  <c r="K642" i="4"/>
  <c r="L642" i="4"/>
  <c r="M642" i="4"/>
  <c r="B643" i="4"/>
  <c r="C643" i="4"/>
  <c r="D643" i="4"/>
  <c r="E643" i="4"/>
  <c r="F643" i="4"/>
  <c r="G643" i="4"/>
  <c r="H643" i="4"/>
  <c r="I643" i="4"/>
  <c r="J643" i="4"/>
  <c r="K643" i="4"/>
  <c r="L643" i="4"/>
  <c r="M643" i="4"/>
  <c r="B644" i="4"/>
  <c r="C644" i="4"/>
  <c r="D644" i="4"/>
  <c r="E644" i="4"/>
  <c r="F644" i="4"/>
  <c r="G644" i="4"/>
  <c r="H644" i="4"/>
  <c r="I644" i="4"/>
  <c r="J644" i="4"/>
  <c r="K644" i="4"/>
  <c r="L644" i="4"/>
  <c r="M644" i="4"/>
  <c r="B645" i="4"/>
  <c r="C645" i="4"/>
  <c r="D645" i="4"/>
  <c r="E645" i="4"/>
  <c r="F645" i="4"/>
  <c r="G645" i="4"/>
  <c r="H645" i="4"/>
  <c r="I645" i="4"/>
  <c r="J645" i="4"/>
  <c r="K645" i="4"/>
  <c r="L645" i="4"/>
  <c r="M645" i="4"/>
  <c r="B646" i="4"/>
  <c r="C646" i="4"/>
  <c r="D646" i="4"/>
  <c r="E646" i="4"/>
  <c r="F646" i="4"/>
  <c r="G646" i="4"/>
  <c r="H646" i="4"/>
  <c r="I646" i="4"/>
  <c r="J646" i="4"/>
  <c r="K646" i="4"/>
  <c r="L646" i="4"/>
  <c r="M646" i="4"/>
  <c r="B647" i="4"/>
  <c r="C647" i="4"/>
  <c r="D647" i="4"/>
  <c r="E647" i="4"/>
  <c r="F647" i="4"/>
  <c r="G647" i="4"/>
  <c r="H647" i="4"/>
  <c r="I647" i="4"/>
  <c r="J647" i="4"/>
  <c r="K647" i="4"/>
  <c r="L647" i="4"/>
  <c r="M647" i="4"/>
  <c r="B648" i="4"/>
  <c r="C648" i="4"/>
  <c r="D648" i="4"/>
  <c r="E648" i="4"/>
  <c r="F648" i="4"/>
  <c r="G648" i="4"/>
  <c r="H648" i="4"/>
  <c r="I648" i="4"/>
  <c r="J648" i="4"/>
  <c r="K648" i="4"/>
  <c r="L648" i="4"/>
  <c r="M648" i="4"/>
  <c r="B649" i="4"/>
  <c r="C649" i="4"/>
  <c r="D649" i="4"/>
  <c r="E649" i="4"/>
  <c r="F649" i="4"/>
  <c r="G649" i="4"/>
  <c r="H649" i="4"/>
  <c r="I649" i="4"/>
  <c r="J649" i="4"/>
  <c r="K649" i="4"/>
  <c r="L649" i="4"/>
  <c r="M649" i="4"/>
  <c r="B650" i="4"/>
  <c r="C650" i="4"/>
  <c r="D650" i="4"/>
  <c r="E650" i="4"/>
  <c r="F650" i="4"/>
  <c r="G650" i="4"/>
  <c r="H650" i="4"/>
  <c r="I650" i="4"/>
  <c r="J650" i="4"/>
  <c r="K650" i="4"/>
  <c r="L650" i="4"/>
  <c r="M650" i="4"/>
  <c r="B651" i="4"/>
  <c r="C651" i="4"/>
  <c r="D651" i="4"/>
  <c r="E651" i="4"/>
  <c r="F651" i="4"/>
  <c r="G651" i="4"/>
  <c r="H651" i="4"/>
  <c r="I651" i="4"/>
  <c r="J651" i="4"/>
  <c r="K651" i="4"/>
  <c r="L651" i="4"/>
  <c r="M651" i="4"/>
  <c r="B652" i="4"/>
  <c r="C652" i="4"/>
  <c r="D652" i="4"/>
  <c r="E652" i="4"/>
  <c r="F652" i="4"/>
  <c r="G652" i="4"/>
  <c r="H652" i="4"/>
  <c r="I652" i="4"/>
  <c r="J652" i="4"/>
  <c r="K652" i="4"/>
  <c r="L652" i="4"/>
  <c r="M652" i="4"/>
  <c r="B653" i="4"/>
  <c r="C653" i="4"/>
  <c r="D653" i="4"/>
  <c r="E653" i="4"/>
  <c r="F653" i="4"/>
  <c r="G653" i="4"/>
  <c r="H653" i="4"/>
  <c r="I653" i="4"/>
  <c r="J653" i="4"/>
  <c r="K653" i="4"/>
  <c r="L653" i="4"/>
  <c r="M653" i="4"/>
  <c r="B654" i="4"/>
  <c r="C654" i="4"/>
  <c r="D654" i="4"/>
  <c r="E654" i="4"/>
  <c r="F654" i="4"/>
  <c r="G654" i="4"/>
  <c r="H654" i="4"/>
  <c r="I654" i="4"/>
  <c r="J654" i="4"/>
  <c r="K654" i="4"/>
  <c r="L654" i="4"/>
  <c r="M654" i="4"/>
  <c r="B655" i="4"/>
  <c r="C655" i="4"/>
  <c r="D655" i="4"/>
  <c r="E655" i="4"/>
  <c r="F655" i="4"/>
  <c r="G655" i="4"/>
  <c r="H655" i="4"/>
  <c r="I655" i="4"/>
  <c r="J655" i="4"/>
  <c r="K655" i="4"/>
  <c r="L655" i="4"/>
  <c r="M655" i="4"/>
  <c r="B656" i="4"/>
  <c r="C656" i="4"/>
  <c r="D656" i="4"/>
  <c r="E656" i="4"/>
  <c r="F656" i="4"/>
  <c r="G656" i="4"/>
  <c r="H656" i="4"/>
  <c r="I656" i="4"/>
  <c r="J656" i="4"/>
  <c r="K656" i="4"/>
  <c r="L656" i="4"/>
  <c r="M656" i="4"/>
  <c r="B657" i="4"/>
  <c r="C657" i="4"/>
  <c r="D657" i="4"/>
  <c r="E657" i="4"/>
  <c r="F657" i="4"/>
  <c r="G657" i="4"/>
  <c r="H657" i="4"/>
  <c r="I657" i="4"/>
  <c r="J657" i="4"/>
  <c r="K657" i="4"/>
  <c r="L657" i="4"/>
  <c r="M657" i="4"/>
  <c r="B658" i="4"/>
  <c r="C658" i="4"/>
  <c r="D658" i="4"/>
  <c r="E658" i="4"/>
  <c r="F658" i="4"/>
  <c r="G658" i="4"/>
  <c r="H658" i="4"/>
  <c r="I658" i="4"/>
  <c r="J658" i="4"/>
  <c r="K658" i="4"/>
  <c r="L658" i="4"/>
  <c r="M658" i="4"/>
  <c r="B659" i="4"/>
  <c r="C659" i="4"/>
  <c r="D659" i="4"/>
  <c r="E659" i="4"/>
  <c r="F659" i="4"/>
  <c r="G659" i="4"/>
  <c r="H659" i="4"/>
  <c r="I659" i="4"/>
  <c r="J659" i="4"/>
  <c r="K659" i="4"/>
  <c r="L659" i="4"/>
  <c r="M659" i="4"/>
  <c r="B660" i="4"/>
  <c r="C660" i="4"/>
  <c r="D660" i="4"/>
  <c r="E660" i="4"/>
  <c r="F660" i="4"/>
  <c r="G660" i="4"/>
  <c r="H660" i="4"/>
  <c r="I660" i="4"/>
  <c r="J660" i="4"/>
  <c r="K660" i="4"/>
  <c r="L660" i="4"/>
  <c r="M660" i="4"/>
  <c r="B661" i="4"/>
  <c r="C661" i="4"/>
  <c r="D661" i="4"/>
  <c r="E661" i="4"/>
  <c r="F661" i="4"/>
  <c r="G661" i="4"/>
  <c r="H661" i="4"/>
  <c r="I661" i="4"/>
  <c r="J661" i="4"/>
  <c r="K661" i="4"/>
  <c r="L661" i="4"/>
  <c r="M661" i="4"/>
  <c r="B662" i="4"/>
  <c r="C662" i="4"/>
  <c r="D662" i="4"/>
  <c r="E662" i="4"/>
  <c r="F662" i="4"/>
  <c r="G662" i="4"/>
  <c r="H662" i="4"/>
  <c r="I662" i="4"/>
  <c r="J662" i="4"/>
  <c r="K662" i="4"/>
  <c r="L662" i="4"/>
  <c r="M662" i="4"/>
  <c r="B663" i="4"/>
  <c r="C663" i="4"/>
  <c r="D663" i="4"/>
  <c r="E663" i="4"/>
  <c r="F663" i="4"/>
  <c r="G663" i="4"/>
  <c r="H663" i="4"/>
  <c r="I663" i="4"/>
  <c r="J663" i="4"/>
  <c r="K663" i="4"/>
  <c r="L663" i="4"/>
  <c r="M663" i="4"/>
  <c r="B664" i="4"/>
  <c r="C664" i="4"/>
  <c r="D664" i="4"/>
  <c r="E664" i="4"/>
  <c r="F664" i="4"/>
  <c r="G664" i="4"/>
  <c r="H664" i="4"/>
  <c r="I664" i="4"/>
  <c r="J664" i="4"/>
  <c r="K664" i="4"/>
  <c r="L664" i="4"/>
  <c r="M664" i="4"/>
  <c r="B665" i="4"/>
  <c r="C665" i="4"/>
  <c r="D665" i="4"/>
  <c r="E665" i="4"/>
  <c r="F665" i="4"/>
  <c r="G665" i="4"/>
  <c r="H665" i="4"/>
  <c r="I665" i="4"/>
  <c r="J665" i="4"/>
  <c r="K665" i="4"/>
  <c r="L665" i="4"/>
  <c r="M665" i="4"/>
  <c r="B666" i="4"/>
  <c r="C666" i="4"/>
  <c r="D666" i="4"/>
  <c r="E666" i="4"/>
  <c r="F666" i="4"/>
  <c r="G666" i="4"/>
  <c r="H666" i="4"/>
  <c r="I666" i="4"/>
  <c r="J666" i="4"/>
  <c r="K666" i="4"/>
  <c r="L666" i="4"/>
  <c r="M666" i="4"/>
  <c r="B667" i="4"/>
  <c r="C667" i="4"/>
  <c r="D667" i="4"/>
  <c r="E667" i="4"/>
  <c r="F667" i="4"/>
  <c r="G667" i="4"/>
  <c r="H667" i="4"/>
  <c r="I667" i="4"/>
  <c r="J667" i="4"/>
  <c r="K667" i="4"/>
  <c r="L667" i="4"/>
  <c r="M667" i="4"/>
  <c r="B668" i="4"/>
  <c r="C668" i="4"/>
  <c r="D668" i="4"/>
  <c r="E668" i="4"/>
  <c r="F668" i="4"/>
  <c r="G668" i="4"/>
  <c r="H668" i="4"/>
  <c r="I668" i="4"/>
  <c r="J668" i="4"/>
  <c r="K668" i="4"/>
  <c r="L668" i="4"/>
  <c r="M668" i="4"/>
  <c r="B669" i="4"/>
  <c r="C669" i="4"/>
  <c r="D669" i="4"/>
  <c r="E669" i="4"/>
  <c r="F669" i="4"/>
  <c r="G669" i="4"/>
  <c r="H669" i="4"/>
  <c r="I669" i="4"/>
  <c r="J669" i="4"/>
  <c r="K669" i="4"/>
  <c r="L669" i="4"/>
  <c r="M669" i="4"/>
  <c r="B670" i="4"/>
  <c r="C670" i="4"/>
  <c r="D670" i="4"/>
  <c r="E670" i="4"/>
  <c r="F670" i="4"/>
  <c r="G670" i="4"/>
  <c r="H670" i="4"/>
  <c r="I670" i="4"/>
  <c r="J670" i="4"/>
  <c r="K670" i="4"/>
  <c r="L670" i="4"/>
  <c r="M670" i="4"/>
  <c r="B671" i="4"/>
  <c r="C671" i="4"/>
  <c r="D671" i="4"/>
  <c r="E671" i="4"/>
  <c r="F671" i="4"/>
  <c r="G671" i="4"/>
  <c r="H671" i="4"/>
  <c r="I671" i="4"/>
  <c r="J671" i="4"/>
  <c r="K671" i="4"/>
  <c r="L671" i="4"/>
  <c r="M671" i="4"/>
  <c r="B672" i="4"/>
  <c r="C672" i="4"/>
  <c r="D672" i="4"/>
  <c r="E672" i="4"/>
  <c r="F672" i="4"/>
  <c r="G672" i="4"/>
  <c r="H672" i="4"/>
  <c r="I672" i="4"/>
  <c r="J672" i="4"/>
  <c r="K672" i="4"/>
  <c r="L672" i="4"/>
  <c r="M672" i="4"/>
  <c r="B673" i="4"/>
  <c r="C673" i="4"/>
  <c r="D673" i="4"/>
  <c r="E673" i="4"/>
  <c r="F673" i="4"/>
  <c r="G673" i="4"/>
  <c r="H673" i="4"/>
  <c r="I673" i="4"/>
  <c r="J673" i="4"/>
  <c r="K673" i="4"/>
  <c r="L673" i="4"/>
  <c r="M673" i="4"/>
  <c r="B674" i="4"/>
  <c r="C674" i="4"/>
  <c r="D674" i="4"/>
  <c r="E674" i="4"/>
  <c r="F674" i="4"/>
  <c r="G674" i="4"/>
  <c r="H674" i="4"/>
  <c r="I674" i="4"/>
  <c r="J674" i="4"/>
  <c r="K674" i="4"/>
  <c r="L674" i="4"/>
  <c r="M674" i="4"/>
  <c r="B675" i="4"/>
  <c r="C675" i="4"/>
  <c r="D675" i="4"/>
  <c r="E675" i="4"/>
  <c r="F675" i="4"/>
  <c r="G675" i="4"/>
  <c r="H675" i="4"/>
  <c r="I675" i="4"/>
  <c r="J675" i="4"/>
  <c r="K675" i="4"/>
  <c r="L675" i="4"/>
  <c r="M675" i="4"/>
  <c r="B676" i="4"/>
  <c r="C676" i="4"/>
  <c r="D676" i="4"/>
  <c r="E676" i="4"/>
  <c r="F676" i="4"/>
  <c r="G676" i="4"/>
  <c r="H676" i="4"/>
  <c r="I676" i="4"/>
  <c r="J676" i="4"/>
  <c r="K676" i="4"/>
  <c r="L676" i="4"/>
  <c r="M676" i="4"/>
  <c r="B677" i="4"/>
  <c r="C677" i="4"/>
  <c r="D677" i="4"/>
  <c r="E677" i="4"/>
  <c r="F677" i="4"/>
  <c r="G677" i="4"/>
  <c r="H677" i="4"/>
  <c r="I677" i="4"/>
  <c r="J677" i="4"/>
  <c r="K677" i="4"/>
  <c r="L677" i="4"/>
  <c r="M677" i="4"/>
  <c r="B678" i="4"/>
  <c r="C678" i="4"/>
  <c r="D678" i="4"/>
  <c r="E678" i="4"/>
  <c r="F678" i="4"/>
  <c r="G678" i="4"/>
  <c r="H678" i="4"/>
  <c r="I678" i="4"/>
  <c r="J678" i="4"/>
  <c r="K678" i="4"/>
  <c r="L678" i="4"/>
  <c r="M678" i="4"/>
  <c r="B679" i="4"/>
  <c r="C679" i="4"/>
  <c r="D679" i="4"/>
  <c r="E679" i="4"/>
  <c r="F679" i="4"/>
  <c r="G679" i="4"/>
  <c r="H679" i="4"/>
  <c r="I679" i="4"/>
  <c r="J679" i="4"/>
  <c r="K679" i="4"/>
  <c r="L679" i="4"/>
  <c r="M679" i="4"/>
  <c r="B680" i="4"/>
  <c r="C680" i="4"/>
  <c r="D680" i="4"/>
  <c r="E680" i="4"/>
  <c r="F680" i="4"/>
  <c r="G680" i="4"/>
  <c r="H680" i="4"/>
  <c r="I680" i="4"/>
  <c r="J680" i="4"/>
  <c r="K680" i="4"/>
  <c r="L680" i="4"/>
  <c r="M680" i="4"/>
  <c r="B681" i="4"/>
  <c r="C681" i="4"/>
  <c r="D681" i="4"/>
  <c r="E681" i="4"/>
  <c r="F681" i="4"/>
  <c r="G681" i="4"/>
  <c r="H681" i="4"/>
  <c r="I681" i="4"/>
  <c r="J681" i="4"/>
  <c r="K681" i="4"/>
  <c r="L681" i="4"/>
  <c r="M681" i="4"/>
  <c r="B682" i="4"/>
  <c r="C682" i="4"/>
  <c r="D682" i="4"/>
  <c r="E682" i="4"/>
  <c r="F682" i="4"/>
  <c r="G682" i="4"/>
  <c r="H682" i="4"/>
  <c r="I682" i="4"/>
  <c r="J682" i="4"/>
  <c r="K682" i="4"/>
  <c r="L682" i="4"/>
  <c r="M682" i="4"/>
  <c r="B683" i="4"/>
  <c r="C683" i="4"/>
  <c r="D683" i="4"/>
  <c r="E683" i="4"/>
  <c r="F683" i="4"/>
  <c r="G683" i="4"/>
  <c r="H683" i="4"/>
  <c r="I683" i="4"/>
  <c r="J683" i="4"/>
  <c r="K683" i="4"/>
  <c r="L683" i="4"/>
  <c r="M683" i="4"/>
  <c r="B684" i="4"/>
  <c r="C684" i="4"/>
  <c r="D684" i="4"/>
  <c r="E684" i="4"/>
  <c r="F684" i="4"/>
  <c r="G684" i="4"/>
  <c r="H684" i="4"/>
  <c r="I684" i="4"/>
  <c r="J684" i="4"/>
  <c r="K684" i="4"/>
  <c r="L684" i="4"/>
  <c r="M684" i="4"/>
  <c r="B685" i="4"/>
  <c r="C685" i="4"/>
  <c r="D685" i="4"/>
  <c r="E685" i="4"/>
  <c r="F685" i="4"/>
  <c r="G685" i="4"/>
  <c r="H685" i="4"/>
  <c r="I685" i="4"/>
  <c r="J685" i="4"/>
  <c r="K685" i="4"/>
  <c r="L685" i="4"/>
  <c r="M685" i="4"/>
  <c r="B686" i="4"/>
  <c r="C686" i="4"/>
  <c r="D686" i="4"/>
  <c r="E686" i="4"/>
  <c r="F686" i="4"/>
  <c r="G686" i="4"/>
  <c r="H686" i="4"/>
  <c r="I686" i="4"/>
  <c r="J686" i="4"/>
  <c r="K686" i="4"/>
  <c r="L686" i="4"/>
  <c r="M686" i="4"/>
  <c r="B687" i="4"/>
  <c r="C687" i="4"/>
  <c r="D687" i="4"/>
  <c r="E687" i="4"/>
  <c r="F687" i="4"/>
  <c r="G687" i="4"/>
  <c r="H687" i="4"/>
  <c r="I687" i="4"/>
  <c r="J687" i="4"/>
  <c r="K687" i="4"/>
  <c r="L687" i="4"/>
  <c r="M687" i="4"/>
  <c r="B688" i="4"/>
  <c r="C688" i="4"/>
  <c r="D688" i="4"/>
  <c r="E688" i="4"/>
  <c r="F688" i="4"/>
  <c r="G688" i="4"/>
  <c r="H688" i="4"/>
  <c r="I688" i="4"/>
  <c r="J688" i="4"/>
  <c r="K688" i="4"/>
  <c r="L688" i="4"/>
  <c r="M688" i="4"/>
  <c r="B689" i="4"/>
  <c r="C689" i="4"/>
  <c r="D689" i="4"/>
  <c r="E689" i="4"/>
  <c r="F689" i="4"/>
  <c r="G689" i="4"/>
  <c r="H689" i="4"/>
  <c r="I689" i="4"/>
  <c r="J689" i="4"/>
  <c r="K689" i="4"/>
  <c r="L689" i="4"/>
  <c r="M689" i="4"/>
  <c r="B690" i="4"/>
  <c r="C690" i="4"/>
  <c r="D690" i="4"/>
  <c r="E690" i="4"/>
  <c r="F690" i="4"/>
  <c r="G690" i="4"/>
  <c r="H690" i="4"/>
  <c r="I690" i="4"/>
  <c r="J690" i="4"/>
  <c r="K690" i="4"/>
  <c r="L690" i="4"/>
  <c r="M690" i="4"/>
  <c r="B691" i="4"/>
  <c r="C691" i="4"/>
  <c r="D691" i="4"/>
  <c r="E691" i="4"/>
  <c r="F691" i="4"/>
  <c r="G691" i="4"/>
  <c r="H691" i="4"/>
  <c r="I691" i="4"/>
  <c r="J691" i="4"/>
  <c r="K691" i="4"/>
  <c r="L691" i="4"/>
  <c r="M691" i="4"/>
  <c r="B692" i="4"/>
  <c r="C692" i="4"/>
  <c r="D692" i="4"/>
  <c r="E692" i="4"/>
  <c r="F692" i="4"/>
  <c r="G692" i="4"/>
  <c r="H692" i="4"/>
  <c r="I692" i="4"/>
  <c r="J692" i="4"/>
  <c r="K692" i="4"/>
  <c r="L692" i="4"/>
  <c r="M692" i="4"/>
  <c r="B693" i="4"/>
  <c r="C693" i="4"/>
  <c r="D693" i="4"/>
  <c r="E693" i="4"/>
  <c r="F693" i="4"/>
  <c r="G693" i="4"/>
  <c r="H693" i="4"/>
  <c r="I693" i="4"/>
  <c r="J693" i="4"/>
  <c r="K693" i="4"/>
  <c r="L693" i="4"/>
  <c r="M693" i="4"/>
  <c r="B694" i="4"/>
  <c r="C694" i="4"/>
  <c r="D694" i="4"/>
  <c r="E694" i="4"/>
  <c r="F694" i="4"/>
  <c r="G694" i="4"/>
  <c r="H694" i="4"/>
  <c r="I694" i="4"/>
  <c r="J694" i="4"/>
  <c r="K694" i="4"/>
  <c r="L694" i="4"/>
  <c r="M694" i="4"/>
  <c r="B695" i="4"/>
  <c r="C695" i="4"/>
  <c r="D695" i="4"/>
  <c r="E695" i="4"/>
  <c r="F695" i="4"/>
  <c r="G695" i="4"/>
  <c r="H695" i="4"/>
  <c r="I695" i="4"/>
  <c r="J695" i="4"/>
  <c r="K695" i="4"/>
  <c r="L695" i="4"/>
  <c r="M695" i="4"/>
  <c r="B696" i="4"/>
  <c r="C696" i="4"/>
  <c r="D696" i="4"/>
  <c r="E696" i="4"/>
  <c r="F696" i="4"/>
  <c r="G696" i="4"/>
  <c r="H696" i="4"/>
  <c r="I696" i="4"/>
  <c r="J696" i="4"/>
  <c r="K696" i="4"/>
  <c r="L696" i="4"/>
  <c r="M696" i="4"/>
  <c r="B697" i="4"/>
  <c r="C697" i="4"/>
  <c r="D697" i="4"/>
  <c r="E697" i="4"/>
  <c r="F697" i="4"/>
  <c r="G697" i="4"/>
  <c r="H697" i="4"/>
  <c r="I697" i="4"/>
  <c r="J697" i="4"/>
  <c r="K697" i="4"/>
  <c r="L697" i="4"/>
  <c r="M697" i="4"/>
  <c r="B698" i="4"/>
  <c r="C698" i="4"/>
  <c r="D698" i="4"/>
  <c r="E698" i="4"/>
  <c r="F698" i="4"/>
  <c r="G698" i="4"/>
  <c r="H698" i="4"/>
  <c r="I698" i="4"/>
  <c r="J698" i="4"/>
  <c r="K698" i="4"/>
  <c r="L698" i="4"/>
  <c r="M698" i="4"/>
  <c r="B699" i="4"/>
  <c r="C699" i="4"/>
  <c r="D699" i="4"/>
  <c r="E699" i="4"/>
  <c r="F699" i="4"/>
  <c r="G699" i="4"/>
  <c r="H699" i="4"/>
  <c r="I699" i="4"/>
  <c r="J699" i="4"/>
  <c r="K699" i="4"/>
  <c r="L699" i="4"/>
  <c r="M699" i="4"/>
  <c r="B700" i="4"/>
  <c r="C700" i="4"/>
  <c r="D700" i="4"/>
  <c r="E700" i="4"/>
  <c r="F700" i="4"/>
  <c r="G700" i="4"/>
  <c r="H700" i="4"/>
  <c r="I700" i="4"/>
  <c r="J700" i="4"/>
  <c r="K700" i="4"/>
  <c r="L700" i="4"/>
  <c r="M700" i="4"/>
  <c r="B701" i="4"/>
  <c r="C701" i="4"/>
  <c r="D701" i="4"/>
  <c r="E701" i="4"/>
  <c r="F701" i="4"/>
  <c r="G701" i="4"/>
  <c r="H701" i="4"/>
  <c r="I701" i="4"/>
  <c r="J701" i="4"/>
  <c r="K701" i="4"/>
  <c r="L701" i="4"/>
  <c r="M701" i="4"/>
  <c r="B702" i="4"/>
  <c r="C702" i="4"/>
  <c r="D702" i="4"/>
  <c r="E702" i="4"/>
  <c r="F702" i="4"/>
  <c r="G702" i="4"/>
  <c r="H702" i="4"/>
  <c r="I702" i="4"/>
  <c r="J702" i="4"/>
  <c r="K702" i="4"/>
  <c r="L702" i="4"/>
  <c r="M702" i="4"/>
  <c r="B703" i="4"/>
  <c r="C703" i="4"/>
  <c r="D703" i="4"/>
  <c r="E703" i="4"/>
  <c r="F703" i="4"/>
  <c r="G703" i="4"/>
  <c r="H703" i="4"/>
  <c r="I703" i="4"/>
  <c r="J703" i="4"/>
  <c r="K703" i="4"/>
  <c r="L703" i="4"/>
  <c r="M703" i="4"/>
  <c r="B704" i="4"/>
  <c r="C704" i="4"/>
  <c r="D704" i="4"/>
  <c r="E704" i="4"/>
  <c r="F704" i="4"/>
  <c r="G704" i="4"/>
  <c r="H704" i="4"/>
  <c r="I704" i="4"/>
  <c r="J704" i="4"/>
  <c r="K704" i="4"/>
  <c r="L704" i="4"/>
  <c r="M704" i="4"/>
  <c r="B705" i="4"/>
  <c r="C705" i="4"/>
  <c r="D705" i="4"/>
  <c r="E705" i="4"/>
  <c r="F705" i="4"/>
  <c r="G705" i="4"/>
  <c r="H705" i="4"/>
  <c r="I705" i="4"/>
  <c r="J705" i="4"/>
  <c r="K705" i="4"/>
  <c r="L705" i="4"/>
  <c r="M705" i="4"/>
  <c r="B706" i="4"/>
  <c r="C706" i="4"/>
  <c r="D706" i="4"/>
  <c r="E706" i="4"/>
  <c r="F706" i="4"/>
  <c r="G706" i="4"/>
  <c r="H706" i="4"/>
  <c r="I706" i="4"/>
  <c r="J706" i="4"/>
  <c r="K706" i="4"/>
  <c r="L706" i="4"/>
  <c r="M706" i="4"/>
  <c r="B707" i="4"/>
  <c r="C707" i="4"/>
  <c r="D707" i="4"/>
  <c r="E707" i="4"/>
  <c r="F707" i="4"/>
  <c r="G707" i="4"/>
  <c r="H707" i="4"/>
  <c r="I707" i="4"/>
  <c r="J707" i="4"/>
  <c r="K707" i="4"/>
  <c r="L707" i="4"/>
  <c r="M707" i="4"/>
  <c r="B708" i="4"/>
  <c r="C708" i="4"/>
  <c r="D708" i="4"/>
  <c r="E708" i="4"/>
  <c r="F708" i="4"/>
  <c r="G708" i="4"/>
  <c r="H708" i="4"/>
  <c r="I708" i="4"/>
  <c r="J708" i="4"/>
  <c r="K708" i="4"/>
  <c r="L708" i="4"/>
  <c r="M708" i="4"/>
  <c r="B709" i="4"/>
  <c r="C709" i="4"/>
  <c r="D709" i="4"/>
  <c r="E709" i="4"/>
  <c r="F709" i="4"/>
  <c r="G709" i="4"/>
  <c r="H709" i="4"/>
  <c r="I709" i="4"/>
  <c r="J709" i="4"/>
  <c r="K709" i="4"/>
  <c r="L709" i="4"/>
  <c r="M709" i="4"/>
  <c r="B710" i="4"/>
  <c r="C710" i="4"/>
  <c r="D710" i="4"/>
  <c r="E710" i="4"/>
  <c r="F710" i="4"/>
  <c r="G710" i="4"/>
  <c r="H710" i="4"/>
  <c r="I710" i="4"/>
  <c r="J710" i="4"/>
  <c r="K710" i="4"/>
  <c r="L710" i="4"/>
  <c r="M710" i="4"/>
  <c r="B711" i="4"/>
  <c r="C711" i="4"/>
  <c r="D711" i="4"/>
  <c r="E711" i="4"/>
  <c r="F711" i="4"/>
  <c r="G711" i="4"/>
  <c r="H711" i="4"/>
  <c r="I711" i="4"/>
  <c r="J711" i="4"/>
  <c r="K711" i="4"/>
  <c r="L711" i="4"/>
  <c r="M711" i="4"/>
  <c r="B712" i="4"/>
  <c r="C712" i="4"/>
  <c r="D712" i="4"/>
  <c r="E712" i="4"/>
  <c r="F712" i="4"/>
  <c r="G712" i="4"/>
  <c r="H712" i="4"/>
  <c r="I712" i="4"/>
  <c r="J712" i="4"/>
  <c r="K712" i="4"/>
  <c r="L712" i="4"/>
  <c r="M712" i="4"/>
  <c r="B713" i="4"/>
  <c r="C713" i="4"/>
  <c r="D713" i="4"/>
  <c r="E713" i="4"/>
  <c r="F713" i="4"/>
  <c r="G713" i="4"/>
  <c r="H713" i="4"/>
  <c r="I713" i="4"/>
  <c r="J713" i="4"/>
  <c r="K713" i="4"/>
  <c r="L713" i="4"/>
  <c r="M713" i="4"/>
  <c r="B714" i="4"/>
  <c r="C714" i="4"/>
  <c r="D714" i="4"/>
  <c r="E714" i="4"/>
  <c r="F714" i="4"/>
  <c r="G714" i="4"/>
  <c r="H714" i="4"/>
  <c r="I714" i="4"/>
  <c r="J714" i="4"/>
  <c r="K714" i="4"/>
  <c r="L714" i="4"/>
  <c r="M714" i="4"/>
  <c r="B715" i="4"/>
  <c r="C715" i="4"/>
  <c r="D715" i="4"/>
  <c r="E715" i="4"/>
  <c r="F715" i="4"/>
  <c r="G715" i="4"/>
  <c r="H715" i="4"/>
  <c r="I715" i="4"/>
  <c r="J715" i="4"/>
  <c r="K715" i="4"/>
  <c r="L715" i="4"/>
  <c r="M715" i="4"/>
  <c r="B716" i="4"/>
  <c r="C716" i="4"/>
  <c r="D716" i="4"/>
  <c r="E716" i="4"/>
  <c r="F716" i="4"/>
  <c r="G716" i="4"/>
  <c r="H716" i="4"/>
  <c r="I716" i="4"/>
  <c r="J716" i="4"/>
  <c r="K716" i="4"/>
  <c r="L716" i="4"/>
  <c r="M716" i="4"/>
  <c r="B717" i="4"/>
  <c r="C717" i="4"/>
  <c r="D717" i="4"/>
  <c r="E717" i="4"/>
  <c r="F717" i="4"/>
  <c r="G717" i="4"/>
  <c r="H717" i="4"/>
  <c r="I717" i="4"/>
  <c r="J717" i="4"/>
  <c r="K717" i="4"/>
  <c r="L717" i="4"/>
  <c r="M717" i="4"/>
  <c r="B718" i="4"/>
  <c r="C718" i="4"/>
  <c r="D718" i="4"/>
  <c r="E718" i="4"/>
  <c r="F718" i="4"/>
  <c r="G718" i="4"/>
  <c r="H718" i="4"/>
  <c r="I718" i="4"/>
  <c r="J718" i="4"/>
  <c r="K718" i="4"/>
  <c r="L718" i="4"/>
  <c r="M718" i="4"/>
  <c r="B719" i="4"/>
  <c r="C719" i="4"/>
  <c r="D719" i="4"/>
  <c r="E719" i="4"/>
  <c r="F719" i="4"/>
  <c r="G719" i="4"/>
  <c r="H719" i="4"/>
  <c r="I719" i="4"/>
  <c r="J719" i="4"/>
  <c r="K719" i="4"/>
  <c r="L719" i="4"/>
  <c r="M719" i="4"/>
  <c r="B720" i="4"/>
  <c r="C720" i="4"/>
  <c r="D720" i="4"/>
  <c r="E720" i="4"/>
  <c r="F720" i="4"/>
  <c r="G720" i="4"/>
  <c r="H720" i="4"/>
  <c r="I720" i="4"/>
  <c r="J720" i="4"/>
  <c r="K720" i="4"/>
  <c r="L720" i="4"/>
  <c r="M720" i="4"/>
  <c r="B721" i="4"/>
  <c r="C721" i="4"/>
  <c r="D721" i="4"/>
  <c r="E721" i="4"/>
  <c r="F721" i="4"/>
  <c r="G721" i="4"/>
  <c r="H721" i="4"/>
  <c r="I721" i="4"/>
  <c r="J721" i="4"/>
  <c r="K721" i="4"/>
  <c r="L721" i="4"/>
  <c r="M721" i="4"/>
  <c r="B722" i="4"/>
  <c r="C722" i="4"/>
  <c r="D722" i="4"/>
  <c r="E722" i="4"/>
  <c r="F722" i="4"/>
  <c r="G722" i="4"/>
  <c r="H722" i="4"/>
  <c r="I722" i="4"/>
  <c r="J722" i="4"/>
  <c r="K722" i="4"/>
  <c r="L722" i="4"/>
  <c r="M722" i="4"/>
  <c r="B723" i="4"/>
  <c r="C723" i="4"/>
  <c r="D723" i="4"/>
  <c r="E723" i="4"/>
  <c r="F723" i="4"/>
  <c r="G723" i="4"/>
  <c r="H723" i="4"/>
  <c r="I723" i="4"/>
  <c r="J723" i="4"/>
  <c r="K723" i="4"/>
  <c r="L723" i="4"/>
  <c r="M723" i="4"/>
  <c r="B724" i="4"/>
  <c r="C724" i="4"/>
  <c r="D724" i="4"/>
  <c r="E724" i="4"/>
  <c r="F724" i="4"/>
  <c r="G724" i="4"/>
  <c r="H724" i="4"/>
  <c r="I724" i="4"/>
  <c r="J724" i="4"/>
  <c r="K724" i="4"/>
  <c r="L724" i="4"/>
  <c r="M724" i="4"/>
  <c r="B725" i="4"/>
  <c r="C725" i="4"/>
  <c r="D725" i="4"/>
  <c r="E725" i="4"/>
  <c r="F725" i="4"/>
  <c r="G725" i="4"/>
  <c r="H725" i="4"/>
  <c r="I725" i="4"/>
  <c r="J725" i="4"/>
  <c r="K725" i="4"/>
  <c r="L725" i="4"/>
  <c r="M725" i="4"/>
  <c r="B726" i="4"/>
  <c r="C726" i="4"/>
  <c r="D726" i="4"/>
  <c r="E726" i="4"/>
  <c r="F726" i="4"/>
  <c r="G726" i="4"/>
  <c r="H726" i="4"/>
  <c r="I726" i="4"/>
  <c r="J726" i="4"/>
  <c r="K726" i="4"/>
  <c r="L726" i="4"/>
  <c r="M726" i="4"/>
  <c r="B727" i="4"/>
  <c r="C727" i="4"/>
  <c r="D727" i="4"/>
  <c r="E727" i="4"/>
  <c r="F727" i="4"/>
  <c r="G727" i="4"/>
  <c r="H727" i="4"/>
  <c r="I727" i="4"/>
  <c r="J727" i="4"/>
  <c r="K727" i="4"/>
  <c r="L727" i="4"/>
  <c r="M727" i="4"/>
  <c r="B728" i="4"/>
  <c r="C728" i="4"/>
  <c r="D728" i="4"/>
  <c r="E728" i="4"/>
  <c r="F728" i="4"/>
  <c r="G728" i="4"/>
  <c r="H728" i="4"/>
  <c r="I728" i="4"/>
  <c r="J728" i="4"/>
  <c r="K728" i="4"/>
  <c r="L728" i="4"/>
  <c r="M728" i="4"/>
  <c r="B729" i="4"/>
  <c r="C729" i="4"/>
  <c r="D729" i="4"/>
  <c r="E729" i="4"/>
  <c r="F729" i="4"/>
  <c r="G729" i="4"/>
  <c r="H729" i="4"/>
  <c r="I729" i="4"/>
  <c r="J729" i="4"/>
  <c r="K729" i="4"/>
  <c r="L729" i="4"/>
  <c r="M729" i="4"/>
  <c r="B730" i="4"/>
  <c r="C730" i="4"/>
  <c r="D730" i="4"/>
  <c r="E730" i="4"/>
  <c r="F730" i="4"/>
  <c r="G730" i="4"/>
  <c r="H730" i="4"/>
  <c r="I730" i="4"/>
  <c r="J730" i="4"/>
  <c r="K730" i="4"/>
  <c r="L730" i="4"/>
  <c r="M730" i="4"/>
  <c r="B731" i="4"/>
  <c r="C731" i="4"/>
  <c r="D731" i="4"/>
  <c r="E731" i="4"/>
  <c r="F731" i="4"/>
  <c r="G731" i="4"/>
  <c r="H731" i="4"/>
  <c r="I731" i="4"/>
  <c r="J731" i="4"/>
  <c r="K731" i="4"/>
  <c r="L731" i="4"/>
  <c r="M731" i="4"/>
  <c r="B732" i="4"/>
  <c r="C732" i="4"/>
  <c r="D732" i="4"/>
  <c r="E732" i="4"/>
  <c r="F732" i="4"/>
  <c r="G732" i="4"/>
  <c r="H732" i="4"/>
  <c r="I732" i="4"/>
  <c r="J732" i="4"/>
  <c r="K732" i="4"/>
  <c r="L732" i="4"/>
  <c r="M732" i="4"/>
  <c r="B733" i="4"/>
  <c r="C733" i="4"/>
  <c r="D733" i="4"/>
  <c r="E733" i="4"/>
  <c r="F733" i="4"/>
  <c r="G733" i="4"/>
  <c r="H733" i="4"/>
  <c r="I733" i="4"/>
  <c r="J733" i="4"/>
  <c r="K733" i="4"/>
  <c r="L733" i="4"/>
  <c r="M733" i="4"/>
  <c r="B734" i="4"/>
  <c r="C734" i="4"/>
  <c r="D734" i="4"/>
  <c r="E734" i="4"/>
  <c r="F734" i="4"/>
  <c r="G734" i="4"/>
  <c r="H734" i="4"/>
  <c r="I734" i="4"/>
  <c r="J734" i="4"/>
  <c r="K734" i="4"/>
  <c r="L734" i="4"/>
  <c r="M734" i="4"/>
  <c r="B735" i="4"/>
  <c r="C735" i="4"/>
  <c r="D735" i="4"/>
  <c r="E735" i="4"/>
  <c r="F735" i="4"/>
  <c r="G735" i="4"/>
  <c r="H735" i="4"/>
  <c r="I735" i="4"/>
  <c r="J735" i="4"/>
  <c r="K735" i="4"/>
  <c r="L735" i="4"/>
  <c r="M735" i="4"/>
  <c r="B736" i="4"/>
  <c r="C736" i="4"/>
  <c r="D736" i="4"/>
  <c r="E736" i="4"/>
  <c r="F736" i="4"/>
  <c r="G736" i="4"/>
  <c r="H736" i="4"/>
  <c r="I736" i="4"/>
  <c r="J736" i="4"/>
  <c r="K736" i="4"/>
  <c r="L736" i="4"/>
  <c r="M736" i="4"/>
  <c r="B737" i="4"/>
  <c r="C737" i="4"/>
  <c r="D737" i="4"/>
  <c r="E737" i="4"/>
  <c r="F737" i="4"/>
  <c r="G737" i="4"/>
  <c r="H737" i="4"/>
  <c r="I737" i="4"/>
  <c r="J737" i="4"/>
  <c r="K737" i="4"/>
  <c r="L737" i="4"/>
  <c r="M737" i="4"/>
  <c r="B738" i="4"/>
  <c r="C738" i="4"/>
  <c r="D738" i="4"/>
  <c r="E738" i="4"/>
  <c r="F738" i="4"/>
  <c r="G738" i="4"/>
  <c r="H738" i="4"/>
  <c r="I738" i="4"/>
  <c r="J738" i="4"/>
  <c r="K738" i="4"/>
  <c r="L738" i="4"/>
  <c r="M738" i="4"/>
  <c r="B739" i="4"/>
  <c r="C739" i="4"/>
  <c r="D739" i="4"/>
  <c r="E739" i="4"/>
  <c r="F739" i="4"/>
  <c r="G739" i="4"/>
  <c r="H739" i="4"/>
  <c r="I739" i="4"/>
  <c r="J739" i="4"/>
  <c r="K739" i="4"/>
  <c r="L739" i="4"/>
  <c r="M739" i="4"/>
  <c r="B740" i="4"/>
  <c r="C740" i="4"/>
  <c r="D740" i="4"/>
  <c r="E740" i="4"/>
  <c r="F740" i="4"/>
  <c r="G740" i="4"/>
  <c r="H740" i="4"/>
  <c r="I740" i="4"/>
  <c r="J740" i="4"/>
  <c r="K740" i="4"/>
  <c r="L740" i="4"/>
  <c r="M740" i="4"/>
  <c r="B741" i="4"/>
  <c r="C741" i="4"/>
  <c r="D741" i="4"/>
  <c r="E741" i="4"/>
  <c r="F741" i="4"/>
  <c r="G741" i="4"/>
  <c r="H741" i="4"/>
  <c r="I741" i="4"/>
  <c r="J741" i="4"/>
  <c r="K741" i="4"/>
  <c r="L741" i="4"/>
  <c r="M741" i="4"/>
  <c r="B742" i="4"/>
  <c r="C742" i="4"/>
  <c r="D742" i="4"/>
  <c r="E742" i="4"/>
  <c r="F742" i="4"/>
  <c r="G742" i="4"/>
  <c r="H742" i="4"/>
  <c r="I742" i="4"/>
  <c r="J742" i="4"/>
  <c r="K742" i="4"/>
  <c r="L742" i="4"/>
  <c r="M742" i="4"/>
  <c r="B743" i="4"/>
  <c r="C743" i="4"/>
  <c r="D743" i="4"/>
  <c r="E743" i="4"/>
  <c r="F743" i="4"/>
  <c r="G743" i="4"/>
  <c r="H743" i="4"/>
  <c r="I743" i="4"/>
  <c r="J743" i="4"/>
  <c r="K743" i="4"/>
  <c r="L743" i="4"/>
  <c r="M743" i="4"/>
  <c r="B744" i="4"/>
  <c r="C744" i="4"/>
  <c r="D744" i="4"/>
  <c r="E744" i="4"/>
  <c r="F744" i="4"/>
  <c r="G744" i="4"/>
  <c r="H744" i="4"/>
  <c r="I744" i="4"/>
  <c r="J744" i="4"/>
  <c r="K744" i="4"/>
  <c r="L744" i="4"/>
  <c r="M744" i="4"/>
  <c r="B745" i="4"/>
  <c r="C745" i="4"/>
  <c r="D745" i="4"/>
  <c r="E745" i="4"/>
  <c r="F745" i="4"/>
  <c r="G745" i="4"/>
  <c r="H745" i="4"/>
  <c r="I745" i="4"/>
  <c r="J745" i="4"/>
  <c r="K745" i="4"/>
  <c r="L745" i="4"/>
  <c r="M745" i="4"/>
  <c r="B746" i="4"/>
  <c r="C746" i="4"/>
  <c r="D746" i="4"/>
  <c r="E746" i="4"/>
  <c r="F746" i="4"/>
  <c r="G746" i="4"/>
  <c r="H746" i="4"/>
  <c r="I746" i="4"/>
  <c r="J746" i="4"/>
  <c r="K746" i="4"/>
  <c r="L746" i="4"/>
  <c r="M746" i="4"/>
  <c r="B747" i="4"/>
  <c r="C747" i="4"/>
  <c r="D747" i="4"/>
  <c r="E747" i="4"/>
  <c r="F747" i="4"/>
  <c r="G747" i="4"/>
  <c r="H747" i="4"/>
  <c r="I747" i="4"/>
  <c r="J747" i="4"/>
  <c r="K747" i="4"/>
  <c r="L747" i="4"/>
  <c r="M747" i="4"/>
  <c r="B748" i="4"/>
  <c r="C748" i="4"/>
  <c r="D748" i="4"/>
  <c r="E748" i="4"/>
  <c r="F748" i="4"/>
  <c r="G748" i="4"/>
  <c r="H748" i="4"/>
  <c r="I748" i="4"/>
  <c r="J748" i="4"/>
  <c r="K748" i="4"/>
  <c r="L748" i="4"/>
  <c r="M748" i="4"/>
  <c r="B749" i="4"/>
  <c r="C749" i="4"/>
  <c r="D749" i="4"/>
  <c r="E749" i="4"/>
  <c r="F749" i="4"/>
  <c r="G749" i="4"/>
  <c r="H749" i="4"/>
  <c r="I749" i="4"/>
  <c r="J749" i="4"/>
  <c r="K749" i="4"/>
  <c r="L749" i="4"/>
  <c r="M749" i="4"/>
  <c r="B750" i="4"/>
  <c r="C750" i="4"/>
  <c r="D750" i="4"/>
  <c r="E750" i="4"/>
  <c r="F750" i="4"/>
  <c r="G750" i="4"/>
  <c r="H750" i="4"/>
  <c r="I750" i="4"/>
  <c r="J750" i="4"/>
  <c r="K750" i="4"/>
  <c r="L750" i="4"/>
  <c r="M750" i="4"/>
  <c r="B751" i="4"/>
  <c r="C751" i="4"/>
  <c r="D751" i="4"/>
  <c r="E751" i="4"/>
  <c r="F751" i="4"/>
  <c r="G751" i="4"/>
  <c r="H751" i="4"/>
  <c r="I751" i="4"/>
  <c r="J751" i="4"/>
  <c r="K751" i="4"/>
  <c r="L751" i="4"/>
  <c r="M751" i="4"/>
  <c r="B752" i="4"/>
  <c r="C752" i="4"/>
  <c r="D752" i="4"/>
  <c r="E752" i="4"/>
  <c r="F752" i="4"/>
  <c r="G752" i="4"/>
  <c r="H752" i="4"/>
  <c r="I752" i="4"/>
  <c r="J752" i="4"/>
  <c r="K752" i="4"/>
  <c r="L752" i="4"/>
  <c r="M752" i="4"/>
  <c r="B753" i="4"/>
  <c r="C753" i="4"/>
  <c r="D753" i="4"/>
  <c r="E753" i="4"/>
  <c r="F753" i="4"/>
  <c r="G753" i="4"/>
  <c r="H753" i="4"/>
  <c r="I753" i="4"/>
  <c r="J753" i="4"/>
  <c r="K753" i="4"/>
  <c r="L753" i="4"/>
  <c r="M753" i="4"/>
  <c r="B754" i="4"/>
  <c r="C754" i="4"/>
  <c r="D754" i="4"/>
  <c r="E754" i="4"/>
  <c r="F754" i="4"/>
  <c r="G754" i="4"/>
  <c r="H754" i="4"/>
  <c r="I754" i="4"/>
  <c r="J754" i="4"/>
  <c r="K754" i="4"/>
  <c r="L754" i="4"/>
  <c r="M754" i="4"/>
  <c r="B755" i="4"/>
  <c r="C755" i="4"/>
  <c r="D755" i="4"/>
  <c r="E755" i="4"/>
  <c r="F755" i="4"/>
  <c r="G755" i="4"/>
  <c r="H755" i="4"/>
  <c r="I755" i="4"/>
  <c r="J755" i="4"/>
  <c r="K755" i="4"/>
  <c r="L755" i="4"/>
  <c r="M755" i="4"/>
  <c r="B756" i="4"/>
  <c r="C756" i="4"/>
  <c r="D756" i="4"/>
  <c r="E756" i="4"/>
  <c r="F756" i="4"/>
  <c r="G756" i="4"/>
  <c r="H756" i="4"/>
  <c r="I756" i="4"/>
  <c r="J756" i="4"/>
  <c r="K756" i="4"/>
  <c r="L756" i="4"/>
  <c r="M756" i="4"/>
  <c r="B757" i="4"/>
  <c r="C757" i="4"/>
  <c r="D757" i="4"/>
  <c r="E757" i="4"/>
  <c r="F757" i="4"/>
  <c r="G757" i="4"/>
  <c r="H757" i="4"/>
  <c r="I757" i="4"/>
  <c r="J757" i="4"/>
  <c r="K757" i="4"/>
  <c r="L757" i="4"/>
  <c r="M757" i="4"/>
  <c r="B758" i="4"/>
  <c r="C758" i="4"/>
  <c r="D758" i="4"/>
  <c r="E758" i="4"/>
  <c r="F758" i="4"/>
  <c r="G758" i="4"/>
  <c r="H758" i="4"/>
  <c r="I758" i="4"/>
  <c r="J758" i="4"/>
  <c r="K758" i="4"/>
  <c r="L758" i="4"/>
  <c r="M758" i="4"/>
  <c r="B759" i="4"/>
  <c r="C759" i="4"/>
  <c r="D759" i="4"/>
  <c r="E759" i="4"/>
  <c r="F759" i="4"/>
  <c r="G759" i="4"/>
  <c r="H759" i="4"/>
  <c r="I759" i="4"/>
  <c r="J759" i="4"/>
  <c r="K759" i="4"/>
  <c r="L759" i="4"/>
  <c r="M759" i="4"/>
  <c r="B760" i="4"/>
  <c r="C760" i="4"/>
  <c r="D760" i="4"/>
  <c r="E760" i="4"/>
  <c r="F760" i="4"/>
  <c r="G760" i="4"/>
  <c r="H760" i="4"/>
  <c r="I760" i="4"/>
  <c r="J760" i="4"/>
  <c r="K760" i="4"/>
  <c r="L760" i="4"/>
  <c r="M760" i="4"/>
  <c r="B761" i="4"/>
  <c r="C761" i="4"/>
  <c r="D761" i="4"/>
  <c r="E761" i="4"/>
  <c r="F761" i="4"/>
  <c r="G761" i="4"/>
  <c r="H761" i="4"/>
  <c r="I761" i="4"/>
  <c r="J761" i="4"/>
  <c r="K761" i="4"/>
  <c r="L761" i="4"/>
  <c r="M761" i="4"/>
  <c r="B762" i="4"/>
  <c r="C762" i="4"/>
  <c r="D762" i="4"/>
  <c r="E762" i="4"/>
  <c r="F762" i="4"/>
  <c r="G762" i="4"/>
  <c r="H762" i="4"/>
  <c r="I762" i="4"/>
  <c r="J762" i="4"/>
  <c r="K762" i="4"/>
  <c r="L762" i="4"/>
  <c r="M762" i="4"/>
  <c r="B763" i="4"/>
  <c r="C763" i="4"/>
  <c r="D763" i="4"/>
  <c r="E763" i="4"/>
  <c r="F763" i="4"/>
  <c r="G763" i="4"/>
  <c r="H763" i="4"/>
  <c r="I763" i="4"/>
  <c r="J763" i="4"/>
  <c r="K763" i="4"/>
  <c r="L763" i="4"/>
  <c r="M763" i="4"/>
  <c r="B764" i="4"/>
  <c r="C764" i="4"/>
  <c r="D764" i="4"/>
  <c r="E764" i="4"/>
  <c r="F764" i="4"/>
  <c r="G764" i="4"/>
  <c r="H764" i="4"/>
  <c r="I764" i="4"/>
  <c r="J764" i="4"/>
  <c r="K764" i="4"/>
  <c r="L764" i="4"/>
  <c r="M764" i="4"/>
  <c r="B765" i="4"/>
  <c r="C765" i="4"/>
  <c r="D765" i="4"/>
  <c r="E765" i="4"/>
  <c r="F765" i="4"/>
  <c r="G765" i="4"/>
  <c r="H765" i="4"/>
  <c r="I765" i="4"/>
  <c r="J765" i="4"/>
  <c r="K765" i="4"/>
  <c r="L765" i="4"/>
  <c r="M765" i="4"/>
  <c r="B766" i="4"/>
  <c r="C766" i="4"/>
  <c r="D766" i="4"/>
  <c r="E766" i="4"/>
  <c r="F766" i="4"/>
  <c r="G766" i="4"/>
  <c r="H766" i="4"/>
  <c r="I766" i="4"/>
  <c r="J766" i="4"/>
  <c r="K766" i="4"/>
  <c r="L766" i="4"/>
  <c r="M766" i="4"/>
  <c r="B767" i="4"/>
  <c r="C767" i="4"/>
  <c r="D767" i="4"/>
  <c r="E767" i="4"/>
  <c r="F767" i="4"/>
  <c r="G767" i="4"/>
  <c r="H767" i="4"/>
  <c r="I767" i="4"/>
  <c r="J767" i="4"/>
  <c r="K767" i="4"/>
  <c r="L767" i="4"/>
  <c r="M767" i="4"/>
  <c r="B768" i="4"/>
  <c r="C768" i="4"/>
  <c r="D768" i="4"/>
  <c r="E768" i="4"/>
  <c r="F768" i="4"/>
  <c r="G768" i="4"/>
  <c r="H768" i="4"/>
  <c r="I768" i="4"/>
  <c r="J768" i="4"/>
  <c r="K768" i="4"/>
  <c r="L768" i="4"/>
  <c r="M768" i="4"/>
  <c r="B769" i="4"/>
  <c r="C769" i="4"/>
  <c r="D769" i="4"/>
  <c r="E769" i="4"/>
  <c r="F769" i="4"/>
  <c r="G769" i="4"/>
  <c r="H769" i="4"/>
  <c r="I769" i="4"/>
  <c r="J769" i="4"/>
  <c r="K769" i="4"/>
  <c r="L769" i="4"/>
  <c r="M769" i="4"/>
  <c r="B770" i="4"/>
  <c r="C770" i="4"/>
  <c r="D770" i="4"/>
  <c r="E770" i="4"/>
  <c r="F770" i="4"/>
  <c r="G770" i="4"/>
  <c r="H770" i="4"/>
  <c r="I770" i="4"/>
  <c r="J770" i="4"/>
  <c r="K770" i="4"/>
  <c r="L770" i="4"/>
  <c r="M770" i="4"/>
  <c r="B771" i="4"/>
  <c r="C771" i="4"/>
  <c r="D771" i="4"/>
  <c r="E771" i="4"/>
  <c r="F771" i="4"/>
  <c r="G771" i="4"/>
  <c r="H771" i="4"/>
  <c r="I771" i="4"/>
  <c r="J771" i="4"/>
  <c r="K771" i="4"/>
  <c r="L771" i="4"/>
  <c r="M771" i="4"/>
  <c r="B772" i="4"/>
  <c r="C772" i="4"/>
  <c r="D772" i="4"/>
  <c r="E772" i="4"/>
  <c r="F772" i="4"/>
  <c r="G772" i="4"/>
  <c r="H772" i="4"/>
  <c r="I772" i="4"/>
  <c r="J772" i="4"/>
  <c r="K772" i="4"/>
  <c r="L772" i="4"/>
  <c r="M772" i="4"/>
  <c r="B773" i="4"/>
  <c r="C773" i="4"/>
  <c r="D773" i="4"/>
  <c r="E773" i="4"/>
  <c r="F773" i="4"/>
  <c r="G773" i="4"/>
  <c r="H773" i="4"/>
  <c r="I773" i="4"/>
  <c r="J773" i="4"/>
  <c r="K773" i="4"/>
  <c r="L773" i="4"/>
  <c r="M773" i="4"/>
  <c r="B774" i="4"/>
  <c r="C774" i="4"/>
  <c r="D774" i="4"/>
  <c r="E774" i="4"/>
  <c r="F774" i="4"/>
  <c r="G774" i="4"/>
  <c r="H774" i="4"/>
  <c r="I774" i="4"/>
  <c r="J774" i="4"/>
  <c r="K774" i="4"/>
  <c r="L774" i="4"/>
  <c r="M774" i="4"/>
  <c r="B775" i="4"/>
  <c r="C775" i="4"/>
  <c r="D775" i="4"/>
  <c r="E775" i="4"/>
  <c r="F775" i="4"/>
  <c r="G775" i="4"/>
  <c r="H775" i="4"/>
  <c r="I775" i="4"/>
  <c r="J775" i="4"/>
  <c r="K775" i="4"/>
  <c r="L775" i="4"/>
  <c r="M775" i="4"/>
  <c r="B776" i="4"/>
  <c r="C776" i="4"/>
  <c r="D776" i="4"/>
  <c r="E776" i="4"/>
  <c r="F776" i="4"/>
  <c r="G776" i="4"/>
  <c r="H776" i="4"/>
  <c r="I776" i="4"/>
  <c r="J776" i="4"/>
  <c r="K776" i="4"/>
  <c r="L776" i="4"/>
  <c r="M776" i="4"/>
  <c r="B777" i="4"/>
  <c r="C777" i="4"/>
  <c r="D777" i="4"/>
  <c r="E777" i="4"/>
  <c r="F777" i="4"/>
  <c r="G777" i="4"/>
  <c r="H777" i="4"/>
  <c r="I777" i="4"/>
  <c r="J777" i="4"/>
  <c r="K777" i="4"/>
  <c r="L777" i="4"/>
  <c r="M777" i="4"/>
  <c r="B778" i="4"/>
  <c r="C778" i="4"/>
  <c r="D778" i="4"/>
  <c r="E778" i="4"/>
  <c r="F778" i="4"/>
  <c r="G778" i="4"/>
  <c r="H778" i="4"/>
  <c r="I778" i="4"/>
  <c r="J778" i="4"/>
  <c r="K778" i="4"/>
  <c r="L778" i="4"/>
  <c r="M778" i="4"/>
  <c r="B779" i="4"/>
  <c r="C779" i="4"/>
  <c r="D779" i="4"/>
  <c r="E779" i="4"/>
  <c r="F779" i="4"/>
  <c r="G779" i="4"/>
  <c r="H779" i="4"/>
  <c r="I779" i="4"/>
  <c r="J779" i="4"/>
  <c r="K779" i="4"/>
  <c r="L779" i="4"/>
  <c r="M779" i="4"/>
  <c r="B780" i="4"/>
  <c r="C780" i="4"/>
  <c r="D780" i="4"/>
  <c r="E780" i="4"/>
  <c r="F780" i="4"/>
  <c r="G780" i="4"/>
  <c r="H780" i="4"/>
  <c r="I780" i="4"/>
  <c r="J780" i="4"/>
  <c r="K780" i="4"/>
  <c r="L780" i="4"/>
  <c r="M780" i="4"/>
  <c r="B781" i="4"/>
  <c r="C781" i="4"/>
  <c r="D781" i="4"/>
  <c r="E781" i="4"/>
  <c r="F781" i="4"/>
  <c r="G781" i="4"/>
  <c r="H781" i="4"/>
  <c r="I781" i="4"/>
  <c r="J781" i="4"/>
  <c r="K781" i="4"/>
  <c r="L781" i="4"/>
  <c r="M781" i="4"/>
  <c r="B782" i="4"/>
  <c r="C782" i="4"/>
  <c r="D782" i="4"/>
  <c r="E782" i="4"/>
  <c r="F782" i="4"/>
  <c r="G782" i="4"/>
  <c r="H782" i="4"/>
  <c r="I782" i="4"/>
  <c r="J782" i="4"/>
  <c r="K782" i="4"/>
  <c r="L782" i="4"/>
  <c r="M782" i="4"/>
  <c r="B783" i="4"/>
  <c r="C783" i="4"/>
  <c r="D783" i="4"/>
  <c r="E783" i="4"/>
  <c r="F783" i="4"/>
  <c r="G783" i="4"/>
  <c r="H783" i="4"/>
  <c r="I783" i="4"/>
  <c r="J783" i="4"/>
  <c r="K783" i="4"/>
  <c r="L783" i="4"/>
  <c r="M783" i="4"/>
  <c r="B784" i="4"/>
  <c r="C784" i="4"/>
  <c r="D784" i="4"/>
  <c r="E784" i="4"/>
  <c r="F784" i="4"/>
  <c r="G784" i="4"/>
  <c r="H784" i="4"/>
  <c r="I784" i="4"/>
  <c r="J784" i="4"/>
  <c r="K784" i="4"/>
  <c r="L784" i="4"/>
  <c r="M784" i="4"/>
  <c r="B785" i="4"/>
  <c r="C785" i="4"/>
  <c r="D785" i="4"/>
  <c r="E785" i="4"/>
  <c r="F785" i="4"/>
  <c r="G785" i="4"/>
  <c r="H785" i="4"/>
  <c r="I785" i="4"/>
  <c r="J785" i="4"/>
  <c r="K785" i="4"/>
  <c r="L785" i="4"/>
  <c r="M785" i="4"/>
  <c r="B786" i="4"/>
  <c r="C786" i="4"/>
  <c r="D786" i="4"/>
  <c r="E786" i="4"/>
  <c r="F786" i="4"/>
  <c r="G786" i="4"/>
  <c r="H786" i="4"/>
  <c r="I786" i="4"/>
  <c r="J786" i="4"/>
  <c r="K786" i="4"/>
  <c r="L786" i="4"/>
  <c r="M786" i="4"/>
  <c r="B787" i="4"/>
  <c r="C787" i="4"/>
  <c r="D787" i="4"/>
  <c r="E787" i="4"/>
  <c r="F787" i="4"/>
  <c r="G787" i="4"/>
  <c r="H787" i="4"/>
  <c r="I787" i="4"/>
  <c r="J787" i="4"/>
  <c r="K787" i="4"/>
  <c r="L787" i="4"/>
  <c r="M787" i="4"/>
  <c r="B788" i="4"/>
  <c r="C788" i="4"/>
  <c r="D788" i="4"/>
  <c r="E788" i="4"/>
  <c r="F788" i="4"/>
  <c r="G788" i="4"/>
  <c r="H788" i="4"/>
  <c r="I788" i="4"/>
  <c r="J788" i="4"/>
  <c r="K788" i="4"/>
  <c r="L788" i="4"/>
  <c r="M788" i="4"/>
  <c r="B789" i="4"/>
  <c r="C789" i="4"/>
  <c r="D789" i="4"/>
  <c r="E789" i="4"/>
  <c r="F789" i="4"/>
  <c r="G789" i="4"/>
  <c r="H789" i="4"/>
  <c r="I789" i="4"/>
  <c r="J789" i="4"/>
  <c r="K789" i="4"/>
  <c r="L789" i="4"/>
  <c r="M789" i="4"/>
  <c r="B790" i="4"/>
  <c r="C790" i="4"/>
  <c r="D790" i="4"/>
  <c r="E790" i="4"/>
  <c r="F790" i="4"/>
  <c r="G790" i="4"/>
  <c r="H790" i="4"/>
  <c r="I790" i="4"/>
  <c r="J790" i="4"/>
  <c r="K790" i="4"/>
  <c r="L790" i="4"/>
  <c r="M790" i="4"/>
  <c r="B791" i="4"/>
  <c r="C791" i="4"/>
  <c r="D791" i="4"/>
  <c r="E791" i="4"/>
  <c r="F791" i="4"/>
  <c r="G791" i="4"/>
  <c r="H791" i="4"/>
  <c r="I791" i="4"/>
  <c r="J791" i="4"/>
  <c r="K791" i="4"/>
  <c r="L791" i="4"/>
  <c r="M791" i="4"/>
  <c r="B792" i="4"/>
  <c r="C792" i="4"/>
  <c r="D792" i="4"/>
  <c r="E792" i="4"/>
  <c r="F792" i="4"/>
  <c r="G792" i="4"/>
  <c r="H792" i="4"/>
  <c r="I792" i="4"/>
  <c r="J792" i="4"/>
  <c r="K792" i="4"/>
  <c r="L792" i="4"/>
  <c r="M792" i="4"/>
  <c r="B793" i="4"/>
  <c r="C793" i="4"/>
  <c r="D793" i="4"/>
  <c r="E793" i="4"/>
  <c r="F793" i="4"/>
  <c r="G793" i="4"/>
  <c r="H793" i="4"/>
  <c r="I793" i="4"/>
  <c r="J793" i="4"/>
  <c r="K793" i="4"/>
  <c r="L793" i="4"/>
  <c r="M793" i="4"/>
  <c r="B794" i="4"/>
  <c r="C794" i="4"/>
  <c r="D794" i="4"/>
  <c r="E794" i="4"/>
  <c r="F794" i="4"/>
  <c r="G794" i="4"/>
  <c r="H794" i="4"/>
  <c r="I794" i="4"/>
  <c r="J794" i="4"/>
  <c r="K794" i="4"/>
  <c r="L794" i="4"/>
  <c r="M794" i="4"/>
  <c r="B795" i="4"/>
  <c r="C795" i="4"/>
  <c r="D795" i="4"/>
  <c r="E795" i="4"/>
  <c r="F795" i="4"/>
  <c r="G795" i="4"/>
  <c r="H795" i="4"/>
  <c r="I795" i="4"/>
  <c r="J795" i="4"/>
  <c r="K795" i="4"/>
  <c r="L795" i="4"/>
  <c r="M795" i="4"/>
  <c r="B796" i="4"/>
  <c r="C796" i="4"/>
  <c r="D796" i="4"/>
  <c r="E796" i="4"/>
  <c r="F796" i="4"/>
  <c r="G796" i="4"/>
  <c r="H796" i="4"/>
  <c r="I796" i="4"/>
  <c r="J796" i="4"/>
  <c r="K796" i="4"/>
  <c r="L796" i="4"/>
  <c r="M796" i="4"/>
  <c r="B797" i="4"/>
  <c r="C797" i="4"/>
  <c r="D797" i="4"/>
  <c r="E797" i="4"/>
  <c r="F797" i="4"/>
  <c r="G797" i="4"/>
  <c r="H797" i="4"/>
  <c r="I797" i="4"/>
  <c r="J797" i="4"/>
  <c r="K797" i="4"/>
  <c r="L797" i="4"/>
  <c r="M797" i="4"/>
  <c r="B798" i="4"/>
  <c r="C798" i="4"/>
  <c r="D798" i="4"/>
  <c r="E798" i="4"/>
  <c r="F798" i="4"/>
  <c r="G798" i="4"/>
  <c r="H798" i="4"/>
  <c r="I798" i="4"/>
  <c r="J798" i="4"/>
  <c r="K798" i="4"/>
  <c r="L798" i="4"/>
  <c r="M798" i="4"/>
  <c r="B799" i="4"/>
  <c r="C799" i="4"/>
  <c r="D799" i="4"/>
  <c r="E799" i="4"/>
  <c r="F799" i="4"/>
  <c r="G799" i="4"/>
  <c r="H799" i="4"/>
  <c r="I799" i="4"/>
  <c r="J799" i="4"/>
  <c r="K799" i="4"/>
  <c r="L799" i="4"/>
  <c r="M799" i="4"/>
  <c r="B800" i="4"/>
  <c r="C800" i="4"/>
  <c r="D800" i="4"/>
  <c r="E800" i="4"/>
  <c r="F800" i="4"/>
  <c r="G800" i="4"/>
  <c r="H800" i="4"/>
  <c r="I800" i="4"/>
  <c r="J800" i="4"/>
  <c r="K800" i="4"/>
  <c r="L800" i="4"/>
  <c r="M800" i="4"/>
  <c r="B801" i="4"/>
  <c r="C801" i="4"/>
  <c r="D801" i="4"/>
  <c r="E801" i="4"/>
  <c r="F801" i="4"/>
  <c r="G801" i="4"/>
  <c r="H801" i="4"/>
  <c r="I801" i="4"/>
  <c r="J801" i="4"/>
  <c r="K801" i="4"/>
  <c r="L801" i="4"/>
  <c r="M801" i="4"/>
  <c r="B802" i="4"/>
  <c r="C802" i="4"/>
  <c r="D802" i="4"/>
  <c r="E802" i="4"/>
  <c r="F802" i="4"/>
  <c r="G802" i="4"/>
  <c r="H802" i="4"/>
  <c r="I802" i="4"/>
  <c r="J802" i="4"/>
  <c r="K802" i="4"/>
  <c r="L802" i="4"/>
  <c r="M802" i="4"/>
  <c r="B803" i="4"/>
  <c r="C803" i="4"/>
  <c r="D803" i="4"/>
  <c r="E803" i="4"/>
  <c r="F803" i="4"/>
  <c r="G803" i="4"/>
  <c r="H803" i="4"/>
  <c r="I803" i="4"/>
  <c r="J803" i="4"/>
  <c r="K803" i="4"/>
  <c r="L803" i="4"/>
  <c r="M803" i="4"/>
  <c r="B804" i="4"/>
  <c r="C804" i="4"/>
  <c r="D804" i="4"/>
  <c r="E804" i="4"/>
  <c r="F804" i="4"/>
  <c r="G804" i="4"/>
  <c r="H804" i="4"/>
  <c r="I804" i="4"/>
  <c r="J804" i="4"/>
  <c r="K804" i="4"/>
  <c r="L804" i="4"/>
  <c r="M804" i="4"/>
  <c r="B805" i="4"/>
  <c r="C805" i="4"/>
  <c r="D805" i="4"/>
  <c r="E805" i="4"/>
  <c r="F805" i="4"/>
  <c r="G805" i="4"/>
  <c r="H805" i="4"/>
  <c r="I805" i="4"/>
  <c r="J805" i="4"/>
  <c r="K805" i="4"/>
  <c r="L805" i="4"/>
  <c r="M805" i="4"/>
  <c r="B806" i="4"/>
  <c r="C806" i="4"/>
  <c r="D806" i="4"/>
  <c r="E806" i="4"/>
  <c r="F806" i="4"/>
  <c r="G806" i="4"/>
  <c r="H806" i="4"/>
  <c r="I806" i="4"/>
  <c r="J806" i="4"/>
  <c r="K806" i="4"/>
  <c r="L806" i="4"/>
  <c r="M806" i="4"/>
  <c r="B807" i="4"/>
  <c r="C807" i="4"/>
  <c r="D807" i="4"/>
  <c r="E807" i="4"/>
  <c r="F807" i="4"/>
  <c r="G807" i="4"/>
  <c r="H807" i="4"/>
  <c r="I807" i="4"/>
  <c r="J807" i="4"/>
  <c r="K807" i="4"/>
  <c r="L807" i="4"/>
  <c r="M807" i="4"/>
  <c r="B808" i="4"/>
  <c r="C808" i="4"/>
  <c r="D808" i="4"/>
  <c r="E808" i="4"/>
  <c r="F808" i="4"/>
  <c r="G808" i="4"/>
  <c r="H808" i="4"/>
  <c r="I808" i="4"/>
  <c r="J808" i="4"/>
  <c r="K808" i="4"/>
  <c r="L808" i="4"/>
  <c r="M808" i="4"/>
  <c r="B809" i="4"/>
  <c r="C809" i="4"/>
  <c r="D809" i="4"/>
  <c r="E809" i="4"/>
  <c r="F809" i="4"/>
  <c r="G809" i="4"/>
  <c r="H809" i="4"/>
  <c r="I809" i="4"/>
  <c r="J809" i="4"/>
  <c r="K809" i="4"/>
  <c r="L809" i="4"/>
  <c r="M809" i="4"/>
  <c r="B810" i="4"/>
  <c r="C810" i="4"/>
  <c r="D810" i="4"/>
  <c r="E810" i="4"/>
  <c r="F810" i="4"/>
  <c r="G810" i="4"/>
  <c r="H810" i="4"/>
  <c r="I810" i="4"/>
  <c r="J810" i="4"/>
  <c r="K810" i="4"/>
  <c r="L810" i="4"/>
  <c r="M810" i="4"/>
  <c r="B811" i="4"/>
  <c r="C811" i="4"/>
  <c r="D811" i="4"/>
  <c r="E811" i="4"/>
  <c r="F811" i="4"/>
  <c r="G811" i="4"/>
  <c r="H811" i="4"/>
  <c r="I811" i="4"/>
  <c r="J811" i="4"/>
  <c r="K811" i="4"/>
  <c r="L811" i="4"/>
  <c r="M811" i="4"/>
  <c r="B812" i="4"/>
  <c r="C812" i="4"/>
  <c r="D812" i="4"/>
  <c r="E812" i="4"/>
  <c r="F812" i="4"/>
  <c r="G812" i="4"/>
  <c r="H812" i="4"/>
  <c r="I812" i="4"/>
  <c r="J812" i="4"/>
  <c r="K812" i="4"/>
  <c r="L812" i="4"/>
  <c r="M812" i="4"/>
  <c r="B813" i="4"/>
  <c r="C813" i="4"/>
  <c r="D813" i="4"/>
  <c r="E813" i="4"/>
  <c r="F813" i="4"/>
  <c r="G813" i="4"/>
  <c r="H813" i="4"/>
  <c r="I813" i="4"/>
  <c r="J813" i="4"/>
  <c r="K813" i="4"/>
  <c r="L813" i="4"/>
  <c r="M813" i="4"/>
  <c r="B814" i="4"/>
  <c r="C814" i="4"/>
  <c r="D814" i="4"/>
  <c r="E814" i="4"/>
  <c r="F814" i="4"/>
  <c r="G814" i="4"/>
  <c r="H814" i="4"/>
  <c r="I814" i="4"/>
  <c r="J814" i="4"/>
  <c r="K814" i="4"/>
  <c r="L814" i="4"/>
  <c r="M814" i="4"/>
  <c r="B815" i="4"/>
  <c r="C815" i="4"/>
  <c r="D815" i="4"/>
  <c r="E815" i="4"/>
  <c r="F815" i="4"/>
  <c r="G815" i="4"/>
  <c r="H815" i="4"/>
  <c r="I815" i="4"/>
  <c r="J815" i="4"/>
  <c r="K815" i="4"/>
  <c r="L815" i="4"/>
  <c r="M815" i="4"/>
  <c r="B816" i="4"/>
  <c r="C816" i="4"/>
  <c r="D816" i="4"/>
  <c r="E816" i="4"/>
  <c r="F816" i="4"/>
  <c r="G816" i="4"/>
  <c r="H816" i="4"/>
  <c r="I816" i="4"/>
  <c r="J816" i="4"/>
  <c r="K816" i="4"/>
  <c r="L816" i="4"/>
  <c r="M816" i="4"/>
  <c r="B817" i="4"/>
  <c r="C817" i="4"/>
  <c r="D817" i="4"/>
  <c r="E817" i="4"/>
  <c r="F817" i="4"/>
  <c r="G817" i="4"/>
  <c r="H817" i="4"/>
  <c r="I817" i="4"/>
  <c r="J817" i="4"/>
  <c r="K817" i="4"/>
  <c r="L817" i="4"/>
  <c r="M817" i="4"/>
  <c r="B818" i="4"/>
  <c r="C818" i="4"/>
  <c r="D818" i="4"/>
  <c r="E818" i="4"/>
  <c r="F818" i="4"/>
  <c r="G818" i="4"/>
  <c r="H818" i="4"/>
  <c r="I818" i="4"/>
  <c r="J818" i="4"/>
  <c r="K818" i="4"/>
  <c r="L818" i="4"/>
  <c r="M818" i="4"/>
  <c r="B819" i="4"/>
  <c r="C819" i="4"/>
  <c r="D819" i="4"/>
  <c r="E819" i="4"/>
  <c r="F819" i="4"/>
  <c r="G819" i="4"/>
  <c r="H819" i="4"/>
  <c r="I819" i="4"/>
  <c r="J819" i="4"/>
  <c r="K819" i="4"/>
  <c r="L819" i="4"/>
  <c r="M819" i="4"/>
  <c r="B820" i="4"/>
  <c r="C820" i="4"/>
  <c r="D820" i="4"/>
  <c r="E820" i="4"/>
  <c r="F820" i="4"/>
  <c r="G820" i="4"/>
  <c r="H820" i="4"/>
  <c r="I820" i="4"/>
  <c r="J820" i="4"/>
  <c r="K820" i="4"/>
  <c r="L820" i="4"/>
  <c r="M820" i="4"/>
  <c r="B821" i="4"/>
  <c r="C821" i="4"/>
  <c r="D821" i="4"/>
  <c r="E821" i="4"/>
  <c r="F821" i="4"/>
  <c r="G821" i="4"/>
  <c r="H821" i="4"/>
  <c r="I821" i="4"/>
  <c r="J821" i="4"/>
  <c r="K821" i="4"/>
  <c r="L821" i="4"/>
  <c r="M821" i="4"/>
  <c r="B822" i="4"/>
  <c r="C822" i="4"/>
  <c r="D822" i="4"/>
  <c r="E822" i="4"/>
  <c r="F822" i="4"/>
  <c r="G822" i="4"/>
  <c r="H822" i="4"/>
  <c r="I822" i="4"/>
  <c r="J822" i="4"/>
  <c r="K822" i="4"/>
  <c r="L822" i="4"/>
  <c r="M822" i="4"/>
  <c r="B823" i="4"/>
  <c r="C823" i="4"/>
  <c r="D823" i="4"/>
  <c r="E823" i="4"/>
  <c r="F823" i="4"/>
  <c r="G823" i="4"/>
  <c r="H823" i="4"/>
  <c r="I823" i="4"/>
  <c r="J823" i="4"/>
  <c r="K823" i="4"/>
  <c r="L823" i="4"/>
  <c r="M823" i="4"/>
  <c r="B824" i="4"/>
  <c r="C824" i="4"/>
  <c r="D824" i="4"/>
  <c r="E824" i="4"/>
  <c r="F824" i="4"/>
  <c r="G824" i="4"/>
  <c r="H824" i="4"/>
  <c r="I824" i="4"/>
  <c r="J824" i="4"/>
  <c r="K824" i="4"/>
  <c r="L824" i="4"/>
  <c r="M824" i="4"/>
  <c r="B825" i="4"/>
  <c r="C825" i="4"/>
  <c r="D825" i="4"/>
  <c r="E825" i="4"/>
  <c r="F825" i="4"/>
  <c r="G825" i="4"/>
  <c r="H825" i="4"/>
  <c r="I825" i="4"/>
  <c r="J825" i="4"/>
  <c r="K825" i="4"/>
  <c r="L825" i="4"/>
  <c r="M825" i="4"/>
  <c r="B826" i="4"/>
  <c r="C826" i="4"/>
  <c r="D826" i="4"/>
  <c r="E826" i="4"/>
  <c r="F826" i="4"/>
  <c r="G826" i="4"/>
  <c r="H826" i="4"/>
  <c r="I826" i="4"/>
  <c r="J826" i="4"/>
  <c r="K826" i="4"/>
  <c r="L826" i="4"/>
  <c r="M826" i="4"/>
  <c r="B827" i="4"/>
  <c r="C827" i="4"/>
  <c r="D827" i="4"/>
  <c r="E827" i="4"/>
  <c r="F827" i="4"/>
  <c r="G827" i="4"/>
  <c r="H827" i="4"/>
  <c r="I827" i="4"/>
  <c r="J827" i="4"/>
  <c r="K827" i="4"/>
  <c r="L827" i="4"/>
  <c r="M827" i="4"/>
  <c r="B828" i="4"/>
  <c r="C828" i="4"/>
  <c r="D828" i="4"/>
  <c r="E828" i="4"/>
  <c r="F828" i="4"/>
  <c r="G828" i="4"/>
  <c r="H828" i="4"/>
  <c r="I828" i="4"/>
  <c r="J828" i="4"/>
  <c r="K828" i="4"/>
  <c r="L828" i="4"/>
  <c r="M828" i="4"/>
  <c r="B829" i="4"/>
  <c r="C829" i="4"/>
  <c r="D829" i="4"/>
  <c r="E829" i="4"/>
  <c r="F829" i="4"/>
  <c r="G829" i="4"/>
  <c r="H829" i="4"/>
  <c r="I829" i="4"/>
  <c r="J829" i="4"/>
  <c r="K829" i="4"/>
  <c r="L829" i="4"/>
  <c r="M829" i="4"/>
  <c r="B830" i="4"/>
  <c r="C830" i="4"/>
  <c r="D830" i="4"/>
  <c r="E830" i="4"/>
  <c r="F830" i="4"/>
  <c r="G830" i="4"/>
  <c r="H830" i="4"/>
  <c r="I830" i="4"/>
  <c r="J830" i="4"/>
  <c r="K830" i="4"/>
  <c r="L830" i="4"/>
  <c r="M830" i="4"/>
  <c r="B831" i="4"/>
  <c r="C831" i="4"/>
  <c r="D831" i="4"/>
  <c r="E831" i="4"/>
  <c r="F831" i="4"/>
  <c r="G831" i="4"/>
  <c r="H831" i="4"/>
  <c r="I831" i="4"/>
  <c r="J831" i="4"/>
  <c r="K831" i="4"/>
  <c r="L831" i="4"/>
  <c r="M831" i="4"/>
  <c r="B832" i="4"/>
  <c r="C832" i="4"/>
  <c r="D832" i="4"/>
  <c r="E832" i="4"/>
  <c r="F832" i="4"/>
  <c r="G832" i="4"/>
  <c r="H832" i="4"/>
  <c r="I832" i="4"/>
  <c r="J832" i="4"/>
  <c r="K832" i="4"/>
  <c r="L832" i="4"/>
  <c r="M832" i="4"/>
  <c r="B833" i="4"/>
  <c r="C833" i="4"/>
  <c r="D833" i="4"/>
  <c r="E833" i="4"/>
  <c r="F833" i="4"/>
  <c r="G833" i="4"/>
  <c r="H833" i="4"/>
  <c r="I833" i="4"/>
  <c r="J833" i="4"/>
  <c r="K833" i="4"/>
  <c r="L833" i="4"/>
  <c r="M833" i="4"/>
  <c r="B834" i="4"/>
  <c r="C834" i="4"/>
  <c r="D834" i="4"/>
  <c r="E834" i="4"/>
  <c r="F834" i="4"/>
  <c r="G834" i="4"/>
  <c r="H834" i="4"/>
  <c r="I834" i="4"/>
  <c r="J834" i="4"/>
  <c r="K834" i="4"/>
  <c r="L834" i="4"/>
  <c r="M834" i="4"/>
  <c r="B835" i="4"/>
  <c r="C835" i="4"/>
  <c r="D835" i="4"/>
  <c r="E835" i="4"/>
  <c r="F835" i="4"/>
  <c r="G835" i="4"/>
  <c r="H835" i="4"/>
  <c r="I835" i="4"/>
  <c r="J835" i="4"/>
  <c r="K835" i="4"/>
  <c r="L835" i="4"/>
  <c r="M835" i="4"/>
  <c r="B836" i="4"/>
  <c r="C836" i="4"/>
  <c r="D836" i="4"/>
  <c r="E836" i="4"/>
  <c r="F836" i="4"/>
  <c r="G836" i="4"/>
  <c r="H836" i="4"/>
  <c r="I836" i="4"/>
  <c r="J836" i="4"/>
  <c r="K836" i="4"/>
  <c r="L836" i="4"/>
  <c r="M836" i="4"/>
  <c r="B837" i="4"/>
  <c r="C837" i="4"/>
  <c r="D837" i="4"/>
  <c r="E837" i="4"/>
  <c r="F837" i="4"/>
  <c r="G837" i="4"/>
  <c r="H837" i="4"/>
  <c r="I837" i="4"/>
  <c r="J837" i="4"/>
  <c r="K837" i="4"/>
  <c r="L837" i="4"/>
  <c r="M837" i="4"/>
  <c r="B838" i="4"/>
  <c r="C838" i="4"/>
  <c r="D838" i="4"/>
  <c r="E838" i="4"/>
  <c r="F838" i="4"/>
  <c r="G838" i="4"/>
  <c r="H838" i="4"/>
  <c r="I838" i="4"/>
  <c r="J838" i="4"/>
  <c r="K838" i="4"/>
  <c r="L838" i="4"/>
  <c r="M838" i="4"/>
  <c r="B839" i="4"/>
  <c r="C839" i="4"/>
  <c r="D839" i="4"/>
  <c r="E839" i="4"/>
  <c r="F839" i="4"/>
  <c r="G839" i="4"/>
  <c r="H839" i="4"/>
  <c r="I839" i="4"/>
  <c r="J839" i="4"/>
  <c r="K839" i="4"/>
  <c r="L839" i="4"/>
  <c r="M839" i="4"/>
  <c r="B840" i="4"/>
  <c r="C840" i="4"/>
  <c r="D840" i="4"/>
  <c r="E840" i="4"/>
  <c r="F840" i="4"/>
  <c r="G840" i="4"/>
  <c r="H840" i="4"/>
  <c r="I840" i="4"/>
  <c r="J840" i="4"/>
  <c r="K840" i="4"/>
  <c r="L840" i="4"/>
  <c r="M840" i="4"/>
  <c r="B841" i="4"/>
  <c r="C841" i="4"/>
  <c r="D841" i="4"/>
  <c r="E841" i="4"/>
  <c r="F841" i="4"/>
  <c r="G841" i="4"/>
  <c r="H841" i="4"/>
  <c r="I841" i="4"/>
  <c r="J841" i="4"/>
  <c r="K841" i="4"/>
  <c r="L841" i="4"/>
  <c r="M841" i="4"/>
  <c r="B842" i="4"/>
  <c r="C842" i="4"/>
  <c r="D842" i="4"/>
  <c r="E842" i="4"/>
  <c r="F842" i="4"/>
  <c r="G842" i="4"/>
  <c r="H842" i="4"/>
  <c r="I842" i="4"/>
  <c r="J842" i="4"/>
  <c r="K842" i="4"/>
  <c r="L842" i="4"/>
  <c r="M842" i="4"/>
  <c r="B843" i="4"/>
  <c r="C843" i="4"/>
  <c r="D843" i="4"/>
  <c r="E843" i="4"/>
  <c r="F843" i="4"/>
  <c r="G843" i="4"/>
  <c r="H843" i="4"/>
  <c r="I843" i="4"/>
  <c r="J843" i="4"/>
  <c r="K843" i="4"/>
  <c r="L843" i="4"/>
  <c r="M843" i="4"/>
  <c r="B844" i="4"/>
  <c r="C844" i="4"/>
  <c r="D844" i="4"/>
  <c r="E844" i="4"/>
  <c r="F844" i="4"/>
  <c r="G844" i="4"/>
  <c r="H844" i="4"/>
  <c r="I844" i="4"/>
  <c r="J844" i="4"/>
  <c r="K844" i="4"/>
  <c r="L844" i="4"/>
  <c r="M844" i="4"/>
  <c r="B845" i="4"/>
  <c r="C845" i="4"/>
  <c r="D845" i="4"/>
  <c r="E845" i="4"/>
  <c r="F845" i="4"/>
  <c r="G845" i="4"/>
  <c r="H845" i="4"/>
  <c r="I845" i="4"/>
  <c r="J845" i="4"/>
  <c r="K845" i="4"/>
  <c r="L845" i="4"/>
  <c r="M845" i="4"/>
  <c r="B846" i="4"/>
  <c r="C846" i="4"/>
  <c r="D846" i="4"/>
  <c r="E846" i="4"/>
  <c r="F846" i="4"/>
  <c r="G846" i="4"/>
  <c r="H846" i="4"/>
  <c r="I846" i="4"/>
  <c r="J846" i="4"/>
  <c r="K846" i="4"/>
  <c r="L846" i="4"/>
  <c r="M846" i="4"/>
  <c r="B847" i="4"/>
  <c r="C847" i="4"/>
  <c r="D847" i="4"/>
  <c r="E847" i="4"/>
  <c r="F847" i="4"/>
  <c r="G847" i="4"/>
  <c r="H847" i="4"/>
  <c r="I847" i="4"/>
  <c r="J847" i="4"/>
  <c r="K847" i="4"/>
  <c r="L847" i="4"/>
  <c r="M847" i="4"/>
  <c r="B848" i="4"/>
  <c r="C848" i="4"/>
  <c r="D848" i="4"/>
  <c r="E848" i="4"/>
  <c r="F848" i="4"/>
  <c r="G848" i="4"/>
  <c r="H848" i="4"/>
  <c r="I848" i="4"/>
  <c r="J848" i="4"/>
  <c r="K848" i="4"/>
  <c r="L848" i="4"/>
  <c r="M848" i="4"/>
  <c r="B849" i="4"/>
  <c r="C849" i="4"/>
  <c r="D849" i="4"/>
  <c r="E849" i="4"/>
  <c r="F849" i="4"/>
  <c r="G849" i="4"/>
  <c r="H849" i="4"/>
  <c r="I849" i="4"/>
  <c r="J849" i="4"/>
  <c r="K849" i="4"/>
  <c r="L849" i="4"/>
  <c r="M849" i="4"/>
  <c r="B850" i="4"/>
  <c r="C850" i="4"/>
  <c r="D850" i="4"/>
  <c r="E850" i="4"/>
  <c r="F850" i="4"/>
  <c r="G850" i="4"/>
  <c r="H850" i="4"/>
  <c r="I850" i="4"/>
  <c r="J850" i="4"/>
  <c r="K850" i="4"/>
  <c r="L850" i="4"/>
  <c r="M850" i="4"/>
  <c r="B851" i="4"/>
  <c r="C851" i="4"/>
  <c r="D851" i="4"/>
  <c r="E851" i="4"/>
  <c r="F851" i="4"/>
  <c r="G851" i="4"/>
  <c r="H851" i="4"/>
  <c r="I851" i="4"/>
  <c r="J851" i="4"/>
  <c r="K851" i="4"/>
  <c r="L851" i="4"/>
  <c r="M851" i="4"/>
  <c r="B852" i="4"/>
  <c r="C852" i="4"/>
  <c r="D852" i="4"/>
  <c r="E852" i="4"/>
  <c r="F852" i="4"/>
  <c r="G852" i="4"/>
  <c r="H852" i="4"/>
  <c r="I852" i="4"/>
  <c r="J852" i="4"/>
  <c r="K852" i="4"/>
  <c r="L852" i="4"/>
  <c r="M852" i="4"/>
  <c r="B853" i="4"/>
  <c r="C853" i="4"/>
  <c r="D853" i="4"/>
  <c r="E853" i="4"/>
  <c r="F853" i="4"/>
  <c r="G853" i="4"/>
  <c r="H853" i="4"/>
  <c r="I853" i="4"/>
  <c r="J853" i="4"/>
  <c r="K853" i="4"/>
  <c r="L853" i="4"/>
  <c r="M853" i="4"/>
  <c r="B854" i="4"/>
  <c r="C854" i="4"/>
  <c r="D854" i="4"/>
  <c r="E854" i="4"/>
  <c r="F854" i="4"/>
  <c r="G854" i="4"/>
  <c r="H854" i="4"/>
  <c r="I854" i="4"/>
  <c r="J854" i="4"/>
  <c r="K854" i="4"/>
  <c r="L854" i="4"/>
  <c r="M854" i="4"/>
  <c r="B855" i="4"/>
  <c r="C855" i="4"/>
  <c r="D855" i="4"/>
  <c r="E855" i="4"/>
  <c r="F855" i="4"/>
  <c r="G855" i="4"/>
  <c r="H855" i="4"/>
  <c r="I855" i="4"/>
  <c r="J855" i="4"/>
  <c r="K855" i="4"/>
  <c r="L855" i="4"/>
  <c r="M855" i="4"/>
  <c r="B856" i="4"/>
  <c r="C856" i="4"/>
  <c r="D856" i="4"/>
  <c r="E856" i="4"/>
  <c r="F856" i="4"/>
  <c r="G856" i="4"/>
  <c r="H856" i="4"/>
  <c r="I856" i="4"/>
  <c r="J856" i="4"/>
  <c r="K856" i="4"/>
  <c r="L856" i="4"/>
  <c r="M856" i="4"/>
  <c r="B857" i="4"/>
  <c r="C857" i="4"/>
  <c r="D857" i="4"/>
  <c r="E857" i="4"/>
  <c r="F857" i="4"/>
  <c r="G857" i="4"/>
  <c r="H857" i="4"/>
  <c r="I857" i="4"/>
  <c r="J857" i="4"/>
  <c r="K857" i="4"/>
  <c r="L857" i="4"/>
  <c r="M857" i="4"/>
  <c r="B858" i="4"/>
  <c r="C858" i="4"/>
  <c r="D858" i="4"/>
  <c r="E858" i="4"/>
  <c r="F858" i="4"/>
  <c r="G858" i="4"/>
  <c r="H858" i="4"/>
  <c r="I858" i="4"/>
  <c r="J858" i="4"/>
  <c r="K858" i="4"/>
  <c r="L858" i="4"/>
  <c r="M858" i="4"/>
  <c r="B859" i="4"/>
  <c r="C859" i="4"/>
  <c r="D859" i="4"/>
  <c r="E859" i="4"/>
  <c r="F859" i="4"/>
  <c r="G859" i="4"/>
  <c r="H859" i="4"/>
  <c r="I859" i="4"/>
  <c r="J859" i="4"/>
  <c r="K859" i="4"/>
  <c r="L859" i="4"/>
  <c r="M859" i="4"/>
  <c r="B860" i="4"/>
  <c r="C860" i="4"/>
  <c r="D860" i="4"/>
  <c r="E860" i="4"/>
  <c r="F860" i="4"/>
  <c r="G860" i="4"/>
  <c r="H860" i="4"/>
  <c r="I860" i="4"/>
  <c r="J860" i="4"/>
  <c r="K860" i="4"/>
  <c r="L860" i="4"/>
  <c r="M860" i="4"/>
  <c r="B861" i="4"/>
  <c r="C861" i="4"/>
  <c r="D861" i="4"/>
  <c r="E861" i="4"/>
  <c r="F861" i="4"/>
  <c r="G861" i="4"/>
  <c r="H861" i="4"/>
  <c r="I861" i="4"/>
  <c r="J861" i="4"/>
  <c r="K861" i="4"/>
  <c r="L861" i="4"/>
  <c r="M861" i="4"/>
  <c r="B862" i="4"/>
  <c r="C862" i="4"/>
  <c r="D862" i="4"/>
  <c r="E862" i="4"/>
  <c r="F862" i="4"/>
  <c r="G862" i="4"/>
  <c r="H862" i="4"/>
  <c r="I862" i="4"/>
  <c r="J862" i="4"/>
  <c r="K862" i="4"/>
  <c r="L862" i="4"/>
  <c r="M862" i="4"/>
  <c r="B863" i="4"/>
  <c r="C863" i="4"/>
  <c r="D863" i="4"/>
  <c r="E863" i="4"/>
  <c r="F863" i="4"/>
  <c r="G863" i="4"/>
  <c r="H863" i="4"/>
  <c r="I863" i="4"/>
  <c r="J863" i="4"/>
  <c r="K863" i="4"/>
  <c r="L863" i="4"/>
  <c r="M863" i="4"/>
  <c r="B864" i="4"/>
  <c r="C864" i="4"/>
  <c r="D864" i="4"/>
  <c r="E864" i="4"/>
  <c r="F864" i="4"/>
  <c r="G864" i="4"/>
  <c r="H864" i="4"/>
  <c r="I864" i="4"/>
  <c r="J864" i="4"/>
  <c r="K864" i="4"/>
  <c r="L864" i="4"/>
  <c r="M864" i="4"/>
  <c r="B865" i="4"/>
  <c r="C865" i="4"/>
  <c r="D865" i="4"/>
  <c r="E865" i="4"/>
  <c r="F865" i="4"/>
  <c r="G865" i="4"/>
  <c r="H865" i="4"/>
  <c r="I865" i="4"/>
  <c r="J865" i="4"/>
  <c r="K865" i="4"/>
  <c r="L865" i="4"/>
  <c r="M865" i="4"/>
  <c r="B866" i="4"/>
  <c r="C866" i="4"/>
  <c r="D866" i="4"/>
  <c r="E866" i="4"/>
  <c r="F866" i="4"/>
  <c r="G866" i="4"/>
  <c r="H866" i="4"/>
  <c r="I866" i="4"/>
  <c r="J866" i="4"/>
  <c r="K866" i="4"/>
  <c r="L866" i="4"/>
  <c r="M866" i="4"/>
  <c r="B867" i="4"/>
  <c r="C867" i="4"/>
  <c r="D867" i="4"/>
  <c r="E867" i="4"/>
  <c r="F867" i="4"/>
  <c r="G867" i="4"/>
  <c r="H867" i="4"/>
  <c r="I867" i="4"/>
  <c r="J867" i="4"/>
  <c r="K867" i="4"/>
  <c r="L867" i="4"/>
  <c r="M867" i="4"/>
  <c r="B868" i="4"/>
  <c r="C868" i="4"/>
  <c r="D868" i="4"/>
  <c r="E868" i="4"/>
  <c r="F868" i="4"/>
  <c r="G868" i="4"/>
  <c r="H868" i="4"/>
  <c r="I868" i="4"/>
  <c r="J868" i="4"/>
  <c r="K868" i="4"/>
  <c r="L868" i="4"/>
  <c r="M868" i="4"/>
  <c r="B869" i="4"/>
  <c r="C869" i="4"/>
  <c r="D869" i="4"/>
  <c r="E869" i="4"/>
  <c r="F869" i="4"/>
  <c r="G869" i="4"/>
  <c r="H869" i="4"/>
  <c r="I869" i="4"/>
  <c r="J869" i="4"/>
  <c r="K869" i="4"/>
  <c r="L869" i="4"/>
  <c r="M869" i="4"/>
  <c r="B870" i="4"/>
  <c r="C870" i="4"/>
  <c r="D870" i="4"/>
  <c r="E870" i="4"/>
  <c r="F870" i="4"/>
  <c r="G870" i="4"/>
  <c r="H870" i="4"/>
  <c r="I870" i="4"/>
  <c r="J870" i="4"/>
  <c r="K870" i="4"/>
  <c r="L870" i="4"/>
  <c r="M870" i="4"/>
  <c r="B871" i="4"/>
  <c r="C871" i="4"/>
  <c r="D871" i="4"/>
  <c r="E871" i="4"/>
  <c r="F871" i="4"/>
  <c r="G871" i="4"/>
  <c r="H871" i="4"/>
  <c r="I871" i="4"/>
  <c r="J871" i="4"/>
  <c r="K871" i="4"/>
  <c r="L871" i="4"/>
  <c r="M871" i="4"/>
  <c r="B872" i="4"/>
  <c r="C872" i="4"/>
  <c r="D872" i="4"/>
  <c r="E872" i="4"/>
  <c r="F872" i="4"/>
  <c r="G872" i="4"/>
  <c r="H872" i="4"/>
  <c r="I872" i="4"/>
  <c r="J872" i="4"/>
  <c r="K872" i="4"/>
  <c r="L872" i="4"/>
  <c r="M872" i="4"/>
  <c r="B873" i="4"/>
  <c r="C873" i="4"/>
  <c r="D873" i="4"/>
  <c r="E873" i="4"/>
  <c r="F873" i="4"/>
  <c r="G873" i="4"/>
  <c r="H873" i="4"/>
  <c r="I873" i="4"/>
  <c r="J873" i="4"/>
  <c r="K873" i="4"/>
  <c r="L873" i="4"/>
  <c r="M873" i="4"/>
  <c r="B874" i="4"/>
  <c r="C874" i="4"/>
  <c r="D874" i="4"/>
  <c r="E874" i="4"/>
  <c r="F874" i="4"/>
  <c r="G874" i="4"/>
  <c r="H874" i="4"/>
  <c r="I874" i="4"/>
  <c r="J874" i="4"/>
  <c r="K874" i="4"/>
  <c r="L874" i="4"/>
  <c r="M874" i="4"/>
  <c r="B875" i="4"/>
  <c r="C875" i="4"/>
  <c r="D875" i="4"/>
  <c r="E875" i="4"/>
  <c r="F875" i="4"/>
  <c r="G875" i="4"/>
  <c r="H875" i="4"/>
  <c r="I875" i="4"/>
  <c r="J875" i="4"/>
  <c r="K875" i="4"/>
  <c r="L875" i="4"/>
  <c r="M875" i="4"/>
  <c r="B876" i="4"/>
  <c r="C876" i="4"/>
  <c r="D876" i="4"/>
  <c r="E876" i="4"/>
  <c r="F876" i="4"/>
  <c r="G876" i="4"/>
  <c r="H876" i="4"/>
  <c r="I876" i="4"/>
  <c r="J876" i="4"/>
  <c r="K876" i="4"/>
  <c r="L876" i="4"/>
  <c r="M876" i="4"/>
  <c r="B877" i="4"/>
  <c r="C877" i="4"/>
  <c r="D877" i="4"/>
  <c r="E877" i="4"/>
  <c r="F877" i="4"/>
  <c r="G877" i="4"/>
  <c r="H877" i="4"/>
  <c r="I877" i="4"/>
  <c r="J877" i="4"/>
  <c r="K877" i="4"/>
  <c r="L877" i="4"/>
  <c r="M877" i="4"/>
  <c r="B878" i="4"/>
  <c r="C878" i="4"/>
  <c r="D878" i="4"/>
  <c r="E878" i="4"/>
  <c r="F878" i="4"/>
  <c r="G878" i="4"/>
  <c r="H878" i="4"/>
  <c r="I878" i="4"/>
  <c r="J878" i="4"/>
  <c r="K878" i="4"/>
  <c r="L878" i="4"/>
  <c r="M878" i="4"/>
  <c r="B879" i="4"/>
  <c r="C879" i="4"/>
  <c r="D879" i="4"/>
  <c r="E879" i="4"/>
  <c r="F879" i="4"/>
  <c r="G879" i="4"/>
  <c r="H879" i="4"/>
  <c r="I879" i="4"/>
  <c r="J879" i="4"/>
  <c r="K879" i="4"/>
  <c r="L879" i="4"/>
  <c r="M879" i="4"/>
  <c r="B880" i="4"/>
  <c r="C880" i="4"/>
  <c r="D880" i="4"/>
  <c r="E880" i="4"/>
  <c r="F880" i="4"/>
  <c r="G880" i="4"/>
  <c r="H880" i="4"/>
  <c r="I880" i="4"/>
  <c r="J880" i="4"/>
  <c r="K880" i="4"/>
  <c r="L880" i="4"/>
  <c r="M880" i="4"/>
  <c r="B881" i="4"/>
  <c r="C881" i="4"/>
  <c r="D881" i="4"/>
  <c r="E881" i="4"/>
  <c r="F881" i="4"/>
  <c r="G881" i="4"/>
  <c r="H881" i="4"/>
  <c r="I881" i="4"/>
  <c r="J881" i="4"/>
  <c r="K881" i="4"/>
  <c r="L881" i="4"/>
  <c r="M881" i="4"/>
  <c r="B882" i="4"/>
  <c r="C882" i="4"/>
  <c r="D882" i="4"/>
  <c r="E882" i="4"/>
  <c r="F882" i="4"/>
  <c r="G882" i="4"/>
  <c r="H882" i="4"/>
  <c r="I882" i="4"/>
  <c r="J882" i="4"/>
  <c r="K882" i="4"/>
  <c r="L882" i="4"/>
  <c r="M882" i="4"/>
  <c r="B883" i="4"/>
  <c r="C883" i="4"/>
  <c r="D883" i="4"/>
  <c r="E883" i="4"/>
  <c r="F883" i="4"/>
  <c r="G883" i="4"/>
  <c r="H883" i="4"/>
  <c r="I883" i="4"/>
  <c r="J883" i="4"/>
  <c r="K883" i="4"/>
  <c r="L883" i="4"/>
  <c r="M883" i="4"/>
  <c r="B884" i="4"/>
  <c r="C884" i="4"/>
  <c r="D884" i="4"/>
  <c r="E884" i="4"/>
  <c r="F884" i="4"/>
  <c r="G884" i="4"/>
  <c r="H884" i="4"/>
  <c r="I884" i="4"/>
  <c r="J884" i="4"/>
  <c r="K884" i="4"/>
  <c r="L884" i="4"/>
  <c r="M884" i="4"/>
  <c r="B885" i="4"/>
  <c r="C885" i="4"/>
  <c r="D885" i="4"/>
  <c r="E885" i="4"/>
  <c r="F885" i="4"/>
  <c r="G885" i="4"/>
  <c r="H885" i="4"/>
  <c r="I885" i="4"/>
  <c r="J885" i="4"/>
  <c r="K885" i="4"/>
  <c r="L885" i="4"/>
  <c r="M885" i="4"/>
  <c r="B886" i="4"/>
  <c r="C886" i="4"/>
  <c r="D886" i="4"/>
  <c r="E886" i="4"/>
  <c r="F886" i="4"/>
  <c r="G886" i="4"/>
  <c r="H886" i="4"/>
  <c r="I886" i="4"/>
  <c r="J886" i="4"/>
  <c r="K886" i="4"/>
  <c r="L886" i="4"/>
  <c r="M886" i="4"/>
  <c r="B887" i="4"/>
  <c r="C887" i="4"/>
  <c r="D887" i="4"/>
  <c r="E887" i="4"/>
  <c r="F887" i="4"/>
  <c r="G887" i="4"/>
  <c r="H887" i="4"/>
  <c r="I887" i="4"/>
  <c r="J887" i="4"/>
  <c r="K887" i="4"/>
  <c r="L887" i="4"/>
  <c r="M887" i="4"/>
  <c r="B888" i="4"/>
  <c r="C888" i="4"/>
  <c r="D888" i="4"/>
  <c r="E888" i="4"/>
  <c r="F888" i="4"/>
  <c r="G888" i="4"/>
  <c r="H888" i="4"/>
  <c r="I888" i="4"/>
  <c r="J888" i="4"/>
  <c r="K888" i="4"/>
  <c r="L888" i="4"/>
  <c r="M888" i="4"/>
  <c r="B889" i="4"/>
  <c r="C889" i="4"/>
  <c r="D889" i="4"/>
  <c r="E889" i="4"/>
  <c r="F889" i="4"/>
  <c r="G889" i="4"/>
  <c r="H889" i="4"/>
  <c r="I889" i="4"/>
  <c r="J889" i="4"/>
  <c r="K889" i="4"/>
  <c r="L889" i="4"/>
  <c r="M889" i="4"/>
  <c r="B890" i="4"/>
  <c r="C890" i="4"/>
  <c r="D890" i="4"/>
  <c r="E890" i="4"/>
  <c r="F890" i="4"/>
  <c r="G890" i="4"/>
  <c r="H890" i="4"/>
  <c r="I890" i="4"/>
  <c r="J890" i="4"/>
  <c r="K890" i="4"/>
  <c r="L890" i="4"/>
  <c r="M890" i="4"/>
  <c r="B891" i="4"/>
  <c r="C891" i="4"/>
  <c r="D891" i="4"/>
  <c r="E891" i="4"/>
  <c r="F891" i="4"/>
  <c r="G891" i="4"/>
  <c r="H891" i="4"/>
  <c r="I891" i="4"/>
  <c r="J891" i="4"/>
  <c r="K891" i="4"/>
  <c r="L891" i="4"/>
  <c r="M891" i="4"/>
  <c r="B892" i="4"/>
  <c r="C892" i="4"/>
  <c r="D892" i="4"/>
  <c r="E892" i="4"/>
  <c r="F892" i="4"/>
  <c r="G892" i="4"/>
  <c r="H892" i="4"/>
  <c r="I892" i="4"/>
  <c r="J892" i="4"/>
  <c r="K892" i="4"/>
  <c r="L892" i="4"/>
  <c r="M892" i="4"/>
  <c r="B893" i="4"/>
  <c r="C893" i="4"/>
  <c r="D893" i="4"/>
  <c r="E893" i="4"/>
  <c r="F893" i="4"/>
  <c r="G893" i="4"/>
  <c r="H893" i="4"/>
  <c r="I893" i="4"/>
  <c r="J893" i="4"/>
  <c r="K893" i="4"/>
  <c r="L893" i="4"/>
  <c r="M893" i="4"/>
  <c r="B894" i="4"/>
  <c r="C894" i="4"/>
  <c r="D894" i="4"/>
  <c r="E894" i="4"/>
  <c r="F894" i="4"/>
  <c r="G894" i="4"/>
  <c r="H894" i="4"/>
  <c r="I894" i="4"/>
  <c r="J894" i="4"/>
  <c r="K894" i="4"/>
  <c r="L894" i="4"/>
  <c r="M894" i="4"/>
  <c r="B895" i="4"/>
  <c r="C895" i="4"/>
  <c r="D895" i="4"/>
  <c r="E895" i="4"/>
  <c r="F895" i="4"/>
  <c r="G895" i="4"/>
  <c r="H895" i="4"/>
  <c r="I895" i="4"/>
  <c r="J895" i="4"/>
  <c r="K895" i="4"/>
  <c r="L895" i="4"/>
  <c r="M895" i="4"/>
  <c r="B896" i="4"/>
  <c r="C896" i="4"/>
  <c r="D896" i="4"/>
  <c r="E896" i="4"/>
  <c r="F896" i="4"/>
  <c r="G896" i="4"/>
  <c r="H896" i="4"/>
  <c r="I896" i="4"/>
  <c r="J896" i="4"/>
  <c r="K896" i="4"/>
  <c r="L896" i="4"/>
  <c r="M896" i="4"/>
  <c r="B897" i="4"/>
  <c r="C897" i="4"/>
  <c r="D897" i="4"/>
  <c r="E897" i="4"/>
  <c r="F897" i="4"/>
  <c r="G897" i="4"/>
  <c r="H897" i="4"/>
  <c r="I897" i="4"/>
  <c r="J897" i="4"/>
  <c r="K897" i="4"/>
  <c r="L897" i="4"/>
  <c r="M897" i="4"/>
  <c r="B898" i="4"/>
  <c r="C898" i="4"/>
  <c r="D898" i="4"/>
  <c r="E898" i="4"/>
  <c r="F898" i="4"/>
  <c r="G898" i="4"/>
  <c r="H898" i="4"/>
  <c r="I898" i="4"/>
  <c r="J898" i="4"/>
  <c r="K898" i="4"/>
  <c r="L898" i="4"/>
  <c r="M898" i="4"/>
  <c r="B899" i="4"/>
  <c r="C899" i="4"/>
  <c r="D899" i="4"/>
  <c r="E899" i="4"/>
  <c r="F899" i="4"/>
  <c r="G899" i="4"/>
  <c r="H899" i="4"/>
  <c r="I899" i="4"/>
  <c r="J899" i="4"/>
  <c r="K899" i="4"/>
  <c r="L899" i="4"/>
  <c r="M899" i="4"/>
  <c r="B900" i="4"/>
  <c r="C900" i="4"/>
  <c r="D900" i="4"/>
  <c r="E900" i="4"/>
  <c r="F900" i="4"/>
  <c r="G900" i="4"/>
  <c r="H900" i="4"/>
  <c r="I900" i="4"/>
  <c r="J900" i="4"/>
  <c r="K900" i="4"/>
  <c r="L900" i="4"/>
  <c r="M900" i="4"/>
  <c r="B901" i="4"/>
  <c r="C901" i="4"/>
  <c r="D901" i="4"/>
  <c r="E901" i="4"/>
  <c r="F901" i="4"/>
  <c r="G901" i="4"/>
  <c r="H901" i="4"/>
  <c r="I901" i="4"/>
  <c r="J901" i="4"/>
  <c r="K901" i="4"/>
  <c r="L901" i="4"/>
  <c r="M901" i="4"/>
  <c r="B902" i="4"/>
  <c r="C902" i="4"/>
  <c r="D902" i="4"/>
  <c r="E902" i="4"/>
  <c r="F902" i="4"/>
  <c r="G902" i="4"/>
  <c r="H902" i="4"/>
  <c r="I902" i="4"/>
  <c r="J902" i="4"/>
  <c r="K902" i="4"/>
  <c r="L902" i="4"/>
  <c r="M902" i="4"/>
  <c r="B903" i="4"/>
  <c r="C903" i="4"/>
  <c r="D903" i="4"/>
  <c r="E903" i="4"/>
  <c r="F903" i="4"/>
  <c r="G903" i="4"/>
  <c r="H903" i="4"/>
  <c r="I903" i="4"/>
  <c r="J903" i="4"/>
  <c r="K903" i="4"/>
  <c r="L903" i="4"/>
  <c r="M903" i="4"/>
  <c r="B904" i="4"/>
  <c r="C904" i="4"/>
  <c r="D904" i="4"/>
  <c r="E904" i="4"/>
  <c r="F904" i="4"/>
  <c r="G904" i="4"/>
  <c r="H904" i="4"/>
  <c r="I904" i="4"/>
  <c r="J904" i="4"/>
  <c r="K904" i="4"/>
  <c r="L904" i="4"/>
  <c r="M904" i="4"/>
  <c r="B905" i="4"/>
  <c r="C905" i="4"/>
  <c r="D905" i="4"/>
  <c r="E905" i="4"/>
  <c r="F905" i="4"/>
  <c r="G905" i="4"/>
  <c r="H905" i="4"/>
  <c r="I905" i="4"/>
  <c r="J905" i="4"/>
  <c r="K905" i="4"/>
  <c r="L905" i="4"/>
  <c r="M905" i="4"/>
  <c r="B906" i="4"/>
  <c r="C906" i="4"/>
  <c r="D906" i="4"/>
  <c r="E906" i="4"/>
  <c r="F906" i="4"/>
  <c r="G906" i="4"/>
  <c r="H906" i="4"/>
  <c r="I906" i="4"/>
  <c r="J906" i="4"/>
  <c r="K906" i="4"/>
  <c r="L906" i="4"/>
  <c r="M906" i="4"/>
  <c r="B907" i="4"/>
  <c r="C907" i="4"/>
  <c r="D907" i="4"/>
  <c r="E907" i="4"/>
  <c r="F907" i="4"/>
  <c r="G907" i="4"/>
  <c r="H907" i="4"/>
  <c r="I907" i="4"/>
  <c r="J907" i="4"/>
  <c r="K907" i="4"/>
  <c r="L907" i="4"/>
  <c r="M907" i="4"/>
  <c r="B908" i="4"/>
  <c r="C908" i="4"/>
  <c r="D908" i="4"/>
  <c r="E908" i="4"/>
  <c r="F908" i="4"/>
  <c r="G908" i="4"/>
  <c r="H908" i="4"/>
  <c r="I908" i="4"/>
  <c r="J908" i="4"/>
  <c r="K908" i="4"/>
  <c r="L908" i="4"/>
  <c r="M908" i="4"/>
  <c r="B909" i="4"/>
  <c r="C909" i="4"/>
  <c r="D909" i="4"/>
  <c r="E909" i="4"/>
  <c r="F909" i="4"/>
  <c r="G909" i="4"/>
  <c r="H909" i="4"/>
  <c r="I909" i="4"/>
  <c r="J909" i="4"/>
  <c r="K909" i="4"/>
  <c r="L909" i="4"/>
  <c r="M909" i="4"/>
  <c r="B910" i="4"/>
  <c r="C910" i="4"/>
  <c r="D910" i="4"/>
  <c r="E910" i="4"/>
  <c r="F910" i="4"/>
  <c r="G910" i="4"/>
  <c r="H910" i="4"/>
  <c r="I910" i="4"/>
  <c r="J910" i="4"/>
  <c r="K910" i="4"/>
  <c r="L910" i="4"/>
  <c r="M910" i="4"/>
  <c r="B911" i="4"/>
  <c r="C911" i="4"/>
  <c r="D911" i="4"/>
  <c r="E911" i="4"/>
  <c r="F911" i="4"/>
  <c r="G911" i="4"/>
  <c r="H911" i="4"/>
  <c r="I911" i="4"/>
  <c r="J911" i="4"/>
  <c r="K911" i="4"/>
  <c r="L911" i="4"/>
  <c r="M911" i="4"/>
  <c r="B912" i="4"/>
  <c r="C912" i="4"/>
  <c r="D912" i="4"/>
  <c r="E912" i="4"/>
  <c r="F912" i="4"/>
  <c r="G912" i="4"/>
  <c r="H912" i="4"/>
  <c r="I912" i="4"/>
  <c r="J912" i="4"/>
  <c r="K912" i="4"/>
  <c r="L912" i="4"/>
  <c r="M912" i="4"/>
  <c r="B913" i="4"/>
  <c r="C913" i="4"/>
  <c r="D913" i="4"/>
  <c r="E913" i="4"/>
  <c r="F913" i="4"/>
  <c r="G913" i="4"/>
  <c r="H913" i="4"/>
  <c r="I913" i="4"/>
  <c r="J913" i="4"/>
  <c r="K913" i="4"/>
  <c r="L913" i="4"/>
  <c r="M913" i="4"/>
  <c r="B914" i="4"/>
  <c r="C914" i="4"/>
  <c r="D914" i="4"/>
  <c r="E914" i="4"/>
  <c r="F914" i="4"/>
  <c r="G914" i="4"/>
  <c r="H914" i="4"/>
  <c r="I914" i="4"/>
  <c r="J914" i="4"/>
  <c r="K914" i="4"/>
  <c r="L914" i="4"/>
  <c r="M914" i="4"/>
  <c r="B915" i="4"/>
  <c r="C915" i="4"/>
  <c r="D915" i="4"/>
  <c r="E915" i="4"/>
  <c r="F915" i="4"/>
  <c r="G915" i="4"/>
  <c r="H915" i="4"/>
  <c r="I915" i="4"/>
  <c r="J915" i="4"/>
  <c r="K915" i="4"/>
  <c r="L915" i="4"/>
  <c r="M915" i="4"/>
  <c r="B916" i="4"/>
  <c r="C916" i="4"/>
  <c r="D916" i="4"/>
  <c r="E916" i="4"/>
  <c r="F916" i="4"/>
  <c r="G916" i="4"/>
  <c r="H916" i="4"/>
  <c r="I916" i="4"/>
  <c r="J916" i="4"/>
  <c r="K916" i="4"/>
  <c r="L916" i="4"/>
  <c r="M916" i="4"/>
  <c r="B917" i="4"/>
  <c r="C917" i="4"/>
  <c r="D917" i="4"/>
  <c r="E917" i="4"/>
  <c r="F917" i="4"/>
  <c r="G917" i="4"/>
  <c r="H917" i="4"/>
  <c r="I917" i="4"/>
  <c r="J917" i="4"/>
  <c r="K917" i="4"/>
  <c r="L917" i="4"/>
  <c r="M917" i="4"/>
  <c r="B918" i="4"/>
  <c r="C918" i="4"/>
  <c r="D918" i="4"/>
  <c r="E918" i="4"/>
  <c r="F918" i="4"/>
  <c r="G918" i="4"/>
  <c r="H918" i="4"/>
  <c r="I918" i="4"/>
  <c r="J918" i="4"/>
  <c r="K918" i="4"/>
  <c r="L918" i="4"/>
  <c r="M918" i="4"/>
  <c r="B919" i="4"/>
  <c r="C919" i="4"/>
  <c r="D919" i="4"/>
  <c r="E919" i="4"/>
  <c r="F919" i="4"/>
  <c r="G919" i="4"/>
  <c r="H919" i="4"/>
  <c r="I919" i="4"/>
  <c r="J919" i="4"/>
  <c r="K919" i="4"/>
  <c r="L919" i="4"/>
  <c r="M919" i="4"/>
  <c r="B920" i="4"/>
  <c r="C920" i="4"/>
  <c r="D920" i="4"/>
  <c r="E920" i="4"/>
  <c r="F920" i="4"/>
  <c r="G920" i="4"/>
  <c r="H920" i="4"/>
  <c r="I920" i="4"/>
  <c r="J920" i="4"/>
  <c r="K920" i="4"/>
  <c r="L920" i="4"/>
  <c r="M920" i="4"/>
  <c r="B921" i="4"/>
  <c r="C921" i="4"/>
  <c r="D921" i="4"/>
  <c r="E921" i="4"/>
  <c r="F921" i="4"/>
  <c r="G921" i="4"/>
  <c r="H921" i="4"/>
  <c r="I921" i="4"/>
  <c r="J921" i="4"/>
  <c r="K921" i="4"/>
  <c r="L921" i="4"/>
  <c r="M921" i="4"/>
  <c r="B922" i="4"/>
  <c r="C922" i="4"/>
  <c r="D922" i="4"/>
  <c r="E922" i="4"/>
  <c r="F922" i="4"/>
  <c r="G922" i="4"/>
  <c r="H922" i="4"/>
  <c r="I922" i="4"/>
  <c r="J922" i="4"/>
  <c r="K922" i="4"/>
  <c r="L922" i="4"/>
  <c r="M922" i="4"/>
  <c r="B923" i="4"/>
  <c r="C923" i="4"/>
  <c r="D923" i="4"/>
  <c r="E923" i="4"/>
  <c r="F923" i="4"/>
  <c r="G923" i="4"/>
  <c r="H923" i="4"/>
  <c r="I923" i="4"/>
  <c r="J923" i="4"/>
  <c r="K923" i="4"/>
  <c r="L923" i="4"/>
  <c r="M923" i="4"/>
  <c r="B924" i="4"/>
  <c r="C924" i="4"/>
  <c r="D924" i="4"/>
  <c r="E924" i="4"/>
  <c r="F924" i="4"/>
  <c r="G924" i="4"/>
  <c r="H924" i="4"/>
  <c r="I924" i="4"/>
  <c r="J924" i="4"/>
  <c r="K924" i="4"/>
  <c r="L924" i="4"/>
  <c r="M924" i="4"/>
  <c r="B925" i="4"/>
  <c r="C925" i="4"/>
  <c r="D925" i="4"/>
  <c r="E925" i="4"/>
  <c r="F925" i="4"/>
  <c r="G925" i="4"/>
  <c r="H925" i="4"/>
  <c r="I925" i="4"/>
  <c r="J925" i="4"/>
  <c r="K925" i="4"/>
  <c r="L925" i="4"/>
  <c r="M925" i="4"/>
  <c r="B926" i="4"/>
  <c r="C926" i="4"/>
  <c r="D926" i="4"/>
  <c r="E926" i="4"/>
  <c r="F926" i="4"/>
  <c r="G926" i="4"/>
  <c r="H926" i="4"/>
  <c r="I926" i="4"/>
  <c r="J926" i="4"/>
  <c r="K926" i="4"/>
  <c r="L926" i="4"/>
  <c r="M926" i="4"/>
  <c r="B927" i="4"/>
  <c r="C927" i="4"/>
  <c r="D927" i="4"/>
  <c r="E927" i="4"/>
  <c r="F927" i="4"/>
  <c r="G927" i="4"/>
  <c r="H927" i="4"/>
  <c r="I927" i="4"/>
  <c r="J927" i="4"/>
  <c r="K927" i="4"/>
  <c r="L927" i="4"/>
  <c r="M927" i="4"/>
  <c r="B928" i="4"/>
  <c r="C928" i="4"/>
  <c r="D928" i="4"/>
  <c r="E928" i="4"/>
  <c r="F928" i="4"/>
  <c r="G928" i="4"/>
  <c r="H928" i="4"/>
  <c r="I928" i="4"/>
  <c r="J928" i="4"/>
  <c r="K928" i="4"/>
  <c r="L928" i="4"/>
  <c r="M928" i="4"/>
  <c r="B929" i="4"/>
  <c r="C929" i="4"/>
  <c r="D929" i="4"/>
  <c r="E929" i="4"/>
  <c r="F929" i="4"/>
  <c r="G929" i="4"/>
  <c r="H929" i="4"/>
  <c r="I929" i="4"/>
  <c r="J929" i="4"/>
  <c r="K929" i="4"/>
  <c r="L929" i="4"/>
  <c r="M929" i="4"/>
  <c r="B930" i="4"/>
  <c r="C930" i="4"/>
  <c r="D930" i="4"/>
  <c r="E930" i="4"/>
  <c r="F930" i="4"/>
  <c r="G930" i="4"/>
  <c r="H930" i="4"/>
  <c r="I930" i="4"/>
  <c r="J930" i="4"/>
  <c r="K930" i="4"/>
  <c r="L930" i="4"/>
  <c r="M930" i="4"/>
  <c r="B931" i="4"/>
  <c r="C931" i="4"/>
  <c r="D931" i="4"/>
  <c r="E931" i="4"/>
  <c r="F931" i="4"/>
  <c r="G931" i="4"/>
  <c r="H931" i="4"/>
  <c r="I931" i="4"/>
  <c r="J931" i="4"/>
  <c r="K931" i="4"/>
  <c r="L931" i="4"/>
  <c r="M931" i="4"/>
  <c r="B932" i="4"/>
  <c r="C932" i="4"/>
  <c r="D932" i="4"/>
  <c r="E932" i="4"/>
  <c r="F932" i="4"/>
  <c r="G932" i="4"/>
  <c r="H932" i="4"/>
  <c r="I932" i="4"/>
  <c r="J932" i="4"/>
  <c r="K932" i="4"/>
  <c r="L932" i="4"/>
  <c r="M932" i="4"/>
  <c r="B933" i="4"/>
  <c r="C933" i="4"/>
  <c r="D933" i="4"/>
  <c r="E933" i="4"/>
  <c r="F933" i="4"/>
  <c r="G933" i="4"/>
  <c r="H933" i="4"/>
  <c r="I933" i="4"/>
  <c r="J933" i="4"/>
  <c r="K933" i="4"/>
  <c r="L933" i="4"/>
  <c r="M933" i="4"/>
  <c r="B934" i="4"/>
  <c r="C934" i="4"/>
  <c r="D934" i="4"/>
  <c r="E934" i="4"/>
  <c r="F934" i="4"/>
  <c r="G934" i="4"/>
  <c r="H934" i="4"/>
  <c r="I934" i="4"/>
  <c r="J934" i="4"/>
  <c r="K934" i="4"/>
  <c r="L934" i="4"/>
  <c r="M934" i="4"/>
  <c r="B935" i="4"/>
  <c r="C935" i="4"/>
  <c r="D935" i="4"/>
  <c r="E935" i="4"/>
  <c r="F935" i="4"/>
  <c r="G935" i="4"/>
  <c r="H935" i="4"/>
  <c r="I935" i="4"/>
  <c r="J935" i="4"/>
  <c r="K935" i="4"/>
  <c r="L935" i="4"/>
  <c r="M935" i="4"/>
  <c r="B936" i="4"/>
  <c r="C936" i="4"/>
  <c r="D936" i="4"/>
  <c r="E936" i="4"/>
  <c r="F936" i="4"/>
  <c r="G936" i="4"/>
  <c r="H936" i="4"/>
  <c r="I936" i="4"/>
  <c r="J936" i="4"/>
  <c r="K936" i="4"/>
  <c r="L936" i="4"/>
  <c r="M936" i="4"/>
  <c r="B937" i="4"/>
  <c r="C937" i="4"/>
  <c r="D937" i="4"/>
  <c r="E937" i="4"/>
  <c r="F937" i="4"/>
  <c r="G937" i="4"/>
  <c r="H937" i="4"/>
  <c r="I937" i="4"/>
  <c r="J937" i="4"/>
  <c r="K937" i="4"/>
  <c r="L937" i="4"/>
  <c r="M937" i="4"/>
  <c r="B938" i="4"/>
  <c r="C938" i="4"/>
  <c r="D938" i="4"/>
  <c r="E938" i="4"/>
  <c r="F938" i="4"/>
  <c r="G938" i="4"/>
  <c r="H938" i="4"/>
  <c r="I938" i="4"/>
  <c r="J938" i="4"/>
  <c r="K938" i="4"/>
  <c r="L938" i="4"/>
  <c r="M938" i="4"/>
  <c r="B939" i="4"/>
  <c r="C939" i="4"/>
  <c r="D939" i="4"/>
  <c r="E939" i="4"/>
  <c r="F939" i="4"/>
  <c r="G939" i="4"/>
  <c r="H939" i="4"/>
  <c r="I939" i="4"/>
  <c r="J939" i="4"/>
  <c r="K939" i="4"/>
  <c r="L939" i="4"/>
  <c r="M939" i="4"/>
  <c r="B940" i="4"/>
  <c r="C940" i="4"/>
  <c r="D940" i="4"/>
  <c r="E940" i="4"/>
  <c r="F940" i="4"/>
  <c r="G940" i="4"/>
  <c r="H940" i="4"/>
  <c r="I940" i="4"/>
  <c r="J940" i="4"/>
  <c r="K940" i="4"/>
  <c r="L940" i="4"/>
  <c r="M940" i="4"/>
  <c r="B941" i="4"/>
  <c r="C941" i="4"/>
  <c r="D941" i="4"/>
  <c r="E941" i="4"/>
  <c r="F941" i="4"/>
  <c r="G941" i="4"/>
  <c r="H941" i="4"/>
  <c r="I941" i="4"/>
  <c r="J941" i="4"/>
  <c r="K941" i="4"/>
  <c r="L941" i="4"/>
  <c r="M941" i="4"/>
  <c r="B942" i="4"/>
  <c r="C942" i="4"/>
  <c r="D942" i="4"/>
  <c r="E942" i="4"/>
  <c r="F942" i="4"/>
  <c r="G942" i="4"/>
  <c r="H942" i="4"/>
  <c r="I942" i="4"/>
  <c r="J942" i="4"/>
  <c r="K942" i="4"/>
  <c r="L942" i="4"/>
  <c r="M942" i="4"/>
  <c r="B943" i="4"/>
  <c r="C943" i="4"/>
  <c r="D943" i="4"/>
  <c r="E943" i="4"/>
  <c r="F943" i="4"/>
  <c r="G943" i="4"/>
  <c r="H943" i="4"/>
  <c r="I943" i="4"/>
  <c r="J943" i="4"/>
  <c r="K943" i="4"/>
  <c r="L943" i="4"/>
  <c r="M943" i="4"/>
  <c r="B944" i="4"/>
  <c r="C944" i="4"/>
  <c r="D944" i="4"/>
  <c r="E944" i="4"/>
  <c r="F944" i="4"/>
  <c r="G944" i="4"/>
  <c r="H944" i="4"/>
  <c r="I944" i="4"/>
  <c r="J944" i="4"/>
  <c r="K944" i="4"/>
  <c r="L944" i="4"/>
  <c r="M944" i="4"/>
  <c r="B945" i="4"/>
  <c r="C945" i="4"/>
  <c r="D945" i="4"/>
  <c r="E945" i="4"/>
  <c r="F945" i="4"/>
  <c r="G945" i="4"/>
  <c r="H945" i="4"/>
  <c r="I945" i="4"/>
  <c r="J945" i="4"/>
  <c r="K945" i="4"/>
  <c r="L945" i="4"/>
  <c r="M945" i="4"/>
  <c r="B946" i="4"/>
  <c r="C946" i="4"/>
  <c r="D946" i="4"/>
  <c r="E946" i="4"/>
  <c r="F946" i="4"/>
  <c r="G946" i="4"/>
  <c r="H946" i="4"/>
  <c r="I946" i="4"/>
  <c r="J946" i="4"/>
  <c r="K946" i="4"/>
  <c r="L946" i="4"/>
  <c r="M946" i="4"/>
  <c r="B947" i="4"/>
  <c r="C947" i="4"/>
  <c r="D947" i="4"/>
  <c r="E947" i="4"/>
  <c r="F947" i="4"/>
  <c r="G947" i="4"/>
  <c r="H947" i="4"/>
  <c r="I947" i="4"/>
  <c r="J947" i="4"/>
  <c r="K947" i="4"/>
  <c r="L947" i="4"/>
  <c r="M947" i="4"/>
  <c r="B948" i="4"/>
  <c r="C948" i="4"/>
  <c r="D948" i="4"/>
  <c r="E948" i="4"/>
  <c r="F948" i="4"/>
  <c r="G948" i="4"/>
  <c r="H948" i="4"/>
  <c r="I948" i="4"/>
  <c r="J948" i="4"/>
  <c r="K948" i="4"/>
  <c r="L948" i="4"/>
  <c r="M948" i="4"/>
  <c r="B949" i="4"/>
  <c r="C949" i="4"/>
  <c r="D949" i="4"/>
  <c r="E949" i="4"/>
  <c r="F949" i="4"/>
  <c r="G949" i="4"/>
  <c r="H949" i="4"/>
  <c r="I949" i="4"/>
  <c r="J949" i="4"/>
  <c r="K949" i="4"/>
  <c r="L949" i="4"/>
  <c r="M949" i="4"/>
  <c r="B950" i="4"/>
  <c r="C950" i="4"/>
  <c r="D950" i="4"/>
  <c r="E950" i="4"/>
  <c r="F950" i="4"/>
  <c r="G950" i="4"/>
  <c r="H950" i="4"/>
  <c r="I950" i="4"/>
  <c r="J950" i="4"/>
  <c r="K950" i="4"/>
  <c r="L950" i="4"/>
  <c r="M950" i="4"/>
  <c r="B951" i="4"/>
  <c r="C951" i="4"/>
  <c r="D951" i="4"/>
  <c r="E951" i="4"/>
  <c r="F951" i="4"/>
  <c r="G951" i="4"/>
  <c r="H951" i="4"/>
  <c r="I951" i="4"/>
  <c r="J951" i="4"/>
  <c r="K951" i="4"/>
  <c r="L951" i="4"/>
  <c r="M951" i="4"/>
  <c r="B952" i="4"/>
  <c r="C952" i="4"/>
  <c r="D952" i="4"/>
  <c r="E952" i="4"/>
  <c r="F952" i="4"/>
  <c r="G952" i="4"/>
  <c r="H952" i="4"/>
  <c r="I952" i="4"/>
  <c r="J952" i="4"/>
  <c r="K952" i="4"/>
  <c r="L952" i="4"/>
  <c r="M952" i="4"/>
  <c r="B953" i="4"/>
  <c r="C953" i="4"/>
  <c r="D953" i="4"/>
  <c r="E953" i="4"/>
  <c r="F953" i="4"/>
  <c r="G953" i="4"/>
  <c r="H953" i="4"/>
  <c r="I953" i="4"/>
  <c r="J953" i="4"/>
  <c r="K953" i="4"/>
  <c r="L953" i="4"/>
  <c r="M953" i="4"/>
  <c r="B954" i="4"/>
  <c r="C954" i="4"/>
  <c r="D954" i="4"/>
  <c r="E954" i="4"/>
  <c r="F954" i="4"/>
  <c r="G954" i="4"/>
  <c r="H954" i="4"/>
  <c r="I954" i="4"/>
  <c r="J954" i="4"/>
  <c r="K954" i="4"/>
  <c r="L954" i="4"/>
  <c r="M954" i="4"/>
  <c r="B955" i="4"/>
  <c r="C955" i="4"/>
  <c r="D955" i="4"/>
  <c r="E955" i="4"/>
  <c r="F955" i="4"/>
  <c r="G955" i="4"/>
  <c r="H955" i="4"/>
  <c r="I955" i="4"/>
  <c r="J955" i="4"/>
  <c r="K955" i="4"/>
  <c r="L955" i="4"/>
  <c r="M955" i="4"/>
  <c r="B956" i="4"/>
  <c r="C956" i="4"/>
  <c r="D956" i="4"/>
  <c r="E956" i="4"/>
  <c r="F956" i="4"/>
  <c r="G956" i="4"/>
  <c r="H956" i="4"/>
  <c r="I956" i="4"/>
  <c r="J956" i="4"/>
  <c r="K956" i="4"/>
  <c r="L956" i="4"/>
  <c r="M956" i="4"/>
  <c r="B957" i="4"/>
  <c r="C957" i="4"/>
  <c r="D957" i="4"/>
  <c r="E957" i="4"/>
  <c r="F957" i="4"/>
  <c r="G957" i="4"/>
  <c r="H957" i="4"/>
  <c r="I957" i="4"/>
  <c r="J957" i="4"/>
  <c r="K957" i="4"/>
  <c r="L957" i="4"/>
  <c r="M957" i="4"/>
  <c r="B958" i="4"/>
  <c r="C958" i="4"/>
  <c r="D958" i="4"/>
  <c r="E958" i="4"/>
  <c r="F958" i="4"/>
  <c r="G958" i="4"/>
  <c r="H958" i="4"/>
  <c r="I958" i="4"/>
  <c r="J958" i="4"/>
  <c r="K958" i="4"/>
  <c r="L958" i="4"/>
  <c r="M958" i="4"/>
  <c r="B959" i="4"/>
  <c r="C959" i="4"/>
  <c r="D959" i="4"/>
  <c r="E959" i="4"/>
  <c r="F959" i="4"/>
  <c r="G959" i="4"/>
  <c r="H959" i="4"/>
  <c r="I959" i="4"/>
  <c r="J959" i="4"/>
  <c r="K959" i="4"/>
  <c r="L959" i="4"/>
  <c r="M959" i="4"/>
  <c r="B960" i="4"/>
  <c r="C960" i="4"/>
  <c r="D960" i="4"/>
  <c r="E960" i="4"/>
  <c r="F960" i="4"/>
  <c r="G960" i="4"/>
  <c r="H960" i="4"/>
  <c r="I960" i="4"/>
  <c r="J960" i="4"/>
  <c r="K960" i="4"/>
  <c r="L960" i="4"/>
  <c r="M960" i="4"/>
  <c r="B961" i="4"/>
  <c r="C961" i="4"/>
  <c r="D961" i="4"/>
  <c r="E961" i="4"/>
  <c r="F961" i="4"/>
  <c r="G961" i="4"/>
  <c r="H961" i="4"/>
  <c r="I961" i="4"/>
  <c r="J961" i="4"/>
  <c r="K961" i="4"/>
  <c r="L961" i="4"/>
  <c r="M961" i="4"/>
  <c r="B962" i="4"/>
  <c r="C962" i="4"/>
  <c r="D962" i="4"/>
  <c r="E962" i="4"/>
  <c r="F962" i="4"/>
  <c r="G962" i="4"/>
  <c r="H962" i="4"/>
  <c r="I962" i="4"/>
  <c r="J962" i="4"/>
  <c r="K962" i="4"/>
  <c r="L962" i="4"/>
  <c r="M962" i="4"/>
  <c r="B963" i="4"/>
  <c r="C963" i="4"/>
  <c r="D963" i="4"/>
  <c r="E963" i="4"/>
  <c r="F963" i="4"/>
  <c r="G963" i="4"/>
  <c r="H963" i="4"/>
  <c r="I963" i="4"/>
  <c r="J963" i="4"/>
  <c r="K963" i="4"/>
  <c r="L963" i="4"/>
  <c r="M963" i="4"/>
  <c r="B964" i="4"/>
  <c r="C964" i="4"/>
  <c r="D964" i="4"/>
  <c r="E964" i="4"/>
  <c r="F964" i="4"/>
  <c r="G964" i="4"/>
  <c r="H964" i="4"/>
  <c r="I964" i="4"/>
  <c r="J964" i="4"/>
  <c r="K964" i="4"/>
  <c r="L964" i="4"/>
  <c r="M964" i="4"/>
  <c r="B965" i="4"/>
  <c r="C965" i="4"/>
  <c r="D965" i="4"/>
  <c r="E965" i="4"/>
  <c r="F965" i="4"/>
  <c r="G965" i="4"/>
  <c r="H965" i="4"/>
  <c r="I965" i="4"/>
  <c r="J965" i="4"/>
  <c r="K965" i="4"/>
  <c r="L965" i="4"/>
  <c r="M965" i="4"/>
  <c r="B966" i="4"/>
  <c r="C966" i="4"/>
  <c r="D966" i="4"/>
  <c r="E966" i="4"/>
  <c r="F966" i="4"/>
  <c r="G966" i="4"/>
  <c r="H966" i="4"/>
  <c r="I966" i="4"/>
  <c r="J966" i="4"/>
  <c r="K966" i="4"/>
  <c r="L966" i="4"/>
  <c r="M966" i="4"/>
  <c r="B967" i="4"/>
  <c r="C967" i="4"/>
  <c r="D967" i="4"/>
  <c r="E967" i="4"/>
  <c r="F967" i="4"/>
  <c r="G967" i="4"/>
  <c r="H967" i="4"/>
  <c r="I967" i="4"/>
  <c r="J967" i="4"/>
  <c r="K967" i="4"/>
  <c r="L967" i="4"/>
  <c r="M967" i="4"/>
  <c r="B968" i="4"/>
  <c r="C968" i="4"/>
  <c r="D968" i="4"/>
  <c r="E968" i="4"/>
  <c r="F968" i="4"/>
  <c r="G968" i="4"/>
  <c r="H968" i="4"/>
  <c r="I968" i="4"/>
  <c r="J968" i="4"/>
  <c r="K968" i="4"/>
  <c r="L968" i="4"/>
  <c r="M968" i="4"/>
  <c r="B969" i="4"/>
  <c r="C969" i="4"/>
  <c r="D969" i="4"/>
  <c r="E969" i="4"/>
  <c r="F969" i="4"/>
  <c r="G969" i="4"/>
  <c r="H969" i="4"/>
  <c r="I969" i="4"/>
  <c r="J969" i="4"/>
  <c r="K969" i="4"/>
  <c r="L969" i="4"/>
  <c r="M969" i="4"/>
  <c r="B970" i="4"/>
  <c r="C970" i="4"/>
  <c r="D970" i="4"/>
  <c r="E970" i="4"/>
  <c r="F970" i="4"/>
  <c r="G970" i="4"/>
  <c r="H970" i="4"/>
  <c r="I970" i="4"/>
  <c r="J970" i="4"/>
  <c r="K970" i="4"/>
  <c r="L970" i="4"/>
  <c r="M970" i="4"/>
  <c r="B971" i="4"/>
  <c r="C971" i="4"/>
  <c r="D971" i="4"/>
  <c r="E971" i="4"/>
  <c r="F971" i="4"/>
  <c r="G971" i="4"/>
  <c r="H971" i="4"/>
  <c r="I971" i="4"/>
  <c r="J971" i="4"/>
  <c r="K971" i="4"/>
  <c r="L971" i="4"/>
  <c r="M971" i="4"/>
  <c r="B972" i="4"/>
  <c r="C972" i="4"/>
  <c r="D972" i="4"/>
  <c r="E972" i="4"/>
  <c r="F972" i="4"/>
  <c r="G972" i="4"/>
  <c r="H972" i="4"/>
  <c r="I972" i="4"/>
  <c r="J972" i="4"/>
  <c r="K972" i="4"/>
  <c r="L972" i="4"/>
  <c r="M972" i="4"/>
  <c r="B973" i="4"/>
  <c r="C973" i="4"/>
  <c r="D973" i="4"/>
  <c r="E973" i="4"/>
  <c r="F973" i="4"/>
  <c r="G973" i="4"/>
  <c r="H973" i="4"/>
  <c r="I973" i="4"/>
  <c r="J973" i="4"/>
  <c r="K973" i="4"/>
  <c r="L973" i="4"/>
  <c r="M973" i="4"/>
  <c r="B974" i="4"/>
  <c r="C974" i="4"/>
  <c r="D974" i="4"/>
  <c r="E974" i="4"/>
  <c r="F974" i="4"/>
  <c r="G974" i="4"/>
  <c r="H974" i="4"/>
  <c r="I974" i="4"/>
  <c r="J974" i="4"/>
  <c r="K974" i="4"/>
  <c r="L974" i="4"/>
  <c r="M974" i="4"/>
  <c r="B975" i="4"/>
  <c r="C975" i="4"/>
  <c r="D975" i="4"/>
  <c r="E975" i="4"/>
  <c r="F975" i="4"/>
  <c r="G975" i="4"/>
  <c r="H975" i="4"/>
  <c r="I975" i="4"/>
  <c r="J975" i="4"/>
  <c r="K975" i="4"/>
  <c r="L975" i="4"/>
  <c r="M975" i="4"/>
  <c r="B976" i="4"/>
  <c r="C976" i="4"/>
  <c r="D976" i="4"/>
  <c r="E976" i="4"/>
  <c r="F976" i="4"/>
  <c r="G976" i="4"/>
  <c r="H976" i="4"/>
  <c r="I976" i="4"/>
  <c r="J976" i="4"/>
  <c r="K976" i="4"/>
  <c r="L976" i="4"/>
  <c r="M976" i="4"/>
  <c r="B977" i="4"/>
  <c r="C977" i="4"/>
  <c r="D977" i="4"/>
  <c r="E977" i="4"/>
  <c r="F977" i="4"/>
  <c r="G977" i="4"/>
  <c r="H977" i="4"/>
  <c r="I977" i="4"/>
  <c r="J977" i="4"/>
  <c r="K977" i="4"/>
  <c r="L977" i="4"/>
  <c r="M977" i="4"/>
  <c r="B978" i="4"/>
  <c r="C978" i="4"/>
  <c r="D978" i="4"/>
  <c r="E978" i="4"/>
  <c r="F978" i="4"/>
  <c r="G978" i="4"/>
  <c r="H978" i="4"/>
  <c r="I978" i="4"/>
  <c r="J978" i="4"/>
  <c r="K978" i="4"/>
  <c r="L978" i="4"/>
  <c r="M978" i="4"/>
  <c r="B979" i="4"/>
  <c r="C979" i="4"/>
  <c r="D979" i="4"/>
  <c r="E979" i="4"/>
  <c r="F979" i="4"/>
  <c r="G979" i="4"/>
  <c r="H979" i="4"/>
  <c r="I979" i="4"/>
  <c r="J979" i="4"/>
  <c r="K979" i="4"/>
  <c r="L979" i="4"/>
  <c r="M979" i="4"/>
  <c r="B980" i="4"/>
  <c r="C980" i="4"/>
  <c r="D980" i="4"/>
  <c r="E980" i="4"/>
  <c r="F980" i="4"/>
  <c r="G980" i="4"/>
  <c r="H980" i="4"/>
  <c r="I980" i="4"/>
  <c r="J980" i="4"/>
  <c r="K980" i="4"/>
  <c r="L980" i="4"/>
  <c r="M980" i="4"/>
  <c r="B981" i="4"/>
  <c r="C981" i="4"/>
  <c r="D981" i="4"/>
  <c r="E981" i="4"/>
  <c r="F981" i="4"/>
  <c r="G981" i="4"/>
  <c r="H981" i="4"/>
  <c r="I981" i="4"/>
  <c r="J981" i="4"/>
  <c r="K981" i="4"/>
  <c r="L981" i="4"/>
  <c r="M981" i="4"/>
  <c r="B982" i="4"/>
  <c r="C982" i="4"/>
  <c r="D982" i="4"/>
  <c r="E982" i="4"/>
  <c r="F982" i="4"/>
  <c r="G982" i="4"/>
  <c r="H982" i="4"/>
  <c r="I982" i="4"/>
  <c r="J982" i="4"/>
  <c r="K982" i="4"/>
  <c r="L982" i="4"/>
  <c r="M982" i="4"/>
  <c r="B983" i="4"/>
  <c r="C983" i="4"/>
  <c r="D983" i="4"/>
  <c r="E983" i="4"/>
  <c r="F983" i="4"/>
  <c r="G983" i="4"/>
  <c r="H983" i="4"/>
  <c r="I983" i="4"/>
  <c r="J983" i="4"/>
  <c r="K983" i="4"/>
  <c r="L983" i="4"/>
  <c r="M983" i="4"/>
  <c r="B984" i="4"/>
  <c r="C984" i="4"/>
  <c r="D984" i="4"/>
  <c r="E984" i="4"/>
  <c r="F984" i="4"/>
  <c r="G984" i="4"/>
  <c r="H984" i="4"/>
  <c r="I984" i="4"/>
  <c r="J984" i="4"/>
  <c r="K984" i="4"/>
  <c r="L984" i="4"/>
  <c r="M984" i="4"/>
  <c r="B985" i="4"/>
  <c r="C985" i="4"/>
  <c r="D985" i="4"/>
  <c r="E985" i="4"/>
  <c r="F985" i="4"/>
  <c r="G985" i="4"/>
  <c r="H985" i="4"/>
  <c r="I985" i="4"/>
  <c r="J985" i="4"/>
  <c r="K985" i="4"/>
  <c r="L985" i="4"/>
  <c r="M985" i="4"/>
  <c r="B986" i="4"/>
  <c r="C986" i="4"/>
  <c r="D986" i="4"/>
  <c r="E986" i="4"/>
  <c r="F986" i="4"/>
  <c r="G986" i="4"/>
  <c r="H986" i="4"/>
  <c r="I986" i="4"/>
  <c r="J986" i="4"/>
  <c r="K986" i="4"/>
  <c r="L986" i="4"/>
  <c r="M986" i="4"/>
  <c r="B987" i="4"/>
  <c r="C987" i="4"/>
  <c r="D987" i="4"/>
  <c r="E987" i="4"/>
  <c r="F987" i="4"/>
  <c r="G987" i="4"/>
  <c r="H987" i="4"/>
  <c r="I987" i="4"/>
  <c r="J987" i="4"/>
  <c r="K987" i="4"/>
  <c r="L987" i="4"/>
  <c r="M987" i="4"/>
  <c r="B988" i="4"/>
  <c r="C988" i="4"/>
  <c r="D988" i="4"/>
  <c r="E988" i="4"/>
  <c r="F988" i="4"/>
  <c r="G988" i="4"/>
  <c r="H988" i="4"/>
  <c r="I988" i="4"/>
  <c r="J988" i="4"/>
  <c r="K988" i="4"/>
  <c r="L988" i="4"/>
  <c r="M988" i="4"/>
  <c r="B989" i="4"/>
  <c r="C989" i="4"/>
  <c r="D989" i="4"/>
  <c r="E989" i="4"/>
  <c r="F989" i="4"/>
  <c r="G989" i="4"/>
  <c r="H989" i="4"/>
  <c r="I989" i="4"/>
  <c r="J989" i="4"/>
  <c r="K989" i="4"/>
  <c r="L989" i="4"/>
  <c r="M989" i="4"/>
  <c r="B990" i="4"/>
  <c r="C990" i="4"/>
  <c r="D990" i="4"/>
  <c r="E990" i="4"/>
  <c r="F990" i="4"/>
  <c r="G990" i="4"/>
  <c r="H990" i="4"/>
  <c r="I990" i="4"/>
  <c r="J990" i="4"/>
  <c r="K990" i="4"/>
  <c r="L990" i="4"/>
  <c r="M990" i="4"/>
  <c r="B991" i="4"/>
  <c r="C991" i="4"/>
  <c r="D991" i="4"/>
  <c r="E991" i="4"/>
  <c r="F991" i="4"/>
  <c r="G991" i="4"/>
  <c r="H991" i="4"/>
  <c r="I991" i="4"/>
  <c r="J991" i="4"/>
  <c r="K991" i="4"/>
  <c r="L991" i="4"/>
  <c r="M991" i="4"/>
  <c r="B992" i="4"/>
  <c r="C992" i="4"/>
  <c r="D992" i="4"/>
  <c r="E992" i="4"/>
  <c r="F992" i="4"/>
  <c r="G992" i="4"/>
  <c r="H992" i="4"/>
  <c r="I992" i="4"/>
  <c r="J992" i="4"/>
  <c r="K992" i="4"/>
  <c r="L992" i="4"/>
  <c r="M992" i="4"/>
  <c r="B993" i="4"/>
  <c r="C993" i="4"/>
  <c r="D993" i="4"/>
  <c r="E993" i="4"/>
  <c r="F993" i="4"/>
  <c r="G993" i="4"/>
  <c r="H993" i="4"/>
  <c r="I993" i="4"/>
  <c r="J993" i="4"/>
  <c r="K993" i="4"/>
  <c r="L993" i="4"/>
  <c r="M993" i="4"/>
  <c r="B994" i="4"/>
  <c r="C994" i="4"/>
  <c r="D994" i="4"/>
  <c r="E994" i="4"/>
  <c r="F994" i="4"/>
  <c r="G994" i="4"/>
  <c r="H994" i="4"/>
  <c r="I994" i="4"/>
  <c r="J994" i="4"/>
  <c r="K994" i="4"/>
  <c r="L994" i="4"/>
  <c r="M994" i="4"/>
  <c r="B995" i="4"/>
  <c r="C995" i="4"/>
  <c r="D995" i="4"/>
  <c r="E995" i="4"/>
  <c r="F995" i="4"/>
  <c r="G995" i="4"/>
  <c r="H995" i="4"/>
  <c r="I995" i="4"/>
  <c r="J995" i="4"/>
  <c r="K995" i="4"/>
  <c r="L995" i="4"/>
  <c r="M995" i="4"/>
  <c r="B996" i="4"/>
  <c r="C996" i="4"/>
  <c r="D996" i="4"/>
  <c r="E996" i="4"/>
  <c r="F996" i="4"/>
  <c r="G996" i="4"/>
  <c r="H996" i="4"/>
  <c r="I996" i="4"/>
  <c r="J996" i="4"/>
  <c r="K996" i="4"/>
  <c r="L996" i="4"/>
  <c r="M996" i="4"/>
  <c r="B997" i="4"/>
  <c r="C997" i="4"/>
  <c r="D997" i="4"/>
  <c r="E997" i="4"/>
  <c r="F997" i="4"/>
  <c r="G997" i="4"/>
  <c r="H997" i="4"/>
  <c r="I997" i="4"/>
  <c r="J997" i="4"/>
  <c r="K997" i="4"/>
  <c r="L997" i="4"/>
  <c r="M997" i="4"/>
  <c r="B998" i="4"/>
  <c r="C998" i="4"/>
  <c r="D998" i="4"/>
  <c r="E998" i="4"/>
  <c r="F998" i="4"/>
  <c r="G998" i="4"/>
  <c r="H998" i="4"/>
  <c r="I998" i="4"/>
  <c r="J998" i="4"/>
  <c r="K998" i="4"/>
  <c r="L998" i="4"/>
  <c r="M998" i="4"/>
  <c r="B999" i="4"/>
  <c r="C999" i="4"/>
  <c r="D999" i="4"/>
  <c r="E999" i="4"/>
  <c r="F999" i="4"/>
  <c r="G999" i="4"/>
  <c r="H999" i="4"/>
  <c r="I999" i="4"/>
  <c r="J999" i="4"/>
  <c r="K999" i="4"/>
  <c r="L999" i="4"/>
  <c r="M999" i="4"/>
  <c r="B1000" i="4"/>
  <c r="C1000" i="4"/>
  <c r="D1000" i="4"/>
  <c r="E1000" i="4"/>
  <c r="F1000" i="4"/>
  <c r="G1000" i="4"/>
  <c r="H1000" i="4"/>
  <c r="I1000" i="4"/>
  <c r="J1000" i="4"/>
  <c r="K1000" i="4"/>
  <c r="L1000" i="4"/>
  <c r="M1000" i="4"/>
  <c r="B1001" i="4"/>
  <c r="C1001" i="4"/>
  <c r="D1001" i="4"/>
  <c r="E1001" i="4"/>
  <c r="F1001" i="4"/>
  <c r="G1001" i="4"/>
  <c r="H1001" i="4"/>
  <c r="I1001" i="4"/>
  <c r="J1001" i="4"/>
  <c r="K1001" i="4"/>
  <c r="L1001" i="4"/>
  <c r="M1001" i="4"/>
  <c r="B1002" i="4"/>
  <c r="C1002" i="4"/>
  <c r="D1002" i="4"/>
  <c r="E1002" i="4"/>
  <c r="F1002" i="4"/>
  <c r="G1002" i="4"/>
  <c r="H1002" i="4"/>
  <c r="I1002" i="4"/>
  <c r="J1002" i="4"/>
  <c r="K1002" i="4"/>
  <c r="L1002" i="4"/>
  <c r="M1002" i="4"/>
  <c r="B1003" i="4"/>
  <c r="C1003" i="4"/>
  <c r="D1003" i="4"/>
  <c r="E1003" i="4"/>
  <c r="F1003" i="4"/>
  <c r="G1003" i="4"/>
  <c r="H1003" i="4"/>
  <c r="I1003" i="4"/>
  <c r="J1003" i="4"/>
  <c r="K1003" i="4"/>
  <c r="L1003" i="4"/>
  <c r="M1003" i="4"/>
  <c r="B1004" i="4"/>
  <c r="C1004" i="4"/>
  <c r="D1004" i="4"/>
  <c r="E1004" i="4"/>
  <c r="F1004" i="4"/>
  <c r="G1004" i="4"/>
  <c r="H1004" i="4"/>
  <c r="I1004" i="4"/>
  <c r="J1004" i="4"/>
  <c r="K1004" i="4"/>
  <c r="L1004" i="4"/>
  <c r="M1004" i="4"/>
  <c r="B1005" i="4"/>
  <c r="C1005" i="4"/>
  <c r="D1005" i="4"/>
  <c r="E1005" i="4"/>
  <c r="F1005" i="4"/>
  <c r="G1005" i="4"/>
  <c r="H1005" i="4"/>
  <c r="I1005" i="4"/>
  <c r="J1005" i="4"/>
  <c r="K1005" i="4"/>
  <c r="L1005" i="4"/>
  <c r="M1005" i="4"/>
  <c r="B1006" i="4"/>
  <c r="C1006" i="4"/>
  <c r="D1006" i="4"/>
  <c r="E1006" i="4"/>
  <c r="F1006" i="4"/>
  <c r="G1006" i="4"/>
  <c r="H1006" i="4"/>
  <c r="I1006" i="4"/>
  <c r="J1006" i="4"/>
  <c r="K1006" i="4"/>
  <c r="L1006" i="4"/>
  <c r="M1006" i="4"/>
  <c r="B1007" i="4"/>
  <c r="C1007" i="4"/>
  <c r="D1007" i="4"/>
  <c r="E1007" i="4"/>
  <c r="F1007" i="4"/>
  <c r="G1007" i="4"/>
  <c r="H1007" i="4"/>
  <c r="I1007" i="4"/>
  <c r="J1007" i="4"/>
  <c r="K1007" i="4"/>
  <c r="L1007" i="4"/>
  <c r="M1007" i="4"/>
  <c r="B1008" i="4"/>
  <c r="C1008" i="4"/>
  <c r="D1008" i="4"/>
  <c r="E1008" i="4"/>
  <c r="F1008" i="4"/>
  <c r="G1008" i="4"/>
  <c r="H1008" i="4"/>
  <c r="I1008" i="4"/>
  <c r="J1008" i="4"/>
  <c r="K1008" i="4"/>
  <c r="L1008" i="4"/>
  <c r="M1008" i="4"/>
  <c r="B1009" i="4"/>
  <c r="C1009" i="4"/>
  <c r="D1009" i="4"/>
  <c r="E1009" i="4"/>
  <c r="F1009" i="4"/>
  <c r="G1009" i="4"/>
  <c r="H1009" i="4"/>
  <c r="I1009" i="4"/>
  <c r="J1009" i="4"/>
  <c r="K1009" i="4"/>
  <c r="L1009" i="4"/>
  <c r="M1009" i="4"/>
  <c r="B1010" i="4"/>
  <c r="C1010" i="4"/>
  <c r="D1010" i="4"/>
  <c r="E1010" i="4"/>
  <c r="F1010" i="4"/>
  <c r="G1010" i="4"/>
  <c r="H1010" i="4"/>
  <c r="I1010" i="4"/>
  <c r="J1010" i="4"/>
  <c r="K1010" i="4"/>
  <c r="L1010" i="4"/>
  <c r="M1010" i="4"/>
  <c r="B1011" i="4"/>
  <c r="C1011" i="4"/>
  <c r="D1011" i="4"/>
  <c r="E1011" i="4"/>
  <c r="F1011" i="4"/>
  <c r="G1011" i="4"/>
  <c r="H1011" i="4"/>
  <c r="I1011" i="4"/>
  <c r="J1011" i="4"/>
  <c r="K1011" i="4"/>
  <c r="L1011" i="4"/>
  <c r="M1011" i="4"/>
  <c r="B1012" i="4"/>
  <c r="C1012" i="4"/>
  <c r="D1012" i="4"/>
  <c r="E1012" i="4"/>
  <c r="F1012" i="4"/>
  <c r="G1012" i="4"/>
  <c r="H1012" i="4"/>
  <c r="I1012" i="4"/>
  <c r="J1012" i="4"/>
  <c r="K1012" i="4"/>
  <c r="L1012" i="4"/>
  <c r="M1012" i="4"/>
  <c r="B1013" i="4"/>
  <c r="C1013" i="4"/>
  <c r="D1013" i="4"/>
  <c r="E1013" i="4"/>
  <c r="F1013" i="4"/>
  <c r="G1013" i="4"/>
  <c r="H1013" i="4"/>
  <c r="I1013" i="4"/>
  <c r="J1013" i="4"/>
  <c r="K1013" i="4"/>
  <c r="L1013" i="4"/>
  <c r="M1013" i="4"/>
  <c r="B1014" i="4"/>
  <c r="C1014" i="4"/>
  <c r="D1014" i="4"/>
  <c r="E1014" i="4"/>
  <c r="F1014" i="4"/>
  <c r="G1014" i="4"/>
  <c r="H1014" i="4"/>
  <c r="I1014" i="4"/>
  <c r="J1014" i="4"/>
  <c r="K1014" i="4"/>
  <c r="L1014" i="4"/>
  <c r="M1014" i="4"/>
  <c r="B1015" i="4"/>
  <c r="C1015" i="4"/>
  <c r="D1015" i="4"/>
  <c r="E1015" i="4"/>
  <c r="F1015" i="4"/>
  <c r="G1015" i="4"/>
  <c r="H1015" i="4"/>
  <c r="I1015" i="4"/>
  <c r="J1015" i="4"/>
  <c r="K1015" i="4"/>
  <c r="L1015" i="4"/>
  <c r="M1015" i="4"/>
  <c r="B1016" i="4"/>
  <c r="C1016" i="4"/>
  <c r="D1016" i="4"/>
  <c r="E1016" i="4"/>
  <c r="F1016" i="4"/>
  <c r="G1016" i="4"/>
  <c r="H1016" i="4"/>
  <c r="I1016" i="4"/>
  <c r="J1016" i="4"/>
  <c r="K1016" i="4"/>
  <c r="L1016" i="4"/>
  <c r="M1016" i="4"/>
  <c r="B1017" i="4"/>
  <c r="C1017" i="4"/>
  <c r="D1017" i="4"/>
  <c r="E1017" i="4"/>
  <c r="F1017" i="4"/>
  <c r="G1017" i="4"/>
  <c r="H1017" i="4"/>
  <c r="I1017" i="4"/>
  <c r="J1017" i="4"/>
  <c r="K1017" i="4"/>
  <c r="L1017" i="4"/>
  <c r="M1017" i="4"/>
  <c r="B1018" i="4"/>
  <c r="C1018" i="4"/>
  <c r="D1018" i="4"/>
  <c r="E1018" i="4"/>
  <c r="F1018" i="4"/>
  <c r="G1018" i="4"/>
  <c r="H1018" i="4"/>
  <c r="I1018" i="4"/>
  <c r="J1018" i="4"/>
  <c r="K1018" i="4"/>
  <c r="L1018" i="4"/>
  <c r="M1018" i="4"/>
  <c r="B1019" i="4"/>
  <c r="C1019" i="4"/>
  <c r="D1019" i="4"/>
  <c r="E1019" i="4"/>
  <c r="F1019" i="4"/>
  <c r="G1019" i="4"/>
  <c r="H1019" i="4"/>
  <c r="I1019" i="4"/>
  <c r="J1019" i="4"/>
  <c r="K1019" i="4"/>
  <c r="L1019" i="4"/>
  <c r="M1019" i="4"/>
  <c r="B1020" i="4"/>
  <c r="C1020" i="4"/>
  <c r="D1020" i="4"/>
  <c r="E1020" i="4"/>
  <c r="F1020" i="4"/>
  <c r="G1020" i="4"/>
  <c r="H1020" i="4"/>
  <c r="I1020" i="4"/>
  <c r="J1020" i="4"/>
  <c r="K1020" i="4"/>
  <c r="L1020" i="4"/>
  <c r="M1020" i="4"/>
  <c r="B1021" i="4"/>
  <c r="C1021" i="4"/>
  <c r="D1021" i="4"/>
  <c r="E1021" i="4"/>
  <c r="F1021" i="4"/>
  <c r="G1021" i="4"/>
  <c r="H1021" i="4"/>
  <c r="I1021" i="4"/>
  <c r="J1021" i="4"/>
  <c r="K1021" i="4"/>
  <c r="L1021" i="4"/>
  <c r="M1021" i="4"/>
</calcChain>
</file>

<file path=xl/sharedStrings.xml><?xml version="1.0" encoding="utf-8"?>
<sst xmlns="http://schemas.openxmlformats.org/spreadsheetml/2006/main" count="8408" uniqueCount="124">
  <si>
    <t>ID</t>
  </si>
  <si>
    <t>Marital Status</t>
  </si>
  <si>
    <t>Gender</t>
  </si>
  <si>
    <t>Income</t>
  </si>
  <si>
    <t>Children</t>
  </si>
  <si>
    <t>Education</t>
  </si>
  <si>
    <t>Occupation</t>
  </si>
  <si>
    <t>Home Owner</t>
  </si>
  <si>
    <t>Commute Distance</t>
  </si>
  <si>
    <t>Age</t>
  </si>
  <si>
    <t>Bachelors</t>
  </si>
  <si>
    <t>Skilled Manual</t>
  </si>
  <si>
    <t>Yes</t>
  </si>
  <si>
    <t>No</t>
  </si>
  <si>
    <t>Partial College</t>
  </si>
  <si>
    <t>Clerical</t>
  </si>
  <si>
    <t>Professional</t>
  </si>
  <si>
    <t>High School</t>
  </si>
  <si>
    <t>Management</t>
  </si>
  <si>
    <t>Graduate Degree</t>
  </si>
  <si>
    <t>F</t>
  </si>
  <si>
    <t>M</t>
  </si>
  <si>
    <t>S</t>
  </si>
  <si>
    <t>Male</t>
  </si>
  <si>
    <t>Female</t>
  </si>
  <si>
    <t>Age Brackets</t>
  </si>
  <si>
    <t>Grand Total</t>
  </si>
  <si>
    <t>Average of Income</t>
  </si>
  <si>
    <t>Adolescent</t>
  </si>
  <si>
    <t xml:space="preserve">Old </t>
  </si>
  <si>
    <t>Bike Sales Dashboard</t>
  </si>
  <si>
    <t xml:space="preserve">Description </t>
  </si>
  <si>
    <t>Column</t>
  </si>
  <si>
    <t>Tab</t>
  </si>
  <si>
    <t>Cleaned - Sorted DB</t>
  </si>
  <si>
    <t>A</t>
  </si>
  <si>
    <t>B</t>
  </si>
  <si>
    <t>N/A</t>
  </si>
  <si>
    <t>Used Advanced Filter to Sort IDs and to remove duplicats</t>
  </si>
  <si>
    <t>C</t>
  </si>
  <si>
    <t>D</t>
  </si>
  <si>
    <t>E</t>
  </si>
  <si>
    <t>G</t>
  </si>
  <si>
    <t>H</t>
  </si>
  <si>
    <t>I</t>
  </si>
  <si>
    <t>J</t>
  </si>
  <si>
    <t>K</t>
  </si>
  <si>
    <t>L</t>
  </si>
  <si>
    <t>Used "If" to Categorize ages into 3 Groups "Adolescent", "Middle Age " &amp; "Old" and Use XLookUP to match Ages data with IDs</t>
  </si>
  <si>
    <t>Used "If" to convert F&amp; M to Single and Married, and Used XLookUP to match Match Marital Status data with IDs</t>
  </si>
  <si>
    <t>Used XLookUP to match Gender data with IDs</t>
  </si>
  <si>
    <t>Used XLookUP to match Income data with IDs</t>
  </si>
  <si>
    <t>Used XLookUP to match Children data with IDs</t>
  </si>
  <si>
    <t>Used XLookUP to match Education data with IDs</t>
  </si>
  <si>
    <t>Used XLookUP to match Occupation data with IDs</t>
  </si>
  <si>
    <t>Used XLookUP to match Home Owner data with IDs</t>
  </si>
  <si>
    <t>Used XLookUP to match Commute Distance data with IDs</t>
  </si>
  <si>
    <t>Used XLookUP to match Region data with IDs</t>
  </si>
  <si>
    <t xml:space="preserve">Middle Age </t>
  </si>
  <si>
    <t>Bavaria</t>
  </si>
  <si>
    <t>Saxony</t>
  </si>
  <si>
    <t>Berlin</t>
  </si>
  <si>
    <t>North Rhine-Westphalia</t>
  </si>
  <si>
    <t>Hamburg</t>
  </si>
  <si>
    <t>Hesse</t>
  </si>
  <si>
    <t>Thuringia</t>
  </si>
  <si>
    <t>Baden-Württemberg</t>
  </si>
  <si>
    <t>Lower Saxony</t>
  </si>
  <si>
    <t>Rhineland-Palatinate</t>
  </si>
  <si>
    <t>Brandenburg</t>
  </si>
  <si>
    <t>Saarland</t>
  </si>
  <si>
    <t>Schleswig-Holstein</t>
  </si>
  <si>
    <t>Saxony-Anhalt</t>
  </si>
  <si>
    <t>Bremen</t>
  </si>
  <si>
    <t>Mecklenburg-Vorpommern</t>
  </si>
  <si>
    <t>State</t>
  </si>
  <si>
    <t>Used XLookUP to match Age data with IDs</t>
  </si>
  <si>
    <t>0–1 Kilometre</t>
  </si>
  <si>
    <t>1–2 Kilometre</t>
  </si>
  <si>
    <t>2–4 Kilometre</t>
  </si>
  <si>
    <t>4–6 Kilometre</t>
  </si>
  <si>
    <t>6+ Kilometre</t>
  </si>
  <si>
    <t>Purchased Cars</t>
  </si>
  <si>
    <t>Count of Purchased Cars</t>
  </si>
  <si>
    <t>Cars Sales Dashboard 1</t>
  </si>
  <si>
    <t>Cars Sales Dashboard 2</t>
  </si>
  <si>
    <t>Pivot-Table 1</t>
  </si>
  <si>
    <t>PivotTable17</t>
  </si>
  <si>
    <t>PivotTable19</t>
  </si>
  <si>
    <t>PivotTable20</t>
  </si>
  <si>
    <t>PivotTable21</t>
  </si>
  <si>
    <t>Home Owners</t>
  </si>
  <si>
    <t>Dashboard 1</t>
  </si>
  <si>
    <t>Dashboard 2</t>
  </si>
  <si>
    <t>4 Cahrts</t>
  </si>
  <si>
    <t xml:space="preserve">6 Slicers </t>
  </si>
  <si>
    <t>Stylized Pivot Charts linked to dynamic tables, featuring color enhancements for optimized user clarity.</t>
  </si>
  <si>
    <t>Interactive slicers with global Report Connections, enabling centralized filtering for the entire dashboard.</t>
  </si>
  <si>
    <t>Pivot Table 2</t>
  </si>
  <si>
    <t>Pivot Table #</t>
  </si>
  <si>
    <t>PivotTable24</t>
  </si>
  <si>
    <t>It Compares number of Purchased Cars Per average Income, Education and Occupation, Conditional Formatting used to Highlight the Comparison in p number of Purchased Cars</t>
  </si>
  <si>
    <t>It Compares number of Purchased Cars Per Age Brackets, Conditional Formatting used to Highlight the Comparison in Grand Totals</t>
  </si>
  <si>
    <t>It Compares number of Purchased Cars Per Gender, Conditional Formatting used to Highlight the Comparison in Grand Totals</t>
  </si>
  <si>
    <t>It Compares number of Purchased Cars Per Commute Distance, Conditional Formatting used to Highlight the Comparison in Grand Totals</t>
  </si>
  <si>
    <t>It Compares number of Purchased Cars Per Home Owners, Conditional Formatting used to Highlight the Comparison in Grand Totals</t>
  </si>
  <si>
    <t xml:space="preserve">1  Cahrt </t>
  </si>
  <si>
    <t>1 Slicer</t>
  </si>
  <si>
    <t>Engineered custom Pivot Charts with enhanced styling and color-coding for improved data visualization."</t>
  </si>
  <si>
    <t>Synchronized slicer linked via Report Connections, providing unified control across the Pivot Tables and chart.</t>
  </si>
  <si>
    <t>Formulas, Functions, ….</t>
  </si>
  <si>
    <t>Used XLookUP to match Purchased Cars data with IDs</t>
  </si>
  <si>
    <t>IF(XLOOKUP($A2,'RAWDATA Cars Buyers DB'!$A:$A,'RAWDATA Cars Buyers DB'!B:B)="S","Single","Married")</t>
  </si>
  <si>
    <t>IF(XLOOKUP($A2,'RAWDATA Cars Buyers DB'!$A:$A,'RAWDATA Cars Buyers DB'!C:C)="F","Female","Male")</t>
  </si>
  <si>
    <t>XLOOKUP($A2,'RAWDATA Cars Buyers DB'!$A:$A,'RAWDATA Cars Buyers DB'!D:D)</t>
  </si>
  <si>
    <t>XLOOKUP($A2,'RAWDATA Cars Buyers DB'!$A:$A,'RAWDATA Cars Buyers DB'!E:E)</t>
  </si>
  <si>
    <t>XLOOKUP($A2,'RAWDATA Cars Buyers DB'!$A:$A,'RAWDATA Cars Buyers DB'!F:F)</t>
  </si>
  <si>
    <t>XLOOKUP($A2,'RAWDATA Cars Buyers DB'!$A:$A,'RAWDATA Cars Buyers DB'!G:G)</t>
  </si>
  <si>
    <t>XLOOKUP($A2,'RAWDATA Cars Buyers DB'!$A:$A,'RAWDATA Cars Buyers DB'!H:H)</t>
  </si>
  <si>
    <t>XLOOKUP($A2,'RAWDATA Cars Buyers DB'!$A:$A,'RAWDATA Cars Buyers DB'!I:I)</t>
  </si>
  <si>
    <t>XLOOKUP($A2,'RAWDATA Cars Buyers DB'!$A:$A,'RAWDATA Cars Buyers DB'!J:J)</t>
  </si>
  <si>
    <t>XLOOKUP($A2,'RAWDATA Cars Buyers DB'!$A:$A,'RAWDATA Cars Buyers DB'!K:K)</t>
  </si>
  <si>
    <t>IF(XLOOKUP($A2,'RAWDATA Cars Buyers DB'!$A:$A,'RAWDATA Cars Buyers DB'!K:K)&gt;54,"Old ",IF(XLOOKUP($A2,'RAWDATA Cars Buyers DB'!$A:$A,'RAWDATA Cars Buyers DB'!K:K)&gt;=31,"Middle Age ",IF(XLOOKUP($A2,'RAWDATA Cars Buyers DB'!$A:$A,'RAWDATA Cars Buyers DB'!K:K)&lt;31,"Adolescent","Invalid")))</t>
  </si>
  <si>
    <t>XLOOKUP($A2,'RAWDATA Cars Buyers DB'!$A:$A,'RAWDATA Cars Buyers DB'!L:L)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</si>
</sst>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0\ &quot;€&quot;"/>
    <numFmt numFmtId="166" formatCode="_([$€-2]\ * #,##0.000_);_([$€-2]\ * \(#,##0.000\);_([$€-2]\ * &quot;-&quot;??_);_(@_)"/>
    <numFmt numFmtId="167" formatCode="_([$€-2]\ * #,##0.00_);_([$€-2]\ * \(#,##0.00\);_([$€-2]\ * &quot;-&quot;??_);_(@_)"/>
    <numFmt numFmtId="168" formatCode="0.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
      <b/>
      <sz val="22"/>
      <color theme="0"/>
      <name val="Calibri"/>
      <family val="2"/>
      <scheme val="minor"/>
    </font>
    <font>
      <sz val="11"/>
      <name val="Calibri"/>
      <family val="2"/>
      <scheme val="minor"/>
    </font>
    <font>
      <sz val="8"/>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9">
    <xf numFmtId="0" fontId="0" fillId="0" borderId="0" xfId="0"/>
    <xf numFmtId="164" fontId="0" fillId="0" borderId="0" xfId="0" applyNumberFormat="1"/>
    <xf numFmtId="0" fontId="18" fillId="0" borderId="0" xfId="0" applyFont="1"/>
    <xf numFmtId="0" fontId="0" fillId="0" borderId="0" xfId="0" pivotButton="1"/>
    <xf numFmtId="0" fontId="0" fillId="0" borderId="0" xfId="0" applyNumberFormat="1"/>
    <xf numFmtId="0" fontId="0" fillId="0" borderId="0" xfId="0" applyAlignment="1">
      <alignment horizontal="center" vertical="center"/>
    </xf>
    <xf numFmtId="0" fontId="0" fillId="34" borderId="0" xfId="0" applyFill="1" applyAlignment="1">
      <alignment horizontal="center" vertical="center"/>
    </xf>
    <xf numFmtId="166" fontId="0" fillId="35" borderId="0" xfId="42" applyNumberFormat="1" applyFont="1" applyFill="1" applyAlignment="1">
      <alignment horizontal="center" vertical="center"/>
    </xf>
    <xf numFmtId="0" fontId="0" fillId="35" borderId="0" xfId="0" applyFill="1" applyAlignment="1">
      <alignment horizontal="center" vertical="center"/>
    </xf>
    <xf numFmtId="0" fontId="0" fillId="35" borderId="0" xfId="0" applyFill="1"/>
    <xf numFmtId="0" fontId="0" fillId="36" borderId="0" xfId="0" applyFill="1" applyAlignment="1">
      <alignment horizontal="center" vertical="center"/>
    </xf>
    <xf numFmtId="0" fontId="0" fillId="36" borderId="0" xfId="0" applyFill="1"/>
    <xf numFmtId="0" fontId="0" fillId="0" borderId="0" xfId="0" applyAlignment="1">
      <alignment horizontal="center" vertical="center" wrapText="1"/>
    </xf>
    <xf numFmtId="0" fontId="0" fillId="0" borderId="0" xfId="0" applyFill="1" applyAlignment="1">
      <alignment horizontal="center" vertical="center"/>
    </xf>
    <xf numFmtId="1" fontId="0" fillId="0" borderId="0" xfId="0" applyNumberFormat="1" applyAlignment="1">
      <alignment horizontal="center" vertical="center"/>
    </xf>
    <xf numFmtId="167" fontId="0" fillId="0" borderId="0" xfId="42" applyNumberFormat="1" applyFont="1" applyFill="1" applyAlignment="1">
      <alignment horizontal="center" vertical="center"/>
    </xf>
    <xf numFmtId="167" fontId="0" fillId="35" borderId="0" xfId="42" applyNumberFormat="1" applyFont="1" applyFill="1" applyAlignment="1">
      <alignment horizontal="center" vertical="center"/>
    </xf>
    <xf numFmtId="167" fontId="0" fillId="35" borderId="0" xfId="42" applyNumberFormat="1" applyFont="1" applyFill="1"/>
    <xf numFmtId="0" fontId="0" fillId="0" borderId="0" xfId="0" pivotButton="1" applyAlignment="1">
      <alignment horizontal="center" vertical="center"/>
    </xf>
    <xf numFmtId="0" fontId="21" fillId="38" borderId="0" xfId="0" applyFont="1" applyFill="1"/>
    <xf numFmtId="0" fontId="0" fillId="38" borderId="0" xfId="0" applyFill="1"/>
    <xf numFmtId="0" fontId="16" fillId="39" borderId="0" xfId="0" applyFont="1" applyFill="1" applyAlignment="1">
      <alignment horizontal="center" vertical="center"/>
    </xf>
    <xf numFmtId="0" fontId="0" fillId="39" borderId="0" xfId="0" applyFill="1" applyAlignment="1">
      <alignment horizontal="center" vertical="center" wrapText="1"/>
    </xf>
    <xf numFmtId="0" fontId="0" fillId="39" borderId="0" xfId="0" applyFill="1"/>
    <xf numFmtId="0" fontId="0" fillId="39" borderId="0" xfId="0" applyFont="1" applyFill="1" applyAlignment="1">
      <alignment horizontal="center" vertical="center"/>
    </xf>
    <xf numFmtId="0" fontId="0" fillId="39" borderId="0" xfId="0" applyFont="1" applyFill="1" applyAlignment="1">
      <alignment horizontal="center" vertical="center" wrapText="1"/>
    </xf>
    <xf numFmtId="0" fontId="16" fillId="40" borderId="0" xfId="0" applyFont="1" applyFill="1" applyAlignment="1">
      <alignment horizontal="center" vertical="center"/>
    </xf>
    <xf numFmtId="0" fontId="0" fillId="40" borderId="0" xfId="0" applyFont="1" applyFill="1" applyAlignment="1">
      <alignment horizontal="center" vertical="center"/>
    </xf>
    <xf numFmtId="0" fontId="0" fillId="0" borderId="0" xfId="0" applyFont="1"/>
    <xf numFmtId="0" fontId="0" fillId="40" borderId="0" xfId="0" applyFont="1" applyFill="1" applyAlignment="1">
      <alignment horizontal="center" vertical="center" wrapText="1"/>
    </xf>
    <xf numFmtId="168" fontId="0" fillId="0" borderId="0" xfId="0" applyNumberFormat="1"/>
    <xf numFmtId="0" fontId="0" fillId="41" borderId="0" xfId="0" applyFill="1"/>
    <xf numFmtId="0" fontId="0" fillId="42" borderId="0" xfId="0" applyFont="1" applyFill="1"/>
    <xf numFmtId="0" fontId="16" fillId="43" borderId="0" xfId="0" applyFont="1" applyFill="1" applyAlignment="1">
      <alignment horizontal="center" vertical="center"/>
    </xf>
    <xf numFmtId="0" fontId="0" fillId="43" borderId="0" xfId="0" applyFont="1" applyFill="1" applyAlignment="1">
      <alignment horizontal="center" vertical="center"/>
    </xf>
    <xf numFmtId="0" fontId="0" fillId="43" borderId="0" xfId="0" applyFont="1" applyFill="1" applyAlignment="1">
      <alignment horizontal="center" vertical="center" wrapText="1"/>
    </xf>
    <xf numFmtId="0" fontId="20" fillId="37" borderId="0" xfId="0" applyFont="1" applyFill="1" applyBorder="1" applyAlignment="1">
      <alignment horizontal="center" vertical="center" wrapText="1"/>
    </xf>
    <xf numFmtId="0" fontId="19" fillId="33" borderId="0" xfId="0" applyFont="1" applyFill="1" applyAlignment="1">
      <alignment horizontal="center" vertical="center"/>
    </xf>
    <xf numFmtId="0" fontId="14"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2">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68" formatCode="0.000"/>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68" formatCode="0.000"/>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68" formatCode="0.000"/>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_([$€-2]\ * #,##0.000_);_([$€-2]\ * \(#,##0.000\);_([$€-2]\ * &quot;-&quot;??_);_(@_)"/>
      <fill>
        <patternFill patternType="solid">
          <fgColor indexed="64"/>
          <bgColor theme="9" tint="0.39997558519241921"/>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fill>
        <patternFill patternType="solid">
          <fgColor indexed="64"/>
          <bgColor theme="9" tint="0.3999755851924192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168" formatCode="0.000"/>
    </dxf>
    <dxf>
      <alignment horizontal="center"/>
    </dxf>
    <dxf>
      <alignment vertical="center"/>
    </dxf>
    <dxf>
      <numFmt numFmtId="1" formatCode="0"/>
    </dxf>
    <dxf>
      <alignment horizontal="center"/>
    </dxf>
    <dxf>
      <alignment vertical="center"/>
    </dxf>
    <dxf>
      <numFmt numFmtId="1" formatCode="0"/>
    </dxf>
    <dxf>
      <alignment horizontal="center"/>
    </dxf>
    <dxf>
      <alignment vertical="center"/>
    </dxf>
    <dxf>
      <numFmt numFmtId="1" formatCode="0"/>
    </dxf>
    <dxf>
      <alignment horizontal="center"/>
    </dxf>
    <dxf>
      <alignment vertical="cent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1!PivotTable17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1'!$B$1:$B$2</c:f>
              <c:strCache>
                <c:ptCount val="1"/>
                <c:pt idx="0">
                  <c:v>No</c:v>
                </c:pt>
              </c:strCache>
            </c:strRef>
          </c:tx>
          <c:spPr>
            <a:solidFill>
              <a:schemeClr val="accent1">
                <a:lumMod val="75000"/>
              </a:schemeClr>
            </a:solidFill>
            <a:ln>
              <a:noFill/>
            </a:ln>
            <a:effectLst/>
          </c:spPr>
          <c:invertIfNegative val="0"/>
          <c:cat>
            <c:strRef>
              <c:f>'Pivot Table 1'!$A$3:$A$5</c:f>
              <c:strCache>
                <c:ptCount val="2"/>
                <c:pt idx="0">
                  <c:v>Female</c:v>
                </c:pt>
                <c:pt idx="1">
                  <c:v>Male</c:v>
                </c:pt>
              </c:strCache>
            </c:strRef>
          </c:cat>
          <c:val>
            <c:numRef>
              <c:f>'Pivot Table 1'!$B$3:$B$5</c:f>
              <c:numCache>
                <c:formatCode>0</c:formatCode>
                <c:ptCount val="2"/>
                <c:pt idx="0">
                  <c:v>67697.399267399262</c:v>
                </c:pt>
                <c:pt idx="1">
                  <c:v>69398.1484375</c:v>
                </c:pt>
              </c:numCache>
            </c:numRef>
          </c:val>
          <c:extLst>
            <c:ext xmlns:c16="http://schemas.microsoft.com/office/drawing/2014/chart" uri="{C3380CC4-5D6E-409C-BE32-E72D297353CC}">
              <c16:uniqueId val="{00000000-7935-41A3-ABBE-E9C128EA7945}"/>
            </c:ext>
          </c:extLst>
        </c:ser>
        <c:ser>
          <c:idx val="1"/>
          <c:order val="1"/>
          <c:tx>
            <c:strRef>
              <c:f>'Pivot Table 1'!$C$1:$C$2</c:f>
              <c:strCache>
                <c:ptCount val="1"/>
                <c:pt idx="0">
                  <c:v>Yes</c:v>
                </c:pt>
              </c:strCache>
            </c:strRef>
          </c:tx>
          <c:spPr>
            <a:solidFill>
              <a:srgbClr val="C00000"/>
            </a:solidFill>
            <a:ln>
              <a:noFill/>
            </a:ln>
            <a:effectLst/>
          </c:spPr>
          <c:invertIfNegative val="0"/>
          <c:cat>
            <c:strRef>
              <c:f>'Pivot Table 1'!$A$3:$A$5</c:f>
              <c:strCache>
                <c:ptCount val="2"/>
                <c:pt idx="0">
                  <c:v>Female</c:v>
                </c:pt>
                <c:pt idx="1">
                  <c:v>Male</c:v>
                </c:pt>
              </c:strCache>
            </c:strRef>
          </c:cat>
          <c:val>
            <c:numRef>
              <c:f>'Pivot Table 1'!$C$3:$C$5</c:f>
              <c:numCache>
                <c:formatCode>0</c:formatCode>
                <c:ptCount val="2"/>
                <c:pt idx="0">
                  <c:v>71140.585271317832</c:v>
                </c:pt>
                <c:pt idx="1">
                  <c:v>71052.484978540771</c:v>
                </c:pt>
              </c:numCache>
            </c:numRef>
          </c:val>
          <c:extLst>
            <c:ext xmlns:c16="http://schemas.microsoft.com/office/drawing/2014/chart" uri="{C3380CC4-5D6E-409C-BE32-E72D297353CC}">
              <c16:uniqueId val="{00000001-7935-41A3-ABBE-E9C128EA7945}"/>
            </c:ext>
          </c:extLst>
        </c:ser>
        <c:dLbls>
          <c:showLegendKey val="0"/>
          <c:showVal val="0"/>
          <c:showCatName val="0"/>
          <c:showSerName val="0"/>
          <c:showPercent val="0"/>
          <c:showBubbleSize val="0"/>
        </c:dLbls>
        <c:gapWidth val="219"/>
        <c:overlap val="-27"/>
        <c:axId val="1721997199"/>
        <c:axId val="1721999279"/>
      </c:barChart>
      <c:catAx>
        <c:axId val="172199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99279"/>
        <c:crosses val="autoZero"/>
        <c:auto val="1"/>
        <c:lblAlgn val="ctr"/>
        <c:lblOffset val="100"/>
        <c:noMultiLvlLbl val="0"/>
      </c:catAx>
      <c:valAx>
        <c:axId val="1721999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9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1!PivotTable19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1'!$B$23:$B$24</c:f>
              <c:strCache>
                <c:ptCount val="1"/>
                <c:pt idx="0">
                  <c:v>No</c:v>
                </c:pt>
              </c:strCache>
            </c:strRef>
          </c:tx>
          <c:spPr>
            <a:solidFill>
              <a:schemeClr val="accent1">
                <a:lumMod val="75000"/>
              </a:schemeClr>
            </a:solidFill>
            <a:ln>
              <a:noFill/>
            </a:ln>
            <a:effectLst/>
          </c:spPr>
          <c:invertIfNegative val="0"/>
          <c:cat>
            <c:strRef>
              <c:f>'Pivot Table 1'!$A$25:$A$30</c:f>
              <c:strCache>
                <c:ptCount val="5"/>
                <c:pt idx="0">
                  <c:v>0–1 Kilometre</c:v>
                </c:pt>
                <c:pt idx="1">
                  <c:v>1–2 Kilometre</c:v>
                </c:pt>
                <c:pt idx="2">
                  <c:v>2–4 Kilometre</c:v>
                </c:pt>
                <c:pt idx="3">
                  <c:v>4–6 Kilometre</c:v>
                </c:pt>
                <c:pt idx="4">
                  <c:v>6+ Kilometre</c:v>
                </c:pt>
              </c:strCache>
            </c:strRef>
          </c:cat>
          <c:val>
            <c:numRef>
              <c:f>'Pivot Table 1'!$B$25:$B$30</c:f>
              <c:numCache>
                <c:formatCode>0</c:formatCode>
                <c:ptCount val="5"/>
                <c:pt idx="0">
                  <c:v>100</c:v>
                </c:pt>
                <c:pt idx="1">
                  <c:v>117</c:v>
                </c:pt>
                <c:pt idx="2">
                  <c:v>99</c:v>
                </c:pt>
                <c:pt idx="3">
                  <c:v>117</c:v>
                </c:pt>
                <c:pt idx="4">
                  <c:v>96</c:v>
                </c:pt>
              </c:numCache>
            </c:numRef>
          </c:val>
          <c:extLst>
            <c:ext xmlns:c16="http://schemas.microsoft.com/office/drawing/2014/chart" uri="{C3380CC4-5D6E-409C-BE32-E72D297353CC}">
              <c16:uniqueId val="{00000000-BEAB-409E-9BD6-3983BAE94393}"/>
            </c:ext>
          </c:extLst>
        </c:ser>
        <c:ser>
          <c:idx val="1"/>
          <c:order val="1"/>
          <c:tx>
            <c:strRef>
              <c:f>'Pivot Table 1'!$C$23:$C$24</c:f>
              <c:strCache>
                <c:ptCount val="1"/>
                <c:pt idx="0">
                  <c:v>Yes</c:v>
                </c:pt>
              </c:strCache>
            </c:strRef>
          </c:tx>
          <c:spPr>
            <a:solidFill>
              <a:srgbClr val="C00000"/>
            </a:solidFill>
            <a:ln>
              <a:noFill/>
            </a:ln>
            <a:effectLst/>
          </c:spPr>
          <c:invertIfNegative val="0"/>
          <c:cat>
            <c:strRef>
              <c:f>'Pivot Table 1'!$A$25:$A$30</c:f>
              <c:strCache>
                <c:ptCount val="5"/>
                <c:pt idx="0">
                  <c:v>0–1 Kilometre</c:v>
                </c:pt>
                <c:pt idx="1">
                  <c:v>1–2 Kilometre</c:v>
                </c:pt>
                <c:pt idx="2">
                  <c:v>2–4 Kilometre</c:v>
                </c:pt>
                <c:pt idx="3">
                  <c:v>4–6 Kilometre</c:v>
                </c:pt>
                <c:pt idx="4">
                  <c:v>6+ Kilometre</c:v>
                </c:pt>
              </c:strCache>
            </c:strRef>
          </c:cat>
          <c:val>
            <c:numRef>
              <c:f>'Pivot Table 1'!$C$25:$C$30</c:f>
              <c:numCache>
                <c:formatCode>0</c:formatCode>
                <c:ptCount val="5"/>
                <c:pt idx="0">
                  <c:v>100</c:v>
                </c:pt>
                <c:pt idx="1">
                  <c:v>112</c:v>
                </c:pt>
                <c:pt idx="2">
                  <c:v>106</c:v>
                </c:pt>
                <c:pt idx="3">
                  <c:v>81</c:v>
                </c:pt>
                <c:pt idx="4">
                  <c:v>92</c:v>
                </c:pt>
              </c:numCache>
            </c:numRef>
          </c:val>
          <c:extLst>
            <c:ext xmlns:c16="http://schemas.microsoft.com/office/drawing/2014/chart" uri="{C3380CC4-5D6E-409C-BE32-E72D297353CC}">
              <c16:uniqueId val="{00000001-BEAB-409E-9BD6-3983BAE94393}"/>
            </c:ext>
          </c:extLst>
        </c:ser>
        <c:dLbls>
          <c:showLegendKey val="0"/>
          <c:showVal val="0"/>
          <c:showCatName val="0"/>
          <c:showSerName val="0"/>
          <c:showPercent val="0"/>
          <c:showBubbleSize val="0"/>
        </c:dLbls>
        <c:gapWidth val="219"/>
        <c:overlap val="-27"/>
        <c:axId val="1898400879"/>
        <c:axId val="1898398383"/>
      </c:barChart>
      <c:catAx>
        <c:axId val="189840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98383"/>
        <c:crosses val="autoZero"/>
        <c:auto val="1"/>
        <c:lblAlgn val="ctr"/>
        <c:lblOffset val="100"/>
        <c:noMultiLvlLbl val="0"/>
      </c:catAx>
      <c:valAx>
        <c:axId val="1898398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0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1!PivotTable20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1'!$B$45:$B$46</c:f>
              <c:strCache>
                <c:ptCount val="1"/>
                <c:pt idx="0">
                  <c:v>No</c:v>
                </c:pt>
              </c:strCache>
            </c:strRef>
          </c:tx>
          <c:spPr>
            <a:solidFill>
              <a:schemeClr val="accent1">
                <a:lumMod val="75000"/>
              </a:schemeClr>
            </a:solidFill>
            <a:ln>
              <a:noFill/>
            </a:ln>
            <a:effectLst/>
          </c:spPr>
          <c:invertIfNegative val="0"/>
          <c:cat>
            <c:strRef>
              <c:f>'Pivot Table 1'!$A$47:$A$50</c:f>
              <c:strCache>
                <c:ptCount val="3"/>
                <c:pt idx="0">
                  <c:v>Adolescent</c:v>
                </c:pt>
                <c:pt idx="1">
                  <c:v>Middle Age </c:v>
                </c:pt>
                <c:pt idx="2">
                  <c:v>Old </c:v>
                </c:pt>
              </c:strCache>
            </c:strRef>
          </c:cat>
          <c:val>
            <c:numRef>
              <c:f>'Pivot Table 1'!$B$47:$B$50</c:f>
              <c:numCache>
                <c:formatCode>0</c:formatCode>
                <c:ptCount val="3"/>
                <c:pt idx="0">
                  <c:v>119</c:v>
                </c:pt>
                <c:pt idx="1">
                  <c:v>265</c:v>
                </c:pt>
                <c:pt idx="2">
                  <c:v>145</c:v>
                </c:pt>
              </c:numCache>
            </c:numRef>
          </c:val>
          <c:extLst>
            <c:ext xmlns:c16="http://schemas.microsoft.com/office/drawing/2014/chart" uri="{C3380CC4-5D6E-409C-BE32-E72D297353CC}">
              <c16:uniqueId val="{00000000-B37E-4EEA-8679-09A47EDF6A7C}"/>
            </c:ext>
          </c:extLst>
        </c:ser>
        <c:ser>
          <c:idx val="1"/>
          <c:order val="1"/>
          <c:tx>
            <c:strRef>
              <c:f>'Pivot Table 1'!$C$45:$C$46</c:f>
              <c:strCache>
                <c:ptCount val="1"/>
                <c:pt idx="0">
                  <c:v>Yes</c:v>
                </c:pt>
              </c:strCache>
            </c:strRef>
          </c:tx>
          <c:spPr>
            <a:solidFill>
              <a:srgbClr val="C00000"/>
            </a:solidFill>
            <a:ln>
              <a:noFill/>
            </a:ln>
            <a:effectLst/>
          </c:spPr>
          <c:invertIfNegative val="0"/>
          <c:cat>
            <c:strRef>
              <c:f>'Pivot Table 1'!$A$47:$A$50</c:f>
              <c:strCache>
                <c:ptCount val="3"/>
                <c:pt idx="0">
                  <c:v>Adolescent</c:v>
                </c:pt>
                <c:pt idx="1">
                  <c:v>Middle Age </c:v>
                </c:pt>
                <c:pt idx="2">
                  <c:v>Old </c:v>
                </c:pt>
              </c:strCache>
            </c:strRef>
          </c:cat>
          <c:val>
            <c:numRef>
              <c:f>'Pivot Table 1'!$C$47:$C$50</c:f>
              <c:numCache>
                <c:formatCode>0</c:formatCode>
                <c:ptCount val="3"/>
                <c:pt idx="0">
                  <c:v>105</c:v>
                </c:pt>
                <c:pt idx="1">
                  <c:v>238</c:v>
                </c:pt>
                <c:pt idx="2">
                  <c:v>148</c:v>
                </c:pt>
              </c:numCache>
            </c:numRef>
          </c:val>
          <c:extLst>
            <c:ext xmlns:c16="http://schemas.microsoft.com/office/drawing/2014/chart" uri="{C3380CC4-5D6E-409C-BE32-E72D297353CC}">
              <c16:uniqueId val="{00000001-B37E-4EEA-8679-09A47EDF6A7C}"/>
            </c:ext>
          </c:extLst>
        </c:ser>
        <c:dLbls>
          <c:showLegendKey val="0"/>
          <c:showVal val="0"/>
          <c:showCatName val="0"/>
          <c:showSerName val="0"/>
          <c:showPercent val="0"/>
          <c:showBubbleSize val="0"/>
        </c:dLbls>
        <c:gapWidth val="219"/>
        <c:overlap val="-27"/>
        <c:axId val="1725107919"/>
        <c:axId val="1725108335"/>
      </c:barChart>
      <c:catAx>
        <c:axId val="172510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08335"/>
        <c:crosses val="autoZero"/>
        <c:auto val="1"/>
        <c:lblAlgn val="ctr"/>
        <c:lblOffset val="100"/>
        <c:noMultiLvlLbl val="0"/>
      </c:catAx>
      <c:valAx>
        <c:axId val="172510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07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1!PivotTable21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1'!$B$68:$B$69</c:f>
              <c:strCache>
                <c:ptCount val="1"/>
                <c:pt idx="0">
                  <c:v>No</c:v>
                </c:pt>
              </c:strCache>
            </c:strRef>
          </c:tx>
          <c:spPr>
            <a:solidFill>
              <a:schemeClr val="accent1">
                <a:lumMod val="75000"/>
              </a:schemeClr>
            </a:solidFill>
            <a:ln>
              <a:noFill/>
            </a:ln>
            <a:effectLst/>
          </c:spPr>
          <c:invertIfNegative val="0"/>
          <c:cat>
            <c:strRef>
              <c:f>'Pivot Table 1'!$A$70:$A$72</c:f>
              <c:strCache>
                <c:ptCount val="2"/>
                <c:pt idx="0">
                  <c:v>No</c:v>
                </c:pt>
                <c:pt idx="1">
                  <c:v>Yes</c:v>
                </c:pt>
              </c:strCache>
            </c:strRef>
          </c:cat>
          <c:val>
            <c:numRef>
              <c:f>'Pivot Table 1'!$B$70:$B$72</c:f>
              <c:numCache>
                <c:formatCode>0</c:formatCode>
                <c:ptCount val="2"/>
                <c:pt idx="0">
                  <c:v>282</c:v>
                </c:pt>
                <c:pt idx="1">
                  <c:v>247</c:v>
                </c:pt>
              </c:numCache>
            </c:numRef>
          </c:val>
          <c:extLst>
            <c:ext xmlns:c16="http://schemas.microsoft.com/office/drawing/2014/chart" uri="{C3380CC4-5D6E-409C-BE32-E72D297353CC}">
              <c16:uniqueId val="{00000000-2812-43B1-8FFE-6F8A01EA24D5}"/>
            </c:ext>
          </c:extLst>
        </c:ser>
        <c:ser>
          <c:idx val="1"/>
          <c:order val="1"/>
          <c:tx>
            <c:strRef>
              <c:f>'Pivot Table 1'!$C$68:$C$69</c:f>
              <c:strCache>
                <c:ptCount val="1"/>
                <c:pt idx="0">
                  <c:v>Yes</c:v>
                </c:pt>
              </c:strCache>
            </c:strRef>
          </c:tx>
          <c:spPr>
            <a:solidFill>
              <a:srgbClr val="C00000"/>
            </a:solidFill>
            <a:ln>
              <a:noFill/>
            </a:ln>
            <a:effectLst/>
          </c:spPr>
          <c:invertIfNegative val="0"/>
          <c:cat>
            <c:strRef>
              <c:f>'Pivot Table 1'!$A$70:$A$72</c:f>
              <c:strCache>
                <c:ptCount val="2"/>
                <c:pt idx="0">
                  <c:v>No</c:v>
                </c:pt>
                <c:pt idx="1">
                  <c:v>Yes</c:v>
                </c:pt>
              </c:strCache>
            </c:strRef>
          </c:cat>
          <c:val>
            <c:numRef>
              <c:f>'Pivot Table 1'!$C$70:$C$72</c:f>
              <c:numCache>
                <c:formatCode>0</c:formatCode>
                <c:ptCount val="2"/>
                <c:pt idx="0">
                  <c:v>258</c:v>
                </c:pt>
                <c:pt idx="1">
                  <c:v>233</c:v>
                </c:pt>
              </c:numCache>
            </c:numRef>
          </c:val>
          <c:extLst>
            <c:ext xmlns:c16="http://schemas.microsoft.com/office/drawing/2014/chart" uri="{C3380CC4-5D6E-409C-BE32-E72D297353CC}">
              <c16:uniqueId val="{00000001-2812-43B1-8FFE-6F8A01EA24D5}"/>
            </c:ext>
          </c:extLst>
        </c:ser>
        <c:dLbls>
          <c:showLegendKey val="0"/>
          <c:showVal val="0"/>
          <c:showCatName val="0"/>
          <c:showSerName val="0"/>
          <c:showPercent val="0"/>
          <c:showBubbleSize val="0"/>
        </c:dLbls>
        <c:gapWidth val="219"/>
        <c:overlap val="-27"/>
        <c:axId val="1725096687"/>
        <c:axId val="1725100015"/>
      </c:barChart>
      <c:catAx>
        <c:axId val="172509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00015"/>
        <c:crosses val="autoZero"/>
        <c:auto val="1"/>
        <c:lblAlgn val="ctr"/>
        <c:lblOffset val="100"/>
        <c:noMultiLvlLbl val="0"/>
      </c:catAx>
      <c:valAx>
        <c:axId val="1725100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96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2!PivotTable24</c:name>
    <c:fmtId val="2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cmpd="sng">
            <a:solidFill>
              <a:srgbClr val="C00000"/>
            </a:solidFill>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
        <c:idx val="7"/>
        <c:spPr>
          <a:solidFill>
            <a:srgbClr val="00B0F0"/>
          </a:solidFill>
          <a:ln>
            <a:noFill/>
          </a:ln>
          <a:effectLst/>
        </c:spPr>
      </c:pivotFmt>
      <c:pivotFmt>
        <c:idx val="8"/>
        <c:spPr>
          <a:solidFill>
            <a:srgbClr val="00B0F0"/>
          </a:solidFill>
          <a:ln>
            <a:noFill/>
          </a:ln>
          <a:effectLst/>
        </c:spPr>
      </c:pivotFmt>
      <c:pivotFmt>
        <c:idx val="9"/>
        <c:spPr>
          <a:solidFill>
            <a:srgbClr val="00B0F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ln w="44450" cap="rnd" cmpd="sng">
            <a:solidFill>
              <a:srgbClr val="C00000"/>
            </a:solidFill>
            <a:round/>
          </a:ln>
          <a:effectLst/>
        </c:spPr>
        <c:marker>
          <c:symbol val="circle"/>
          <c:size val="7"/>
          <c:spPr>
            <a:solidFill>
              <a:srgbClr val="00B0F0"/>
            </a:solidFill>
            <a:ln w="9525">
              <a:solidFill>
                <a:schemeClr val="accent2"/>
              </a:solidFill>
            </a:ln>
            <a:effectLst/>
          </c:spPr>
        </c:marker>
      </c:pivotFmt>
      <c:pivotFmt>
        <c:idx val="23"/>
        <c:spPr>
          <a:ln w="44450" cap="rnd" cmpd="sng">
            <a:solidFill>
              <a:srgbClr val="C00000"/>
            </a:solidFill>
            <a:round/>
          </a:ln>
          <a:effectLst/>
        </c:spPr>
        <c:marker>
          <c:symbol val="circle"/>
          <c:size val="7"/>
          <c:spPr>
            <a:solidFill>
              <a:srgbClr val="00B0F0"/>
            </a:solidFill>
            <a:ln w="9525">
              <a:solidFill>
                <a:schemeClr val="accent2"/>
              </a:solidFill>
            </a:ln>
            <a:effectLst/>
          </c:spPr>
        </c:marker>
      </c:pivotFmt>
      <c:pivotFmt>
        <c:idx val="24"/>
        <c:spPr>
          <a:ln w="44450" cap="rnd" cmpd="sng">
            <a:solidFill>
              <a:srgbClr val="C00000"/>
            </a:solidFill>
            <a:round/>
          </a:ln>
          <a:effectLst/>
        </c:spPr>
        <c:marker>
          <c:symbol val="circle"/>
          <c:size val="7"/>
          <c:spPr>
            <a:solidFill>
              <a:srgbClr val="00B050"/>
            </a:solidFill>
            <a:ln w="9525">
              <a:solidFill>
                <a:schemeClr val="accent2"/>
              </a:solidFill>
            </a:ln>
            <a:effectLst/>
          </c:spPr>
        </c:marker>
      </c:pivotFmt>
      <c:pivotFmt>
        <c:idx val="25"/>
        <c:spPr>
          <a:ln w="44450" cap="rnd" cmpd="sng">
            <a:solidFill>
              <a:srgbClr val="C00000"/>
            </a:solidFill>
            <a:round/>
          </a:ln>
          <a:effectLst/>
        </c:spPr>
        <c:marker>
          <c:symbol val="circle"/>
          <c:size val="7"/>
          <c:spPr>
            <a:solidFill>
              <a:srgbClr val="00B050"/>
            </a:solidFill>
            <a:ln w="9525">
              <a:solidFill>
                <a:schemeClr val="accent2"/>
              </a:solidFill>
            </a:ln>
            <a:effectLst/>
          </c:spPr>
        </c:marker>
      </c:pivotFmt>
      <c:pivotFmt>
        <c:idx val="26"/>
        <c:spPr>
          <a:ln w="44450" cap="rnd" cmpd="sng">
            <a:solidFill>
              <a:srgbClr val="C00000"/>
            </a:solidFill>
            <a:round/>
          </a:ln>
          <a:effectLst/>
        </c:spPr>
        <c:marker>
          <c:symbol val="circle"/>
          <c:size val="7"/>
          <c:spPr>
            <a:solidFill>
              <a:srgbClr val="00B050"/>
            </a:solidFill>
            <a:ln w="9525">
              <a:solidFill>
                <a:schemeClr val="accent2"/>
              </a:solidFill>
            </a:ln>
            <a:effectLst/>
          </c:spPr>
        </c:marker>
      </c:pivotFmt>
      <c:pivotFmt>
        <c:idx val="27"/>
        <c:spPr>
          <a:ln w="44450" cap="rnd" cmpd="sng">
            <a:solidFill>
              <a:srgbClr val="C00000"/>
            </a:solidFill>
            <a:round/>
          </a:ln>
          <a:effectLst/>
        </c:spPr>
        <c:marker>
          <c:symbol val="circle"/>
          <c:size val="7"/>
          <c:spPr>
            <a:solidFill>
              <a:schemeClr val="accent1"/>
            </a:solidFill>
            <a:ln w="9525">
              <a:solidFill>
                <a:schemeClr val="accent2"/>
              </a:solidFill>
            </a:ln>
            <a:effectLst/>
          </c:spPr>
        </c:marker>
      </c:pivotFmt>
      <c:pivotFmt>
        <c:idx val="28"/>
        <c:spPr>
          <a:ln w="44450" cap="rnd" cmpd="sng">
            <a:solidFill>
              <a:srgbClr val="C00000"/>
            </a:solidFill>
            <a:round/>
          </a:ln>
          <a:effectLst/>
        </c:spPr>
        <c:marker>
          <c:symbol val="circle"/>
          <c:size val="7"/>
          <c:spPr>
            <a:solidFill>
              <a:schemeClr val="accent1"/>
            </a:solidFill>
            <a:ln w="9525">
              <a:solidFill>
                <a:schemeClr val="accent2"/>
              </a:solidFill>
            </a:ln>
            <a:effectLst/>
          </c:spPr>
        </c:marker>
      </c:pivotFmt>
      <c:pivotFmt>
        <c:idx val="29"/>
        <c:spPr>
          <a:ln w="44450" cap="rnd" cmpd="sng">
            <a:solidFill>
              <a:srgbClr val="C00000"/>
            </a:solidFill>
            <a:round/>
          </a:ln>
          <a:effectLst/>
        </c:spPr>
        <c:marker>
          <c:symbol val="circle"/>
          <c:size val="7"/>
          <c:spPr>
            <a:solidFill>
              <a:schemeClr val="accent1"/>
            </a:solidFill>
            <a:ln w="9525">
              <a:solidFill>
                <a:schemeClr val="accent2"/>
              </a:solidFill>
            </a:ln>
            <a:effectLst/>
          </c:spPr>
        </c:marker>
      </c:pivotFmt>
      <c:pivotFmt>
        <c:idx val="30"/>
        <c:spPr>
          <a:ln w="44450" cap="rnd" cmpd="sng">
            <a:solidFill>
              <a:srgbClr val="C00000"/>
            </a:solidFill>
            <a:round/>
          </a:ln>
          <a:effectLst/>
        </c:spPr>
        <c:marker>
          <c:symbol val="circle"/>
          <c:size val="7"/>
          <c:spPr>
            <a:solidFill>
              <a:schemeClr val="accent1"/>
            </a:solidFill>
            <a:ln w="9525">
              <a:solidFill>
                <a:schemeClr val="accent2"/>
              </a:solidFill>
            </a:ln>
            <a:effectLst/>
          </c:spPr>
        </c:marker>
      </c:pivotFmt>
      <c:pivotFmt>
        <c:idx val="31"/>
        <c:spPr>
          <a:ln w="44450" cap="rnd" cmpd="sng">
            <a:solidFill>
              <a:srgbClr val="C00000"/>
            </a:solidFill>
            <a:round/>
          </a:ln>
          <a:effectLst/>
        </c:spPr>
        <c:marker>
          <c:symbol val="circle"/>
          <c:size val="7"/>
          <c:spPr>
            <a:solidFill>
              <a:schemeClr val="accent2"/>
            </a:solidFill>
            <a:ln w="9525">
              <a:solidFill>
                <a:schemeClr val="accent2"/>
              </a:solidFill>
            </a:ln>
            <a:effectLst/>
          </c:spPr>
        </c:marker>
      </c:pivotFmt>
      <c:pivotFmt>
        <c:idx val="32"/>
        <c:spPr>
          <a:ln w="44450" cap="rnd" cmpd="sng">
            <a:solidFill>
              <a:srgbClr val="C00000"/>
            </a:solidFill>
            <a:round/>
          </a:ln>
          <a:effectLst/>
        </c:spPr>
        <c:marker>
          <c:symbol val="circle"/>
          <c:size val="7"/>
          <c:spPr>
            <a:solidFill>
              <a:schemeClr val="accent2"/>
            </a:solidFill>
            <a:ln w="9525">
              <a:solidFill>
                <a:schemeClr val="accent2"/>
              </a:solidFill>
            </a:ln>
            <a:effectLst/>
          </c:spPr>
        </c:marker>
      </c:pivotFmt>
      <c:pivotFmt>
        <c:idx val="33"/>
        <c:spPr>
          <a:ln w="44450" cap="rnd" cmpd="sng">
            <a:solidFill>
              <a:srgbClr val="C00000"/>
            </a:solidFill>
            <a:round/>
          </a:ln>
          <a:effectLst/>
        </c:spPr>
        <c:marker>
          <c:symbol val="circle"/>
          <c:size val="7"/>
          <c:spPr>
            <a:solidFill>
              <a:schemeClr val="accent2"/>
            </a:solidFill>
            <a:ln w="9525">
              <a:solidFill>
                <a:schemeClr val="accent2"/>
              </a:solidFill>
            </a:ln>
            <a:effectLst/>
          </c:spPr>
        </c:marker>
      </c:pivotFmt>
      <c:pivotFmt>
        <c:idx val="34"/>
        <c:spPr>
          <a:ln w="44450" cap="rnd" cmpd="sng">
            <a:solidFill>
              <a:srgbClr val="C00000"/>
            </a:solidFill>
            <a:round/>
          </a:ln>
          <a:effectLst/>
        </c:spPr>
        <c:marker>
          <c:symbol val="circle"/>
          <c:size val="7"/>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 2'!$C$5</c:f>
              <c:strCache>
                <c:ptCount val="1"/>
                <c:pt idx="0">
                  <c:v>Count of Purchased Cars</c:v>
                </c:pt>
              </c:strCache>
            </c:strRef>
          </c:tx>
          <c:spPr>
            <a:solidFill>
              <a:schemeClr val="accent1">
                <a:lumMod val="75000"/>
              </a:schemeClr>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3-1D9F-4252-B4B4-032AAFA86D61}"/>
              </c:ext>
            </c:extLst>
          </c:dPt>
          <c:dPt>
            <c:idx val="1"/>
            <c:invertIfNegative val="0"/>
            <c:bubble3D val="0"/>
            <c:spPr>
              <a:solidFill>
                <a:srgbClr val="00B0F0"/>
              </a:solidFill>
              <a:ln>
                <a:noFill/>
              </a:ln>
              <a:effectLst/>
            </c:spPr>
            <c:extLst>
              <c:ext xmlns:c16="http://schemas.microsoft.com/office/drawing/2014/chart" uri="{C3380CC4-5D6E-409C-BE32-E72D297353CC}">
                <c16:uniqueId val="{00000004-1D9F-4252-B4B4-032AAFA86D61}"/>
              </c:ext>
            </c:extLst>
          </c:dPt>
          <c:dPt>
            <c:idx val="2"/>
            <c:invertIfNegative val="0"/>
            <c:bubble3D val="0"/>
            <c:spPr>
              <a:solidFill>
                <a:srgbClr val="00B0F0"/>
              </a:solidFill>
              <a:ln>
                <a:noFill/>
              </a:ln>
              <a:effectLst/>
            </c:spPr>
            <c:extLst>
              <c:ext xmlns:c16="http://schemas.microsoft.com/office/drawing/2014/chart" uri="{C3380CC4-5D6E-409C-BE32-E72D297353CC}">
                <c16:uniqueId val="{00000005-1D9F-4252-B4B4-032AAFA86D61}"/>
              </c:ext>
            </c:extLst>
          </c:dPt>
          <c:dPt>
            <c:idx val="3"/>
            <c:invertIfNegative val="0"/>
            <c:bubble3D val="0"/>
            <c:spPr>
              <a:solidFill>
                <a:srgbClr val="00B0F0"/>
              </a:solidFill>
              <a:ln>
                <a:noFill/>
              </a:ln>
              <a:effectLst/>
            </c:spPr>
            <c:extLst>
              <c:ext xmlns:c16="http://schemas.microsoft.com/office/drawing/2014/chart" uri="{C3380CC4-5D6E-409C-BE32-E72D297353CC}">
                <c16:uniqueId val="{00000006-1D9F-4252-B4B4-032AAFA86D61}"/>
              </c:ext>
            </c:extLst>
          </c:dPt>
          <c:dPt>
            <c:idx val="4"/>
            <c:invertIfNegative val="0"/>
            <c:bubble3D val="0"/>
            <c:spPr>
              <a:solidFill>
                <a:srgbClr val="00B050"/>
              </a:solidFill>
              <a:ln>
                <a:noFill/>
              </a:ln>
              <a:effectLst/>
            </c:spPr>
            <c:extLst>
              <c:ext xmlns:c16="http://schemas.microsoft.com/office/drawing/2014/chart" uri="{C3380CC4-5D6E-409C-BE32-E72D297353CC}">
                <c16:uniqueId val="{00000007-1D9F-4252-B4B4-032AAFA86D61}"/>
              </c:ext>
            </c:extLst>
          </c:dPt>
          <c:dPt>
            <c:idx val="5"/>
            <c:invertIfNegative val="0"/>
            <c:bubble3D val="0"/>
            <c:spPr>
              <a:solidFill>
                <a:srgbClr val="00B050"/>
              </a:solidFill>
              <a:ln>
                <a:noFill/>
              </a:ln>
              <a:effectLst/>
            </c:spPr>
            <c:extLst>
              <c:ext xmlns:c16="http://schemas.microsoft.com/office/drawing/2014/chart" uri="{C3380CC4-5D6E-409C-BE32-E72D297353CC}">
                <c16:uniqueId val="{00000008-1D9F-4252-B4B4-032AAFA86D61}"/>
              </c:ext>
            </c:extLst>
          </c:dPt>
          <c:dPt>
            <c:idx val="6"/>
            <c:invertIfNegative val="0"/>
            <c:bubble3D val="0"/>
            <c:spPr>
              <a:solidFill>
                <a:srgbClr val="00B050"/>
              </a:solidFill>
              <a:ln>
                <a:noFill/>
              </a:ln>
              <a:effectLst/>
            </c:spPr>
            <c:extLst>
              <c:ext xmlns:c16="http://schemas.microsoft.com/office/drawing/2014/chart" uri="{C3380CC4-5D6E-409C-BE32-E72D297353CC}">
                <c16:uniqueId val="{00000009-1D9F-4252-B4B4-032AAFA86D61}"/>
              </c:ext>
            </c:extLst>
          </c:dPt>
          <c:dPt>
            <c:idx val="7"/>
            <c:invertIfNegative val="0"/>
            <c:bubble3D val="0"/>
            <c:spPr>
              <a:solidFill>
                <a:srgbClr val="00B050"/>
              </a:solidFill>
              <a:ln>
                <a:noFill/>
              </a:ln>
              <a:effectLst/>
            </c:spPr>
            <c:extLst>
              <c:ext xmlns:c16="http://schemas.microsoft.com/office/drawing/2014/chart" uri="{C3380CC4-5D6E-409C-BE32-E72D297353CC}">
                <c16:uniqueId val="{0000000A-1D9F-4252-B4B4-032AAFA86D61}"/>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F-1D9F-4252-B4B4-032AAFA86D61}"/>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0-1D9F-4252-B4B4-032AAFA86D61}"/>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11-1D9F-4252-B4B4-032AAFA86D61}"/>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2-1D9F-4252-B4B4-032AAFA86D61}"/>
              </c:ext>
            </c:extLst>
          </c:dPt>
          <c:dPt>
            <c:idx val="12"/>
            <c:invertIfNegative val="0"/>
            <c:bubble3D val="0"/>
            <c:spPr>
              <a:solidFill>
                <a:schemeClr val="accent2"/>
              </a:solidFill>
              <a:ln>
                <a:noFill/>
              </a:ln>
              <a:effectLst/>
            </c:spPr>
            <c:extLst>
              <c:ext xmlns:c16="http://schemas.microsoft.com/office/drawing/2014/chart" uri="{C3380CC4-5D6E-409C-BE32-E72D297353CC}">
                <c16:uniqueId val="{0000000B-1D9F-4252-B4B4-032AAFA86D61}"/>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C-1D9F-4252-B4B4-032AAFA86D61}"/>
              </c:ext>
            </c:extLst>
          </c:dPt>
          <c:dPt>
            <c:idx val="14"/>
            <c:invertIfNegative val="0"/>
            <c:bubble3D val="0"/>
            <c:spPr>
              <a:solidFill>
                <a:schemeClr val="accent2"/>
              </a:solidFill>
              <a:ln>
                <a:noFill/>
              </a:ln>
              <a:effectLst/>
            </c:spPr>
            <c:extLst>
              <c:ext xmlns:c16="http://schemas.microsoft.com/office/drawing/2014/chart" uri="{C3380CC4-5D6E-409C-BE32-E72D297353CC}">
                <c16:uniqueId val="{0000000D-1D9F-4252-B4B4-032AAFA86D61}"/>
              </c:ext>
            </c:extLst>
          </c:dPt>
          <c:dPt>
            <c:idx val="15"/>
            <c:invertIfNegative val="0"/>
            <c:bubble3D val="0"/>
            <c:spPr>
              <a:solidFill>
                <a:schemeClr val="accent2"/>
              </a:solidFill>
              <a:ln>
                <a:noFill/>
              </a:ln>
              <a:effectLst/>
            </c:spPr>
            <c:extLst>
              <c:ext xmlns:c16="http://schemas.microsoft.com/office/drawing/2014/chart" uri="{C3380CC4-5D6E-409C-BE32-E72D297353CC}">
                <c16:uniqueId val="{0000000E-1D9F-4252-B4B4-032AAFA86D61}"/>
              </c:ext>
            </c:extLst>
          </c:dPt>
          <c:cat>
            <c:multiLvlStrRef>
              <c:f>'Pivot Table 2'!$A$6:$B$26</c:f>
              <c:multiLvlStrCache>
                <c:ptCount val="16"/>
                <c:lvl>
                  <c:pt idx="0">
                    <c:v>Bachelors</c:v>
                  </c:pt>
                  <c:pt idx="1">
                    <c:v>Graduate Degree</c:v>
                  </c:pt>
                  <c:pt idx="2">
                    <c:v>High School</c:v>
                  </c:pt>
                  <c:pt idx="3">
                    <c:v>Partial College</c:v>
                  </c:pt>
                  <c:pt idx="4">
                    <c:v>Bachelors</c:v>
                  </c:pt>
                  <c:pt idx="5">
                    <c:v>Graduate Degree</c:v>
                  </c:pt>
                  <c:pt idx="6">
                    <c:v>High School</c:v>
                  </c:pt>
                  <c:pt idx="7">
                    <c:v>Partial College</c:v>
                  </c:pt>
                  <c:pt idx="8">
                    <c:v>Bachelors</c:v>
                  </c:pt>
                  <c:pt idx="9">
                    <c:v>Graduate Degree</c:v>
                  </c:pt>
                  <c:pt idx="10">
                    <c:v>High School</c:v>
                  </c:pt>
                  <c:pt idx="11">
                    <c:v>Partial College</c:v>
                  </c:pt>
                  <c:pt idx="12">
                    <c:v>Bachelors</c:v>
                  </c:pt>
                  <c:pt idx="13">
                    <c:v>Graduate Degree</c:v>
                  </c:pt>
                  <c:pt idx="14">
                    <c:v>High School</c:v>
                  </c:pt>
                  <c:pt idx="15">
                    <c:v>Partial College</c:v>
                  </c:pt>
                </c:lvl>
                <c:lvl>
                  <c:pt idx="0">
                    <c:v>Clerical</c:v>
                  </c:pt>
                  <c:pt idx="4">
                    <c:v>Management</c:v>
                  </c:pt>
                  <c:pt idx="8">
                    <c:v>Professional</c:v>
                  </c:pt>
                  <c:pt idx="12">
                    <c:v>Skilled Manual</c:v>
                  </c:pt>
                </c:lvl>
              </c:multiLvlStrCache>
            </c:multiLvlStrRef>
          </c:cat>
          <c:val>
            <c:numRef>
              <c:f>'Pivot Table 2'!$C$6:$C$26</c:f>
              <c:numCache>
                <c:formatCode>General</c:formatCode>
                <c:ptCount val="16"/>
                <c:pt idx="0">
                  <c:v>30</c:v>
                </c:pt>
                <c:pt idx="1">
                  <c:v>33</c:v>
                </c:pt>
                <c:pt idx="2">
                  <c:v>27</c:v>
                </c:pt>
                <c:pt idx="3">
                  <c:v>31</c:v>
                </c:pt>
                <c:pt idx="4">
                  <c:v>19</c:v>
                </c:pt>
                <c:pt idx="5">
                  <c:v>29</c:v>
                </c:pt>
                <c:pt idx="6">
                  <c:v>37</c:v>
                </c:pt>
                <c:pt idx="7">
                  <c:v>29</c:v>
                </c:pt>
                <c:pt idx="8">
                  <c:v>43</c:v>
                </c:pt>
                <c:pt idx="9">
                  <c:v>30</c:v>
                </c:pt>
                <c:pt idx="10">
                  <c:v>32</c:v>
                </c:pt>
                <c:pt idx="11">
                  <c:v>41</c:v>
                </c:pt>
                <c:pt idx="12">
                  <c:v>21</c:v>
                </c:pt>
                <c:pt idx="13">
                  <c:v>36</c:v>
                </c:pt>
                <c:pt idx="14">
                  <c:v>25</c:v>
                </c:pt>
                <c:pt idx="15">
                  <c:v>28</c:v>
                </c:pt>
              </c:numCache>
            </c:numRef>
          </c:val>
          <c:extLst>
            <c:ext xmlns:c16="http://schemas.microsoft.com/office/drawing/2014/chart" uri="{C3380CC4-5D6E-409C-BE32-E72D297353CC}">
              <c16:uniqueId val="{00000000-1D9F-4252-B4B4-032AAFA86D61}"/>
            </c:ext>
          </c:extLst>
        </c:ser>
        <c:dLbls>
          <c:showLegendKey val="0"/>
          <c:showVal val="0"/>
          <c:showCatName val="0"/>
          <c:showSerName val="0"/>
          <c:showPercent val="0"/>
          <c:showBubbleSize val="0"/>
        </c:dLbls>
        <c:gapWidth val="219"/>
        <c:axId val="1898416687"/>
        <c:axId val="1898410031"/>
      </c:barChart>
      <c:lineChart>
        <c:grouping val="standard"/>
        <c:varyColors val="0"/>
        <c:ser>
          <c:idx val="1"/>
          <c:order val="1"/>
          <c:tx>
            <c:strRef>
              <c:f>'Pivot Table 2'!$D$5</c:f>
              <c:strCache>
                <c:ptCount val="1"/>
                <c:pt idx="0">
                  <c:v>Average of Income</c:v>
                </c:pt>
              </c:strCache>
            </c:strRef>
          </c:tx>
          <c:spPr>
            <a:ln w="44450" cap="rnd" cmpd="sng">
              <a:solidFill>
                <a:srgbClr val="C00000"/>
              </a:solidFill>
              <a:round/>
            </a:ln>
            <a:effectLst/>
          </c:spPr>
          <c:marker>
            <c:symbol val="circle"/>
            <c:size val="7"/>
            <c:spPr>
              <a:solidFill>
                <a:srgbClr val="00B0F0"/>
              </a:solidFill>
              <a:ln w="9525">
                <a:solidFill>
                  <a:schemeClr val="accent2"/>
                </a:solidFill>
              </a:ln>
              <a:effectLst/>
            </c:spPr>
          </c:marker>
          <c:dPt>
            <c:idx val="4"/>
            <c:marker>
              <c:symbol val="circle"/>
              <c:size val="7"/>
              <c:spPr>
                <a:solidFill>
                  <a:srgbClr val="00B050"/>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5-1D9F-4252-B4B4-032AAFA86D61}"/>
              </c:ext>
            </c:extLst>
          </c:dPt>
          <c:dPt>
            <c:idx val="5"/>
            <c:marker>
              <c:symbol val="circle"/>
              <c:size val="7"/>
              <c:spPr>
                <a:solidFill>
                  <a:srgbClr val="00B050"/>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6-1D9F-4252-B4B4-032AAFA86D61}"/>
              </c:ext>
            </c:extLst>
          </c:dPt>
          <c:dPt>
            <c:idx val="6"/>
            <c:marker>
              <c:symbol val="circle"/>
              <c:size val="7"/>
              <c:spPr>
                <a:solidFill>
                  <a:srgbClr val="00B050"/>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7-1D9F-4252-B4B4-032AAFA86D61}"/>
              </c:ext>
            </c:extLst>
          </c:dPt>
          <c:dPt>
            <c:idx val="8"/>
            <c:marker>
              <c:symbol val="circle"/>
              <c:size val="7"/>
              <c:spPr>
                <a:solidFill>
                  <a:schemeClr val="accent1"/>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8-1D9F-4252-B4B4-032AAFA86D61}"/>
              </c:ext>
            </c:extLst>
          </c:dPt>
          <c:dPt>
            <c:idx val="9"/>
            <c:marker>
              <c:symbol val="circle"/>
              <c:size val="7"/>
              <c:spPr>
                <a:solidFill>
                  <a:schemeClr val="accent1"/>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9-1D9F-4252-B4B4-032AAFA86D61}"/>
              </c:ext>
            </c:extLst>
          </c:dPt>
          <c:dPt>
            <c:idx val="10"/>
            <c:marker>
              <c:symbol val="circle"/>
              <c:size val="7"/>
              <c:spPr>
                <a:solidFill>
                  <a:schemeClr val="accent1"/>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A-1D9F-4252-B4B4-032AAFA86D61}"/>
              </c:ext>
            </c:extLst>
          </c:dPt>
          <c:dPt>
            <c:idx val="11"/>
            <c:marker>
              <c:symbol val="circle"/>
              <c:size val="7"/>
              <c:spPr>
                <a:solidFill>
                  <a:schemeClr val="accent1"/>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B-1D9F-4252-B4B4-032AAFA86D61}"/>
              </c:ext>
            </c:extLst>
          </c:dPt>
          <c:dPt>
            <c:idx val="12"/>
            <c:marker>
              <c:symbol val="circle"/>
              <c:size val="7"/>
              <c:spPr>
                <a:solidFill>
                  <a:schemeClr val="accent2"/>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C-1D9F-4252-B4B4-032AAFA86D61}"/>
              </c:ext>
            </c:extLst>
          </c:dPt>
          <c:dPt>
            <c:idx val="13"/>
            <c:marker>
              <c:symbol val="circle"/>
              <c:size val="7"/>
              <c:spPr>
                <a:solidFill>
                  <a:schemeClr val="accent2"/>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D-1D9F-4252-B4B4-032AAFA86D61}"/>
              </c:ext>
            </c:extLst>
          </c:dPt>
          <c:dPt>
            <c:idx val="14"/>
            <c:marker>
              <c:symbol val="circle"/>
              <c:size val="7"/>
              <c:spPr>
                <a:solidFill>
                  <a:schemeClr val="accent2"/>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E-1D9F-4252-B4B4-032AAFA86D61}"/>
              </c:ext>
            </c:extLst>
          </c:dPt>
          <c:dPt>
            <c:idx val="15"/>
            <c:marker>
              <c:symbol val="circle"/>
              <c:size val="7"/>
              <c:spPr>
                <a:solidFill>
                  <a:schemeClr val="accent2"/>
                </a:solidFill>
                <a:ln w="9525">
                  <a:solidFill>
                    <a:schemeClr val="accent2"/>
                  </a:solidFill>
                </a:ln>
                <a:effectLst/>
              </c:spPr>
            </c:marker>
            <c:bubble3D val="0"/>
            <c:spPr>
              <a:ln w="44450" cap="rnd" cmpd="sng">
                <a:solidFill>
                  <a:srgbClr val="C00000"/>
                </a:solidFill>
                <a:round/>
              </a:ln>
              <a:effectLst/>
            </c:spPr>
            <c:extLst>
              <c:ext xmlns:c16="http://schemas.microsoft.com/office/drawing/2014/chart" uri="{C3380CC4-5D6E-409C-BE32-E72D297353CC}">
                <c16:uniqueId val="{0000001F-1D9F-4252-B4B4-032AAFA86D61}"/>
              </c:ext>
            </c:extLst>
          </c:dPt>
          <c:cat>
            <c:multiLvlStrRef>
              <c:f>'Pivot Table 2'!$A$6:$B$26</c:f>
              <c:multiLvlStrCache>
                <c:ptCount val="16"/>
                <c:lvl>
                  <c:pt idx="0">
                    <c:v>Bachelors</c:v>
                  </c:pt>
                  <c:pt idx="1">
                    <c:v>Graduate Degree</c:v>
                  </c:pt>
                  <c:pt idx="2">
                    <c:v>High School</c:v>
                  </c:pt>
                  <c:pt idx="3">
                    <c:v>Partial College</c:v>
                  </c:pt>
                  <c:pt idx="4">
                    <c:v>Bachelors</c:v>
                  </c:pt>
                  <c:pt idx="5">
                    <c:v>Graduate Degree</c:v>
                  </c:pt>
                  <c:pt idx="6">
                    <c:v>High School</c:v>
                  </c:pt>
                  <c:pt idx="7">
                    <c:v>Partial College</c:v>
                  </c:pt>
                  <c:pt idx="8">
                    <c:v>Bachelors</c:v>
                  </c:pt>
                  <c:pt idx="9">
                    <c:v>Graduate Degree</c:v>
                  </c:pt>
                  <c:pt idx="10">
                    <c:v>High School</c:v>
                  </c:pt>
                  <c:pt idx="11">
                    <c:v>Partial College</c:v>
                  </c:pt>
                  <c:pt idx="12">
                    <c:v>Bachelors</c:v>
                  </c:pt>
                  <c:pt idx="13">
                    <c:v>Graduate Degree</c:v>
                  </c:pt>
                  <c:pt idx="14">
                    <c:v>High School</c:v>
                  </c:pt>
                  <c:pt idx="15">
                    <c:v>Partial College</c:v>
                  </c:pt>
                </c:lvl>
                <c:lvl>
                  <c:pt idx="0">
                    <c:v>Clerical</c:v>
                  </c:pt>
                  <c:pt idx="4">
                    <c:v>Management</c:v>
                  </c:pt>
                  <c:pt idx="8">
                    <c:v>Professional</c:v>
                  </c:pt>
                  <c:pt idx="12">
                    <c:v>Skilled Manual</c:v>
                  </c:pt>
                </c:lvl>
              </c:multiLvlStrCache>
            </c:multiLvlStrRef>
          </c:cat>
          <c:val>
            <c:numRef>
              <c:f>'Pivot Table 2'!$D$6:$D$26</c:f>
              <c:numCache>
                <c:formatCode>0.000</c:formatCode>
                <c:ptCount val="16"/>
                <c:pt idx="0">
                  <c:v>88094.2</c:v>
                </c:pt>
                <c:pt idx="1">
                  <c:v>78357.090909090912</c:v>
                </c:pt>
                <c:pt idx="2">
                  <c:v>70970</c:v>
                </c:pt>
                <c:pt idx="3">
                  <c:v>71571</c:v>
                </c:pt>
                <c:pt idx="4">
                  <c:v>71314.578947368427</c:v>
                </c:pt>
                <c:pt idx="5">
                  <c:v>70913.896551724145</c:v>
                </c:pt>
                <c:pt idx="6">
                  <c:v>71707.4054054054</c:v>
                </c:pt>
                <c:pt idx="7">
                  <c:v>63630.448275862072</c:v>
                </c:pt>
                <c:pt idx="8">
                  <c:v>62447.58139534884</c:v>
                </c:pt>
                <c:pt idx="9">
                  <c:v>76728.166666666672</c:v>
                </c:pt>
                <c:pt idx="10">
                  <c:v>64976.1875</c:v>
                </c:pt>
                <c:pt idx="11">
                  <c:v>74426.560975609755</c:v>
                </c:pt>
                <c:pt idx="12">
                  <c:v>75474.380952380947</c:v>
                </c:pt>
                <c:pt idx="13">
                  <c:v>66212.416666666672</c:v>
                </c:pt>
                <c:pt idx="14">
                  <c:v>66479.08</c:v>
                </c:pt>
                <c:pt idx="15">
                  <c:v>67416.357142857145</c:v>
                </c:pt>
              </c:numCache>
            </c:numRef>
          </c:val>
          <c:smooth val="0"/>
          <c:extLst>
            <c:ext xmlns:c16="http://schemas.microsoft.com/office/drawing/2014/chart" uri="{C3380CC4-5D6E-409C-BE32-E72D297353CC}">
              <c16:uniqueId val="{00000001-1D9F-4252-B4B4-032AAFA86D61}"/>
            </c:ext>
          </c:extLst>
        </c:ser>
        <c:dLbls>
          <c:showLegendKey val="0"/>
          <c:showVal val="0"/>
          <c:showCatName val="0"/>
          <c:showSerName val="0"/>
          <c:showPercent val="0"/>
          <c:showBubbleSize val="0"/>
        </c:dLbls>
        <c:marker val="1"/>
        <c:smooth val="0"/>
        <c:axId val="1721998447"/>
        <c:axId val="1722012591"/>
      </c:lineChart>
      <c:catAx>
        <c:axId val="189841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98410031"/>
        <c:crosses val="autoZero"/>
        <c:auto val="1"/>
        <c:lblAlgn val="ctr"/>
        <c:lblOffset val="100"/>
        <c:noMultiLvlLbl val="0"/>
      </c:catAx>
      <c:valAx>
        <c:axId val="18984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16687"/>
        <c:crosses val="autoZero"/>
        <c:crossBetween val="between"/>
      </c:valAx>
      <c:valAx>
        <c:axId val="1722012591"/>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98447"/>
        <c:crosses val="max"/>
        <c:crossBetween val="between"/>
      </c:valAx>
      <c:catAx>
        <c:axId val="1721998447"/>
        <c:scaling>
          <c:orientation val="minMax"/>
        </c:scaling>
        <c:delete val="1"/>
        <c:axPos val="b"/>
        <c:numFmt formatCode="General" sourceLinked="1"/>
        <c:majorTickMark val="out"/>
        <c:minorTickMark val="none"/>
        <c:tickLblPos val="nextTo"/>
        <c:crossAx val="17220125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1!PivotTable17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1'!$B$1:$B$2</c:f>
              <c:strCache>
                <c:ptCount val="1"/>
                <c:pt idx="0">
                  <c:v>No</c:v>
                </c:pt>
              </c:strCache>
            </c:strRef>
          </c:tx>
          <c:spPr>
            <a:solidFill>
              <a:schemeClr val="accent1"/>
            </a:solidFill>
            <a:ln>
              <a:noFill/>
            </a:ln>
            <a:effectLst/>
          </c:spPr>
          <c:invertIfNegative val="0"/>
          <c:cat>
            <c:strRef>
              <c:f>'Pivot Table 1'!$A$3:$A$5</c:f>
              <c:strCache>
                <c:ptCount val="2"/>
                <c:pt idx="0">
                  <c:v>Female</c:v>
                </c:pt>
                <c:pt idx="1">
                  <c:v>Male</c:v>
                </c:pt>
              </c:strCache>
            </c:strRef>
          </c:cat>
          <c:val>
            <c:numRef>
              <c:f>'Pivot Table 1'!$B$3:$B$5</c:f>
              <c:numCache>
                <c:formatCode>0</c:formatCode>
                <c:ptCount val="2"/>
                <c:pt idx="0">
                  <c:v>67697.399267399262</c:v>
                </c:pt>
                <c:pt idx="1">
                  <c:v>69398.1484375</c:v>
                </c:pt>
              </c:numCache>
            </c:numRef>
          </c:val>
          <c:extLst>
            <c:ext xmlns:c16="http://schemas.microsoft.com/office/drawing/2014/chart" uri="{C3380CC4-5D6E-409C-BE32-E72D297353CC}">
              <c16:uniqueId val="{00000000-D5D6-4264-829B-2939820A45A6}"/>
            </c:ext>
          </c:extLst>
        </c:ser>
        <c:ser>
          <c:idx val="1"/>
          <c:order val="1"/>
          <c:tx>
            <c:strRef>
              <c:f>'Pivot Table 1'!$C$1:$C$2</c:f>
              <c:strCache>
                <c:ptCount val="1"/>
                <c:pt idx="0">
                  <c:v>Yes</c:v>
                </c:pt>
              </c:strCache>
            </c:strRef>
          </c:tx>
          <c:spPr>
            <a:solidFill>
              <a:schemeClr val="accent2"/>
            </a:solidFill>
            <a:ln>
              <a:noFill/>
            </a:ln>
            <a:effectLst/>
          </c:spPr>
          <c:invertIfNegative val="0"/>
          <c:cat>
            <c:strRef>
              <c:f>'Pivot Table 1'!$A$3:$A$5</c:f>
              <c:strCache>
                <c:ptCount val="2"/>
                <c:pt idx="0">
                  <c:v>Female</c:v>
                </c:pt>
                <c:pt idx="1">
                  <c:v>Male</c:v>
                </c:pt>
              </c:strCache>
            </c:strRef>
          </c:cat>
          <c:val>
            <c:numRef>
              <c:f>'Pivot Table 1'!$C$3:$C$5</c:f>
              <c:numCache>
                <c:formatCode>0</c:formatCode>
                <c:ptCount val="2"/>
                <c:pt idx="0">
                  <c:v>71140.585271317832</c:v>
                </c:pt>
                <c:pt idx="1">
                  <c:v>71052.484978540771</c:v>
                </c:pt>
              </c:numCache>
            </c:numRef>
          </c:val>
          <c:extLst>
            <c:ext xmlns:c16="http://schemas.microsoft.com/office/drawing/2014/chart" uri="{C3380CC4-5D6E-409C-BE32-E72D297353CC}">
              <c16:uniqueId val="{00000001-D5D6-4264-829B-2939820A45A6}"/>
            </c:ext>
          </c:extLst>
        </c:ser>
        <c:dLbls>
          <c:showLegendKey val="0"/>
          <c:showVal val="0"/>
          <c:showCatName val="0"/>
          <c:showSerName val="0"/>
          <c:showPercent val="0"/>
          <c:showBubbleSize val="0"/>
        </c:dLbls>
        <c:gapWidth val="219"/>
        <c:overlap val="-27"/>
        <c:axId val="1721997199"/>
        <c:axId val="1721999279"/>
      </c:barChart>
      <c:catAx>
        <c:axId val="172199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99279"/>
        <c:crosses val="autoZero"/>
        <c:auto val="1"/>
        <c:lblAlgn val="ctr"/>
        <c:lblOffset val="100"/>
        <c:noMultiLvlLbl val="0"/>
      </c:catAx>
      <c:valAx>
        <c:axId val="1721999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9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1!PivotTable19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1'!$B$23:$B$24</c:f>
              <c:strCache>
                <c:ptCount val="1"/>
                <c:pt idx="0">
                  <c:v>No</c:v>
                </c:pt>
              </c:strCache>
            </c:strRef>
          </c:tx>
          <c:spPr>
            <a:solidFill>
              <a:schemeClr val="accent1"/>
            </a:solidFill>
            <a:ln>
              <a:noFill/>
            </a:ln>
            <a:effectLst/>
          </c:spPr>
          <c:invertIfNegative val="0"/>
          <c:cat>
            <c:strRef>
              <c:f>'Pivot Table 1'!$A$25:$A$30</c:f>
              <c:strCache>
                <c:ptCount val="5"/>
                <c:pt idx="0">
                  <c:v>0–1 Kilometre</c:v>
                </c:pt>
                <c:pt idx="1">
                  <c:v>1–2 Kilometre</c:v>
                </c:pt>
                <c:pt idx="2">
                  <c:v>2–4 Kilometre</c:v>
                </c:pt>
                <c:pt idx="3">
                  <c:v>4–6 Kilometre</c:v>
                </c:pt>
                <c:pt idx="4">
                  <c:v>6+ Kilometre</c:v>
                </c:pt>
              </c:strCache>
            </c:strRef>
          </c:cat>
          <c:val>
            <c:numRef>
              <c:f>'Pivot Table 1'!$B$25:$B$30</c:f>
              <c:numCache>
                <c:formatCode>0</c:formatCode>
                <c:ptCount val="5"/>
                <c:pt idx="0">
                  <c:v>100</c:v>
                </c:pt>
                <c:pt idx="1">
                  <c:v>117</c:v>
                </c:pt>
                <c:pt idx="2">
                  <c:v>99</c:v>
                </c:pt>
                <c:pt idx="3">
                  <c:v>117</c:v>
                </c:pt>
                <c:pt idx="4">
                  <c:v>96</c:v>
                </c:pt>
              </c:numCache>
            </c:numRef>
          </c:val>
          <c:extLst>
            <c:ext xmlns:c16="http://schemas.microsoft.com/office/drawing/2014/chart" uri="{C3380CC4-5D6E-409C-BE32-E72D297353CC}">
              <c16:uniqueId val="{00000000-39D0-4BD1-8F00-3E9BC292840F}"/>
            </c:ext>
          </c:extLst>
        </c:ser>
        <c:ser>
          <c:idx val="1"/>
          <c:order val="1"/>
          <c:tx>
            <c:strRef>
              <c:f>'Pivot Table 1'!$C$23:$C$24</c:f>
              <c:strCache>
                <c:ptCount val="1"/>
                <c:pt idx="0">
                  <c:v>Yes</c:v>
                </c:pt>
              </c:strCache>
            </c:strRef>
          </c:tx>
          <c:spPr>
            <a:solidFill>
              <a:schemeClr val="accent2"/>
            </a:solidFill>
            <a:ln>
              <a:noFill/>
            </a:ln>
            <a:effectLst/>
          </c:spPr>
          <c:invertIfNegative val="0"/>
          <c:cat>
            <c:strRef>
              <c:f>'Pivot Table 1'!$A$25:$A$30</c:f>
              <c:strCache>
                <c:ptCount val="5"/>
                <c:pt idx="0">
                  <c:v>0–1 Kilometre</c:v>
                </c:pt>
                <c:pt idx="1">
                  <c:v>1–2 Kilometre</c:v>
                </c:pt>
                <c:pt idx="2">
                  <c:v>2–4 Kilometre</c:v>
                </c:pt>
                <c:pt idx="3">
                  <c:v>4–6 Kilometre</c:v>
                </c:pt>
                <c:pt idx="4">
                  <c:v>6+ Kilometre</c:v>
                </c:pt>
              </c:strCache>
            </c:strRef>
          </c:cat>
          <c:val>
            <c:numRef>
              <c:f>'Pivot Table 1'!$C$25:$C$30</c:f>
              <c:numCache>
                <c:formatCode>0</c:formatCode>
                <c:ptCount val="5"/>
                <c:pt idx="0">
                  <c:v>100</c:v>
                </c:pt>
                <c:pt idx="1">
                  <c:v>112</c:v>
                </c:pt>
                <c:pt idx="2">
                  <c:v>106</c:v>
                </c:pt>
                <c:pt idx="3">
                  <c:v>81</c:v>
                </c:pt>
                <c:pt idx="4">
                  <c:v>92</c:v>
                </c:pt>
              </c:numCache>
            </c:numRef>
          </c:val>
          <c:extLst>
            <c:ext xmlns:c16="http://schemas.microsoft.com/office/drawing/2014/chart" uri="{C3380CC4-5D6E-409C-BE32-E72D297353CC}">
              <c16:uniqueId val="{00000001-39D0-4BD1-8F00-3E9BC292840F}"/>
            </c:ext>
          </c:extLst>
        </c:ser>
        <c:dLbls>
          <c:showLegendKey val="0"/>
          <c:showVal val="0"/>
          <c:showCatName val="0"/>
          <c:showSerName val="0"/>
          <c:showPercent val="0"/>
          <c:showBubbleSize val="0"/>
        </c:dLbls>
        <c:gapWidth val="219"/>
        <c:overlap val="-27"/>
        <c:axId val="1898400879"/>
        <c:axId val="1898398383"/>
      </c:barChart>
      <c:catAx>
        <c:axId val="189840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98383"/>
        <c:crosses val="autoZero"/>
        <c:auto val="1"/>
        <c:lblAlgn val="ctr"/>
        <c:lblOffset val="100"/>
        <c:noMultiLvlLbl val="0"/>
      </c:catAx>
      <c:valAx>
        <c:axId val="1898398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0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1'!$B$45:$B$46</c:f>
              <c:strCache>
                <c:ptCount val="1"/>
                <c:pt idx="0">
                  <c:v>No</c:v>
                </c:pt>
              </c:strCache>
            </c:strRef>
          </c:tx>
          <c:spPr>
            <a:solidFill>
              <a:schemeClr val="accent1"/>
            </a:solidFill>
            <a:ln>
              <a:noFill/>
            </a:ln>
            <a:effectLst/>
          </c:spPr>
          <c:invertIfNegative val="0"/>
          <c:cat>
            <c:strRef>
              <c:f>'Pivot Table 1'!$A$47:$A$50</c:f>
              <c:strCache>
                <c:ptCount val="3"/>
                <c:pt idx="0">
                  <c:v>Adolescent</c:v>
                </c:pt>
                <c:pt idx="1">
                  <c:v>Middle Age </c:v>
                </c:pt>
                <c:pt idx="2">
                  <c:v>Old </c:v>
                </c:pt>
              </c:strCache>
            </c:strRef>
          </c:cat>
          <c:val>
            <c:numRef>
              <c:f>'Pivot Table 1'!$B$47:$B$50</c:f>
              <c:numCache>
                <c:formatCode>0</c:formatCode>
                <c:ptCount val="3"/>
                <c:pt idx="0">
                  <c:v>119</c:v>
                </c:pt>
                <c:pt idx="1">
                  <c:v>265</c:v>
                </c:pt>
                <c:pt idx="2">
                  <c:v>145</c:v>
                </c:pt>
              </c:numCache>
            </c:numRef>
          </c:val>
          <c:extLst>
            <c:ext xmlns:c16="http://schemas.microsoft.com/office/drawing/2014/chart" uri="{C3380CC4-5D6E-409C-BE32-E72D297353CC}">
              <c16:uniqueId val="{00000000-4DE9-4D1C-AAD0-26BC5F2B8134}"/>
            </c:ext>
          </c:extLst>
        </c:ser>
        <c:ser>
          <c:idx val="1"/>
          <c:order val="1"/>
          <c:tx>
            <c:strRef>
              <c:f>'Pivot Table 1'!$C$45:$C$46</c:f>
              <c:strCache>
                <c:ptCount val="1"/>
                <c:pt idx="0">
                  <c:v>Yes</c:v>
                </c:pt>
              </c:strCache>
            </c:strRef>
          </c:tx>
          <c:spPr>
            <a:solidFill>
              <a:schemeClr val="accent2"/>
            </a:solidFill>
            <a:ln>
              <a:noFill/>
            </a:ln>
            <a:effectLst/>
          </c:spPr>
          <c:invertIfNegative val="0"/>
          <c:cat>
            <c:strRef>
              <c:f>'Pivot Table 1'!$A$47:$A$50</c:f>
              <c:strCache>
                <c:ptCount val="3"/>
                <c:pt idx="0">
                  <c:v>Adolescent</c:v>
                </c:pt>
                <c:pt idx="1">
                  <c:v>Middle Age </c:v>
                </c:pt>
                <c:pt idx="2">
                  <c:v>Old </c:v>
                </c:pt>
              </c:strCache>
            </c:strRef>
          </c:cat>
          <c:val>
            <c:numRef>
              <c:f>'Pivot Table 1'!$C$47:$C$50</c:f>
              <c:numCache>
                <c:formatCode>0</c:formatCode>
                <c:ptCount val="3"/>
                <c:pt idx="0">
                  <c:v>105</c:v>
                </c:pt>
                <c:pt idx="1">
                  <c:v>238</c:v>
                </c:pt>
                <c:pt idx="2">
                  <c:v>148</c:v>
                </c:pt>
              </c:numCache>
            </c:numRef>
          </c:val>
          <c:extLst>
            <c:ext xmlns:c16="http://schemas.microsoft.com/office/drawing/2014/chart" uri="{C3380CC4-5D6E-409C-BE32-E72D297353CC}">
              <c16:uniqueId val="{00000001-4DE9-4D1C-AAD0-26BC5F2B8134}"/>
            </c:ext>
          </c:extLst>
        </c:ser>
        <c:dLbls>
          <c:showLegendKey val="0"/>
          <c:showVal val="0"/>
          <c:showCatName val="0"/>
          <c:showSerName val="0"/>
          <c:showPercent val="0"/>
          <c:showBubbleSize val="0"/>
        </c:dLbls>
        <c:gapWidth val="219"/>
        <c:overlap val="-27"/>
        <c:axId val="1725107919"/>
        <c:axId val="1725108335"/>
      </c:barChart>
      <c:catAx>
        <c:axId val="172510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08335"/>
        <c:crosses val="autoZero"/>
        <c:auto val="1"/>
        <c:lblAlgn val="ctr"/>
        <c:lblOffset val="100"/>
        <c:noMultiLvlLbl val="0"/>
      </c:catAx>
      <c:valAx>
        <c:axId val="172510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1!PivotTable21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1'!$B$68:$B$69</c:f>
              <c:strCache>
                <c:ptCount val="1"/>
                <c:pt idx="0">
                  <c:v>No</c:v>
                </c:pt>
              </c:strCache>
            </c:strRef>
          </c:tx>
          <c:spPr>
            <a:solidFill>
              <a:schemeClr val="accent1"/>
            </a:solidFill>
            <a:ln>
              <a:noFill/>
            </a:ln>
            <a:effectLst/>
          </c:spPr>
          <c:invertIfNegative val="0"/>
          <c:cat>
            <c:strRef>
              <c:f>'Pivot Table 1'!$A$70:$A$72</c:f>
              <c:strCache>
                <c:ptCount val="2"/>
                <c:pt idx="0">
                  <c:v>No</c:v>
                </c:pt>
                <c:pt idx="1">
                  <c:v>Yes</c:v>
                </c:pt>
              </c:strCache>
            </c:strRef>
          </c:cat>
          <c:val>
            <c:numRef>
              <c:f>'Pivot Table 1'!$B$70:$B$72</c:f>
              <c:numCache>
                <c:formatCode>0</c:formatCode>
                <c:ptCount val="2"/>
                <c:pt idx="0">
                  <c:v>282</c:v>
                </c:pt>
                <c:pt idx="1">
                  <c:v>247</c:v>
                </c:pt>
              </c:numCache>
            </c:numRef>
          </c:val>
          <c:extLst>
            <c:ext xmlns:c16="http://schemas.microsoft.com/office/drawing/2014/chart" uri="{C3380CC4-5D6E-409C-BE32-E72D297353CC}">
              <c16:uniqueId val="{00000000-E631-4F18-88C6-7AD660B294BB}"/>
            </c:ext>
          </c:extLst>
        </c:ser>
        <c:ser>
          <c:idx val="1"/>
          <c:order val="1"/>
          <c:tx>
            <c:strRef>
              <c:f>'Pivot Table 1'!$C$68:$C$69</c:f>
              <c:strCache>
                <c:ptCount val="1"/>
                <c:pt idx="0">
                  <c:v>Yes</c:v>
                </c:pt>
              </c:strCache>
            </c:strRef>
          </c:tx>
          <c:spPr>
            <a:solidFill>
              <a:schemeClr val="accent2"/>
            </a:solidFill>
            <a:ln>
              <a:noFill/>
            </a:ln>
            <a:effectLst/>
          </c:spPr>
          <c:invertIfNegative val="0"/>
          <c:cat>
            <c:strRef>
              <c:f>'Pivot Table 1'!$A$70:$A$72</c:f>
              <c:strCache>
                <c:ptCount val="2"/>
                <c:pt idx="0">
                  <c:v>No</c:v>
                </c:pt>
                <c:pt idx="1">
                  <c:v>Yes</c:v>
                </c:pt>
              </c:strCache>
            </c:strRef>
          </c:cat>
          <c:val>
            <c:numRef>
              <c:f>'Pivot Table 1'!$C$70:$C$72</c:f>
              <c:numCache>
                <c:formatCode>0</c:formatCode>
                <c:ptCount val="2"/>
                <c:pt idx="0">
                  <c:v>258</c:v>
                </c:pt>
                <c:pt idx="1">
                  <c:v>233</c:v>
                </c:pt>
              </c:numCache>
            </c:numRef>
          </c:val>
          <c:extLst>
            <c:ext xmlns:c16="http://schemas.microsoft.com/office/drawing/2014/chart" uri="{C3380CC4-5D6E-409C-BE32-E72D297353CC}">
              <c16:uniqueId val="{00000001-E631-4F18-88C6-7AD660B294BB}"/>
            </c:ext>
          </c:extLst>
        </c:ser>
        <c:dLbls>
          <c:showLegendKey val="0"/>
          <c:showVal val="0"/>
          <c:showCatName val="0"/>
          <c:showSerName val="0"/>
          <c:showPercent val="0"/>
          <c:showBubbleSize val="0"/>
        </c:dLbls>
        <c:gapWidth val="219"/>
        <c:overlap val="-27"/>
        <c:axId val="1725096687"/>
        <c:axId val="1725100015"/>
      </c:barChart>
      <c:catAx>
        <c:axId val="172509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00015"/>
        <c:crosses val="autoZero"/>
        <c:auto val="1"/>
        <c:lblAlgn val="ctr"/>
        <c:lblOffset val="100"/>
        <c:noMultiLvlLbl val="0"/>
      </c:catAx>
      <c:valAx>
        <c:axId val="1725100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9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01.xlsx]Pivot Table 2!PivotTable24</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2'!$C$5</c:f>
              <c:strCache>
                <c:ptCount val="1"/>
                <c:pt idx="0">
                  <c:v>Count of Purchased Cars</c:v>
                </c:pt>
              </c:strCache>
            </c:strRef>
          </c:tx>
          <c:spPr>
            <a:solidFill>
              <a:schemeClr val="accent1"/>
            </a:solidFill>
            <a:ln>
              <a:noFill/>
            </a:ln>
            <a:effectLst/>
          </c:spPr>
          <c:invertIfNegative val="0"/>
          <c:cat>
            <c:multiLvlStrRef>
              <c:f>'Pivot Table 2'!$A$6:$B$26</c:f>
              <c:multiLvlStrCache>
                <c:ptCount val="16"/>
                <c:lvl>
                  <c:pt idx="0">
                    <c:v>Bachelors</c:v>
                  </c:pt>
                  <c:pt idx="1">
                    <c:v>Graduate Degree</c:v>
                  </c:pt>
                  <c:pt idx="2">
                    <c:v>High School</c:v>
                  </c:pt>
                  <c:pt idx="3">
                    <c:v>Partial College</c:v>
                  </c:pt>
                  <c:pt idx="4">
                    <c:v>Bachelors</c:v>
                  </c:pt>
                  <c:pt idx="5">
                    <c:v>Graduate Degree</c:v>
                  </c:pt>
                  <c:pt idx="6">
                    <c:v>High School</c:v>
                  </c:pt>
                  <c:pt idx="7">
                    <c:v>Partial College</c:v>
                  </c:pt>
                  <c:pt idx="8">
                    <c:v>Bachelors</c:v>
                  </c:pt>
                  <c:pt idx="9">
                    <c:v>Graduate Degree</c:v>
                  </c:pt>
                  <c:pt idx="10">
                    <c:v>High School</c:v>
                  </c:pt>
                  <c:pt idx="11">
                    <c:v>Partial College</c:v>
                  </c:pt>
                  <c:pt idx="12">
                    <c:v>Bachelors</c:v>
                  </c:pt>
                  <c:pt idx="13">
                    <c:v>Graduate Degree</c:v>
                  </c:pt>
                  <c:pt idx="14">
                    <c:v>High School</c:v>
                  </c:pt>
                  <c:pt idx="15">
                    <c:v>Partial College</c:v>
                  </c:pt>
                </c:lvl>
                <c:lvl>
                  <c:pt idx="0">
                    <c:v>Clerical</c:v>
                  </c:pt>
                  <c:pt idx="4">
                    <c:v>Management</c:v>
                  </c:pt>
                  <c:pt idx="8">
                    <c:v>Professional</c:v>
                  </c:pt>
                  <c:pt idx="12">
                    <c:v>Skilled Manual</c:v>
                  </c:pt>
                </c:lvl>
              </c:multiLvlStrCache>
            </c:multiLvlStrRef>
          </c:cat>
          <c:val>
            <c:numRef>
              <c:f>'Pivot Table 2'!$C$6:$C$26</c:f>
              <c:numCache>
                <c:formatCode>General</c:formatCode>
                <c:ptCount val="16"/>
                <c:pt idx="0">
                  <c:v>30</c:v>
                </c:pt>
                <c:pt idx="1">
                  <c:v>33</c:v>
                </c:pt>
                <c:pt idx="2">
                  <c:v>27</c:v>
                </c:pt>
                <c:pt idx="3">
                  <c:v>31</c:v>
                </c:pt>
                <c:pt idx="4">
                  <c:v>19</c:v>
                </c:pt>
                <c:pt idx="5">
                  <c:v>29</c:v>
                </c:pt>
                <c:pt idx="6">
                  <c:v>37</c:v>
                </c:pt>
                <c:pt idx="7">
                  <c:v>29</c:v>
                </c:pt>
                <c:pt idx="8">
                  <c:v>43</c:v>
                </c:pt>
                <c:pt idx="9">
                  <c:v>30</c:v>
                </c:pt>
                <c:pt idx="10">
                  <c:v>32</c:v>
                </c:pt>
                <c:pt idx="11">
                  <c:v>41</c:v>
                </c:pt>
                <c:pt idx="12">
                  <c:v>21</c:v>
                </c:pt>
                <c:pt idx="13">
                  <c:v>36</c:v>
                </c:pt>
                <c:pt idx="14">
                  <c:v>25</c:v>
                </c:pt>
                <c:pt idx="15">
                  <c:v>28</c:v>
                </c:pt>
              </c:numCache>
            </c:numRef>
          </c:val>
          <c:extLst>
            <c:ext xmlns:c16="http://schemas.microsoft.com/office/drawing/2014/chart" uri="{C3380CC4-5D6E-409C-BE32-E72D297353CC}">
              <c16:uniqueId val="{00000000-7DD9-48AC-97DE-5F1731985C97}"/>
            </c:ext>
          </c:extLst>
        </c:ser>
        <c:dLbls>
          <c:showLegendKey val="0"/>
          <c:showVal val="0"/>
          <c:showCatName val="0"/>
          <c:showSerName val="0"/>
          <c:showPercent val="0"/>
          <c:showBubbleSize val="0"/>
        </c:dLbls>
        <c:gapWidth val="219"/>
        <c:axId val="1898416687"/>
        <c:axId val="1898410031"/>
      </c:barChart>
      <c:lineChart>
        <c:grouping val="standard"/>
        <c:varyColors val="0"/>
        <c:ser>
          <c:idx val="1"/>
          <c:order val="1"/>
          <c:tx>
            <c:strRef>
              <c:f>'Pivot Table 2'!$D$5</c:f>
              <c:strCache>
                <c:ptCount val="1"/>
                <c:pt idx="0">
                  <c:v>Average of Income</c:v>
                </c:pt>
              </c:strCache>
            </c:strRef>
          </c:tx>
          <c:spPr>
            <a:ln w="28575" cap="rnd">
              <a:solidFill>
                <a:schemeClr val="accent2"/>
              </a:solidFill>
              <a:round/>
            </a:ln>
            <a:effectLst/>
          </c:spPr>
          <c:marker>
            <c:symbol val="none"/>
          </c:marker>
          <c:cat>
            <c:multiLvlStrRef>
              <c:f>'Pivot Table 2'!$A$6:$B$26</c:f>
              <c:multiLvlStrCache>
                <c:ptCount val="16"/>
                <c:lvl>
                  <c:pt idx="0">
                    <c:v>Bachelors</c:v>
                  </c:pt>
                  <c:pt idx="1">
                    <c:v>Graduate Degree</c:v>
                  </c:pt>
                  <c:pt idx="2">
                    <c:v>High School</c:v>
                  </c:pt>
                  <c:pt idx="3">
                    <c:v>Partial College</c:v>
                  </c:pt>
                  <c:pt idx="4">
                    <c:v>Bachelors</c:v>
                  </c:pt>
                  <c:pt idx="5">
                    <c:v>Graduate Degree</c:v>
                  </c:pt>
                  <c:pt idx="6">
                    <c:v>High School</c:v>
                  </c:pt>
                  <c:pt idx="7">
                    <c:v>Partial College</c:v>
                  </c:pt>
                  <c:pt idx="8">
                    <c:v>Bachelors</c:v>
                  </c:pt>
                  <c:pt idx="9">
                    <c:v>Graduate Degree</c:v>
                  </c:pt>
                  <c:pt idx="10">
                    <c:v>High School</c:v>
                  </c:pt>
                  <c:pt idx="11">
                    <c:v>Partial College</c:v>
                  </c:pt>
                  <c:pt idx="12">
                    <c:v>Bachelors</c:v>
                  </c:pt>
                  <c:pt idx="13">
                    <c:v>Graduate Degree</c:v>
                  </c:pt>
                  <c:pt idx="14">
                    <c:v>High School</c:v>
                  </c:pt>
                  <c:pt idx="15">
                    <c:v>Partial College</c:v>
                  </c:pt>
                </c:lvl>
                <c:lvl>
                  <c:pt idx="0">
                    <c:v>Clerical</c:v>
                  </c:pt>
                  <c:pt idx="4">
                    <c:v>Management</c:v>
                  </c:pt>
                  <c:pt idx="8">
                    <c:v>Professional</c:v>
                  </c:pt>
                  <c:pt idx="12">
                    <c:v>Skilled Manual</c:v>
                  </c:pt>
                </c:lvl>
              </c:multiLvlStrCache>
            </c:multiLvlStrRef>
          </c:cat>
          <c:val>
            <c:numRef>
              <c:f>'Pivot Table 2'!$D$6:$D$26</c:f>
              <c:numCache>
                <c:formatCode>0.000</c:formatCode>
                <c:ptCount val="16"/>
                <c:pt idx="0">
                  <c:v>88094.2</c:v>
                </c:pt>
                <c:pt idx="1">
                  <c:v>78357.090909090912</c:v>
                </c:pt>
                <c:pt idx="2">
                  <c:v>70970</c:v>
                </c:pt>
                <c:pt idx="3">
                  <c:v>71571</c:v>
                </c:pt>
                <c:pt idx="4">
                  <c:v>71314.578947368427</c:v>
                </c:pt>
                <c:pt idx="5">
                  <c:v>70913.896551724145</c:v>
                </c:pt>
                <c:pt idx="6">
                  <c:v>71707.4054054054</c:v>
                </c:pt>
                <c:pt idx="7">
                  <c:v>63630.448275862072</c:v>
                </c:pt>
                <c:pt idx="8">
                  <c:v>62447.58139534884</c:v>
                </c:pt>
                <c:pt idx="9">
                  <c:v>76728.166666666672</c:v>
                </c:pt>
                <c:pt idx="10">
                  <c:v>64976.1875</c:v>
                </c:pt>
                <c:pt idx="11">
                  <c:v>74426.560975609755</c:v>
                </c:pt>
                <c:pt idx="12">
                  <c:v>75474.380952380947</c:v>
                </c:pt>
                <c:pt idx="13">
                  <c:v>66212.416666666672</c:v>
                </c:pt>
                <c:pt idx="14">
                  <c:v>66479.08</c:v>
                </c:pt>
                <c:pt idx="15">
                  <c:v>67416.357142857145</c:v>
                </c:pt>
              </c:numCache>
            </c:numRef>
          </c:val>
          <c:smooth val="0"/>
          <c:extLst>
            <c:ext xmlns:c16="http://schemas.microsoft.com/office/drawing/2014/chart" uri="{C3380CC4-5D6E-409C-BE32-E72D297353CC}">
              <c16:uniqueId val="{00000001-7DD9-48AC-97DE-5F1731985C97}"/>
            </c:ext>
          </c:extLst>
        </c:ser>
        <c:dLbls>
          <c:showLegendKey val="0"/>
          <c:showVal val="0"/>
          <c:showCatName val="0"/>
          <c:showSerName val="0"/>
          <c:showPercent val="0"/>
          <c:showBubbleSize val="0"/>
        </c:dLbls>
        <c:marker val="1"/>
        <c:smooth val="0"/>
        <c:axId val="1721998447"/>
        <c:axId val="1722012591"/>
      </c:lineChart>
      <c:catAx>
        <c:axId val="189841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10031"/>
        <c:crosses val="autoZero"/>
        <c:auto val="1"/>
        <c:lblAlgn val="ctr"/>
        <c:lblOffset val="100"/>
        <c:noMultiLvlLbl val="0"/>
      </c:catAx>
      <c:valAx>
        <c:axId val="189841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16687"/>
        <c:crosses val="autoZero"/>
        <c:crossBetween val="between"/>
      </c:valAx>
      <c:valAx>
        <c:axId val="1722012591"/>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98447"/>
        <c:crosses val="max"/>
        <c:crossBetween val="between"/>
      </c:valAx>
      <c:catAx>
        <c:axId val="1721998447"/>
        <c:scaling>
          <c:orientation val="minMax"/>
        </c:scaling>
        <c:delete val="1"/>
        <c:axPos val="b"/>
        <c:numFmt formatCode="General" sourceLinked="1"/>
        <c:majorTickMark val="out"/>
        <c:minorTickMark val="none"/>
        <c:tickLblPos val="nextTo"/>
        <c:crossAx val="17220125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B99C-2947-A84E-689A656C1E60}"/>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6-B99C-2947-A84E-689A656C1E60}"/>
            </c:ext>
          </c:extLst>
        </c:ser>
        <c:dLbls>
          <c:showLegendKey val="0"/>
          <c:showVal val="0"/>
          <c:showCatName val="0"/>
          <c:showSerName val="0"/>
          <c:showPercent val="0"/>
          <c:showBubbleSize val="0"/>
        </c:dLbls>
        <c:gapWidth val="219"/>
        <c:axId val="681595263"/>
        <c:axId val="822924095"/>
      </c:barChart>
      <c:catAx>
        <c:axId val="681595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24095"/>
        <c:crosses val="autoZero"/>
        <c:auto val="1"/>
        <c:lblAlgn val="ctr"/>
        <c:lblOffset val="100"/>
        <c:noMultiLvlLbl val="0"/>
      </c:catAx>
      <c:valAx>
        <c:axId val="82292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952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7752-9546-9A14-2605E570A1F8}"/>
            </c:ext>
          </c:extLst>
        </c:ser>
        <c:ser>
          <c:idx val="1"/>
          <c:order val="1"/>
          <c:tx>
            <c:v>Yes</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7752-9546-9A14-2605E570A1F8}"/>
            </c:ext>
          </c:extLst>
        </c:ser>
        <c:dLbls>
          <c:dLblPos val="ctr"/>
          <c:showLegendKey val="0"/>
          <c:showVal val="1"/>
          <c:showCatName val="0"/>
          <c:showSerName val="0"/>
          <c:showPercent val="0"/>
          <c:showBubbleSize val="0"/>
        </c:dLbls>
        <c:marker val="1"/>
        <c:smooth val="0"/>
        <c:axId val="867070303"/>
        <c:axId val="879465423"/>
      </c:lineChart>
      <c:catAx>
        <c:axId val="867070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9465423"/>
        <c:crosses val="autoZero"/>
        <c:auto val="1"/>
        <c:lblAlgn val="ctr"/>
        <c:lblOffset val="100"/>
        <c:noMultiLvlLbl val="0"/>
      </c:catAx>
      <c:valAx>
        <c:axId val="879465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70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 </c:v>
              </c:pt>
              <c:pt idx="2">
                <c:v>Old </c:v>
              </c:pt>
            </c:strLit>
          </c:cat>
          <c:val>
            <c:numLit>
              <c:formatCode>General</c:formatCode>
              <c:ptCount val="3"/>
              <c:pt idx="0">
                <c:v>8</c:v>
              </c:pt>
              <c:pt idx="1">
                <c:v>348</c:v>
              </c:pt>
              <c:pt idx="2">
                <c:v>104</c:v>
              </c:pt>
            </c:numLit>
          </c:val>
          <c:smooth val="0"/>
          <c:extLst>
            <c:ext xmlns:c16="http://schemas.microsoft.com/office/drawing/2014/chart" uri="{C3380CC4-5D6E-409C-BE32-E72D297353CC}">
              <c16:uniqueId val="{00000000-211D-F547-8AD4-436DEDF2B739}"/>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 </c:v>
              </c:pt>
              <c:pt idx="2">
                <c:v>Old </c:v>
              </c:pt>
            </c:strLit>
          </c:cat>
          <c:val>
            <c:numLit>
              <c:formatCode>General</c:formatCode>
              <c:ptCount val="3"/>
              <c:pt idx="0">
                <c:v>5</c:v>
              </c:pt>
              <c:pt idx="1">
                <c:v>343</c:v>
              </c:pt>
              <c:pt idx="2">
                <c:v>82</c:v>
              </c:pt>
            </c:numLit>
          </c:val>
          <c:smooth val="0"/>
          <c:extLst>
            <c:ext xmlns:c16="http://schemas.microsoft.com/office/drawing/2014/chart" uri="{C3380CC4-5D6E-409C-BE32-E72D297353CC}">
              <c16:uniqueId val="{00000001-211D-F547-8AD4-436DEDF2B739}"/>
            </c:ext>
          </c:extLst>
        </c:ser>
        <c:dLbls>
          <c:showLegendKey val="0"/>
          <c:showVal val="0"/>
          <c:showCatName val="0"/>
          <c:showSerName val="0"/>
          <c:showPercent val="0"/>
          <c:showBubbleSize val="0"/>
        </c:dLbls>
        <c:marker val="1"/>
        <c:smooth val="0"/>
        <c:axId val="1634620559"/>
        <c:axId val="1197649535"/>
      </c:lineChart>
      <c:catAx>
        <c:axId val="163462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49535"/>
        <c:crosses val="autoZero"/>
        <c:auto val="1"/>
        <c:lblAlgn val="ctr"/>
        <c:lblOffset val="100"/>
        <c:noMultiLvlLbl val="0"/>
      </c:catAx>
      <c:valAx>
        <c:axId val="119764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2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0</xdr:col>
      <xdr:colOff>38099</xdr:colOff>
      <xdr:row>2</xdr:row>
      <xdr:rowOff>57150</xdr:rowOff>
    </xdr:from>
    <xdr:to>
      <xdr:col>6</xdr:col>
      <xdr:colOff>4232</xdr:colOff>
      <xdr:row>15</xdr:row>
      <xdr:rowOff>95250</xdr:rowOff>
    </xdr:to>
    <xdr:graphicFrame macro="">
      <xdr:nvGraphicFramePr>
        <xdr:cNvPr id="3" name="Chart 2">
          <a:extLst>
            <a:ext uri="{FF2B5EF4-FFF2-40B4-BE49-F238E27FC236}">
              <a16:creationId xmlns:a16="http://schemas.microsoft.com/office/drawing/2014/main" id="{1573B20A-8CFC-4868-A4C9-FF077775FD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51857</xdr:colOff>
      <xdr:row>2</xdr:row>
      <xdr:rowOff>57150</xdr:rowOff>
    </xdr:from>
    <xdr:to>
      <xdr:col>12</xdr:col>
      <xdr:colOff>22224</xdr:colOff>
      <xdr:row>15</xdr:row>
      <xdr:rowOff>95250</xdr:rowOff>
    </xdr:to>
    <xdr:graphicFrame macro="">
      <xdr:nvGraphicFramePr>
        <xdr:cNvPr id="4" name="Chart 3">
          <a:extLst>
            <a:ext uri="{FF2B5EF4-FFF2-40B4-BE49-F238E27FC236}">
              <a16:creationId xmlns:a16="http://schemas.microsoft.com/office/drawing/2014/main" id="{67C7DE1E-F6AF-44CC-A2B4-69B31BAF6DD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38099</xdr:colOff>
      <xdr:row>16</xdr:row>
      <xdr:rowOff>1</xdr:rowOff>
    </xdr:from>
    <xdr:to>
      <xdr:col>6</xdr:col>
      <xdr:colOff>4232</xdr:colOff>
      <xdr:row>29</xdr:row>
      <xdr:rowOff>38101</xdr:rowOff>
    </xdr:to>
    <xdr:graphicFrame macro="">
      <xdr:nvGraphicFramePr>
        <xdr:cNvPr id="5" name="Chart 4">
          <a:extLst>
            <a:ext uri="{FF2B5EF4-FFF2-40B4-BE49-F238E27FC236}">
              <a16:creationId xmlns:a16="http://schemas.microsoft.com/office/drawing/2014/main" id="{67A0CC65-D54E-4772-9C67-DD2D453DEE0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51857</xdr:colOff>
      <xdr:row>15</xdr:row>
      <xdr:rowOff>190499</xdr:rowOff>
    </xdr:from>
    <xdr:to>
      <xdr:col>12</xdr:col>
      <xdr:colOff>22224</xdr:colOff>
      <xdr:row>29</xdr:row>
      <xdr:rowOff>38099</xdr:rowOff>
    </xdr:to>
    <xdr:graphicFrame macro="">
      <xdr:nvGraphicFramePr>
        <xdr:cNvPr id="6" name="Chart 5">
          <a:extLst>
            <a:ext uri="{FF2B5EF4-FFF2-40B4-BE49-F238E27FC236}">
              <a16:creationId xmlns:a16="http://schemas.microsoft.com/office/drawing/2014/main" id="{A24C1FC1-2B0A-485E-A0E8-D8C4E7691BE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69850</xdr:colOff>
      <xdr:row>2</xdr:row>
      <xdr:rowOff>57151</xdr:rowOff>
    </xdr:from>
    <xdr:to>
      <xdr:col>14</xdr:col>
      <xdr:colOff>366183</xdr:colOff>
      <xdr:row>7</xdr:row>
      <xdr:rowOff>38100</xdr:rowOff>
    </xdr:to>
    <mc:AlternateContent xmlns:mc="http://schemas.openxmlformats.org/markup-compatibility/2006" xmlns:a14="http://schemas.microsoft.com/office/drawing/2010/main">
      <mc:Choice Requires="a14">
        <xdr:graphicFrame macro="">
          <xdr:nvGraphicFramePr>
            <xdr:cNvPr id="7" name="Marital Status 1">
              <a:extLst>
                <a:ext uri="{FF2B5EF4-FFF2-40B4-BE49-F238E27FC236}">
                  <a16:creationId xmlns:a16="http://schemas.microsoft.com/office/drawing/2014/main" id="{E5748EEC-E8DE-4F8C-AA30-372EC1095EF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340850" y="438151"/>
              <a:ext cx="184150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385233</xdr:colOff>
      <xdr:row>2</xdr:row>
      <xdr:rowOff>76199</xdr:rowOff>
    </xdr:from>
    <xdr:to>
      <xdr:col>16</xdr:col>
      <xdr:colOff>681567</xdr:colOff>
      <xdr:row>7</xdr:row>
      <xdr:rowOff>66674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D6CAA47-A9AF-4E6B-AE7C-E12F2028A8F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01400" y="457199"/>
              <a:ext cx="18415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69850</xdr:colOff>
      <xdr:row>20</xdr:row>
      <xdr:rowOff>95251</xdr:rowOff>
    </xdr:from>
    <xdr:to>
      <xdr:col>14</xdr:col>
      <xdr:colOff>366183</xdr:colOff>
      <xdr:row>28</xdr:row>
      <xdr:rowOff>57150</xdr:rowOff>
    </xdr:to>
    <mc:AlternateContent xmlns:mc="http://schemas.openxmlformats.org/markup-compatibility/2006" xmlns:a14="http://schemas.microsoft.com/office/drawing/2010/main">
      <mc:Choice Requires="a14">
        <xdr:graphicFrame macro="">
          <xdr:nvGraphicFramePr>
            <xdr:cNvPr id="9" name="Education 1">
              <a:extLst>
                <a:ext uri="{FF2B5EF4-FFF2-40B4-BE49-F238E27FC236}">
                  <a16:creationId xmlns:a16="http://schemas.microsoft.com/office/drawing/2014/main" id="{0367D33C-B211-47C9-8638-AC0C7ED18F4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340850" y="3905251"/>
              <a:ext cx="18415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385233</xdr:colOff>
      <xdr:row>13</xdr:row>
      <xdr:rowOff>104775</xdr:rowOff>
    </xdr:from>
    <xdr:to>
      <xdr:col>16</xdr:col>
      <xdr:colOff>681567</xdr:colOff>
      <xdr:row>22</xdr:row>
      <xdr:rowOff>95250</xdr:rowOff>
    </xdr:to>
    <mc:AlternateContent xmlns:mc="http://schemas.openxmlformats.org/markup-compatibility/2006" xmlns:a14="http://schemas.microsoft.com/office/drawing/2010/main">
      <mc:Choice Requires="a14">
        <xdr:graphicFrame macro="">
          <xdr:nvGraphicFramePr>
            <xdr:cNvPr id="10" name="Commute Distance">
              <a:extLst>
                <a:ext uri="{FF2B5EF4-FFF2-40B4-BE49-F238E27FC236}">
                  <a16:creationId xmlns:a16="http://schemas.microsoft.com/office/drawing/2014/main" id="{01FEA4B5-6DE8-41F6-8EE2-FFE9228F766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1201400" y="2581275"/>
              <a:ext cx="18415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69850</xdr:colOff>
      <xdr:row>7</xdr:row>
      <xdr:rowOff>38100</xdr:rowOff>
    </xdr:from>
    <xdr:to>
      <xdr:col>14</xdr:col>
      <xdr:colOff>366183</xdr:colOff>
      <xdr:row>20</xdr:row>
      <xdr:rowOff>85725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8CBAC48C-38AE-4775-B3F6-3E0EE0C6B29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340850" y="1371600"/>
              <a:ext cx="1841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385233</xdr:colOff>
      <xdr:row>7</xdr:row>
      <xdr:rowOff>66675</xdr:rowOff>
    </xdr:from>
    <xdr:to>
      <xdr:col>16</xdr:col>
      <xdr:colOff>681567</xdr:colOff>
      <xdr:row>13</xdr:row>
      <xdr:rowOff>104774</xdr:rowOff>
    </xdr:to>
    <mc:AlternateContent xmlns:mc="http://schemas.openxmlformats.org/markup-compatibility/2006" xmlns:a14="http://schemas.microsoft.com/office/drawing/2010/main">
      <mc:Choice Requires="a14">
        <xdr:graphicFrame macro="">
          <xdr:nvGraphicFramePr>
            <xdr:cNvPr id="12" name="Age Brackets">
              <a:extLst>
                <a:ext uri="{FF2B5EF4-FFF2-40B4-BE49-F238E27FC236}">
                  <a16:creationId xmlns:a16="http://schemas.microsoft.com/office/drawing/2014/main" id="{FDE0DA18-C622-4185-A06D-B01D067CDBE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11201400" y="1400175"/>
              <a:ext cx="18415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xdr:colOff>
      <xdr:row>2</xdr:row>
      <xdr:rowOff>28575</xdr:rowOff>
    </xdr:from>
    <xdr:to>
      <xdr:col>13</xdr:col>
      <xdr:colOff>333374</xdr:colOff>
      <xdr:row>18</xdr:row>
      <xdr:rowOff>121227</xdr:rowOff>
    </xdr:to>
    <xdr:graphicFrame macro="">
      <xdr:nvGraphicFramePr>
        <xdr:cNvPr id="2" name="Chart 1">
          <a:extLst>
            <a:ext uri="{FF2B5EF4-FFF2-40B4-BE49-F238E27FC236}">
              <a16:creationId xmlns:a16="http://schemas.microsoft.com/office/drawing/2014/main" id="{87A55225-097B-4A36-A544-B7420A51FB5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466725</xdr:colOff>
      <xdr:row>2</xdr:row>
      <xdr:rowOff>57150</xdr:rowOff>
    </xdr:from>
    <xdr:to>
      <xdr:col>16</xdr:col>
      <xdr:colOff>466725</xdr:colOff>
      <xdr:row>8</xdr:row>
      <xdr:rowOff>123825</xdr:rowOff>
    </xdr:to>
    <mc:AlternateContent xmlns:mc="http://schemas.openxmlformats.org/markup-compatibility/2006" xmlns:a14="http://schemas.microsoft.com/office/drawing/2010/main">
      <mc:Choice Requires="a14">
        <xdr:graphicFrame macro="">
          <xdr:nvGraphicFramePr>
            <xdr:cNvPr id="3" name="Age Brackets 1">
              <a:extLst>
                <a:ext uri="{FF2B5EF4-FFF2-40B4-BE49-F238E27FC236}">
                  <a16:creationId xmlns:a16="http://schemas.microsoft.com/office/drawing/2014/main" id="{378394B3-140F-4CDB-B4E8-6AD7F791733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mlns="">
        <xdr:sp macro="" textlink="">
          <xdr:nvSpPr>
            <xdr:cNvPr id="0" name=""/>
            <xdr:cNvSpPr>
              <a:spLocks noTextEdit="1"/>
            </xdr:cNvSpPr>
          </xdr:nvSpPr>
          <xdr:spPr>
            <a:xfrm>
              <a:off x="8346498" y="438150"/>
              <a:ext cx="1818409"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5</xdr:row>
      <xdr:rowOff>100012</xdr:rowOff>
    </xdr:from>
    <xdr:to>
      <xdr:col>3</xdr:col>
      <xdr:colOff>695325</xdr:colOff>
      <xdr:row>19</xdr:row>
      <xdr:rowOff>176212</xdr:rowOff>
    </xdr:to>
    <xdr:graphicFrame macro="">
      <xdr:nvGraphicFramePr>
        <xdr:cNvPr id="2" name="Chart 1">
          <a:extLst>
            <a:ext uri="{FF2B5EF4-FFF2-40B4-BE49-F238E27FC236}">
              <a16:creationId xmlns:a16="http://schemas.microsoft.com/office/drawing/2014/main" id="{CB9830E7-15C0-4622-9EE4-E82F3BD3C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30</xdr:row>
      <xdr:rowOff>71437</xdr:rowOff>
    </xdr:from>
    <xdr:to>
      <xdr:col>3</xdr:col>
      <xdr:colOff>638175</xdr:colOff>
      <xdr:row>43</xdr:row>
      <xdr:rowOff>142875</xdr:rowOff>
    </xdr:to>
    <xdr:graphicFrame macro="">
      <xdr:nvGraphicFramePr>
        <xdr:cNvPr id="3" name="Chart 2">
          <a:extLst>
            <a:ext uri="{FF2B5EF4-FFF2-40B4-BE49-F238E27FC236}">
              <a16:creationId xmlns:a16="http://schemas.microsoft.com/office/drawing/2014/main" id="{176B4667-CB9C-4E12-BDE2-F04B57BCD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50</xdr:row>
      <xdr:rowOff>52387</xdr:rowOff>
    </xdr:from>
    <xdr:to>
      <xdr:col>3</xdr:col>
      <xdr:colOff>628650</xdr:colOff>
      <xdr:row>64</xdr:row>
      <xdr:rowOff>128587</xdr:rowOff>
    </xdr:to>
    <xdr:graphicFrame macro="">
      <xdr:nvGraphicFramePr>
        <xdr:cNvPr id="4" name="Chart 3">
          <a:extLst>
            <a:ext uri="{FF2B5EF4-FFF2-40B4-BE49-F238E27FC236}">
              <a16:creationId xmlns:a16="http://schemas.microsoft.com/office/drawing/2014/main" id="{D72997C0-7B99-49D6-9579-686034BD5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72</xdr:row>
      <xdr:rowOff>176212</xdr:rowOff>
    </xdr:from>
    <xdr:to>
      <xdr:col>3</xdr:col>
      <xdr:colOff>666750</xdr:colOff>
      <xdr:row>87</xdr:row>
      <xdr:rowOff>61912</xdr:rowOff>
    </xdr:to>
    <xdr:graphicFrame macro="">
      <xdr:nvGraphicFramePr>
        <xdr:cNvPr id="5" name="Chart 4">
          <a:extLst>
            <a:ext uri="{FF2B5EF4-FFF2-40B4-BE49-F238E27FC236}">
              <a16:creationId xmlns:a16="http://schemas.microsoft.com/office/drawing/2014/main" id="{3CF33BFB-95CF-4B0B-9D19-86B5D1C91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321469</xdr:colOff>
      <xdr:row>3</xdr:row>
      <xdr:rowOff>27384</xdr:rowOff>
    </xdr:from>
    <xdr:to>
      <xdr:col>8</xdr:col>
      <xdr:colOff>226217</xdr:colOff>
      <xdr:row>26</xdr:row>
      <xdr:rowOff>130968</xdr:rowOff>
    </xdr:to>
    <xdr:graphicFrame macro="">
      <xdr:nvGraphicFramePr>
        <xdr:cNvPr id="5" name="Chart 4">
          <a:extLst>
            <a:ext uri="{FF2B5EF4-FFF2-40B4-BE49-F238E27FC236}">
              <a16:creationId xmlns:a16="http://schemas.microsoft.com/office/drawing/2014/main" id="{44970812-4EAB-485E-B662-7FDC468B3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7</xdr:row>
      <xdr:rowOff>0</xdr:rowOff>
    </xdr:from>
    <xdr:to>
      <xdr:col>5</xdr:col>
      <xdr:colOff>673100</xdr:colOff>
      <xdr:row>26</xdr:row>
      <xdr:rowOff>139700</xdr:rowOff>
    </xdr:to>
    <xdr:graphicFrame macro="">
      <xdr:nvGraphicFramePr>
        <xdr:cNvPr id="2" name="Chart 1">
          <a:extLst>
            <a:ext uri="{FF2B5EF4-FFF2-40B4-BE49-F238E27FC236}">
              <a16:creationId xmlns:a16="http://schemas.microsoft.com/office/drawing/2014/main" id="{5E4AAB39-7277-8349-8D53-14F0964A7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15</xdr:col>
      <xdr:colOff>12700</xdr:colOff>
      <xdr:row>41</xdr:row>
      <xdr:rowOff>127000</xdr:rowOff>
    </xdr:to>
    <xdr:graphicFrame macro="">
      <xdr:nvGraphicFramePr>
        <xdr:cNvPr id="3" name="Chart 2">
          <a:extLst>
            <a:ext uri="{FF2B5EF4-FFF2-40B4-BE49-F238E27FC236}">
              <a16:creationId xmlns:a16="http://schemas.microsoft.com/office/drawing/2014/main" id="{1ECF07C0-EDAD-4D4A-B0F5-EBF752A24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723900</xdr:colOff>
      <xdr:row>7</xdr:row>
      <xdr:rowOff>0</xdr:rowOff>
    </xdr:from>
    <xdr:to>
      <xdr:col>15</xdr:col>
      <xdr:colOff>0</xdr:colOff>
      <xdr:row>26</xdr:row>
      <xdr:rowOff>165100</xdr:rowOff>
    </xdr:to>
    <xdr:graphicFrame macro="">
      <xdr:nvGraphicFramePr>
        <xdr:cNvPr id="4" name="Chart 3">
          <a:extLst>
            <a:ext uri="{FF2B5EF4-FFF2-40B4-BE49-F238E27FC236}">
              <a16:creationId xmlns:a16="http://schemas.microsoft.com/office/drawing/2014/main" id="{143DB3F0-95EC-8145-8803-93943C0F8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0</xdr:row>
      <xdr:rowOff>165100</xdr:rowOff>
    </xdr:from>
    <xdr:to>
      <xdr:col>17</xdr:col>
      <xdr:colOff>177800</xdr:colOff>
      <xdr:row>13</xdr:row>
      <xdr:rowOff>117469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C2EF72E-2CD3-D647-BF58-C735305183D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382500" y="165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27</xdr:row>
      <xdr:rowOff>47631</xdr:rowOff>
    </xdr:from>
    <xdr:to>
      <xdr:col>17</xdr:col>
      <xdr:colOff>177800</xdr:colOff>
      <xdr:row>40</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917F27C5-4E53-E6A8-5B03-D0F0DAB51E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382500" y="519113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13</xdr:row>
      <xdr:rowOff>187331</xdr:rowOff>
    </xdr:from>
    <xdr:to>
      <xdr:col>17</xdr:col>
      <xdr:colOff>177800</xdr:colOff>
      <xdr:row>26</xdr:row>
      <xdr:rowOff>139700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CC50666-955E-A7F0-1CD8-0C05178FC4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500" y="266383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d Makram" refreshedDate="46055.654771643516" createdVersion="7" refreshedVersion="7" minRefreshableVersion="3" recordCount="1023" xr:uid="{E99B4F70-C509-4FAF-904D-F8CD7CE744D3}">
  <cacheSource type="worksheet">
    <worksheetSource ref="A1:M1048576" sheet="Cleaned - Sorted DB"/>
  </cacheSource>
  <cacheFields count="13">
    <cacheField name="ID" numFmtId="0">
      <sharedItems containsString="0" containsBlank="1" containsNumber="1" containsInteger="1" minValue="10055" maxValue="99930"/>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20138" maxValue="119977"/>
    </cacheField>
    <cacheField name="Children" numFmtId="0">
      <sharedItems containsString="0" containsBlank="1" containsNumber="1" containsInteger="1" minValue="0" maxValue="5"/>
    </cacheField>
    <cacheField name="Education" numFmtId="0">
      <sharedItems containsBlank="1" count="5">
        <s v="Partial College"/>
        <s v="Bachelors"/>
        <s v="High School"/>
        <s v="Graduate Degree"/>
        <m/>
      </sharedItems>
    </cacheField>
    <cacheField name="Occupation" numFmtId="0">
      <sharedItems containsBlank="1" count="5">
        <s v="Clerical"/>
        <s v="Management"/>
        <s v="Professional"/>
        <s v="Skilled Manual"/>
        <m/>
      </sharedItems>
    </cacheField>
    <cacheField name="Home Owners" numFmtId="0">
      <sharedItems containsBlank="1" count="3">
        <s v="No"/>
        <s v="Yes"/>
        <m/>
      </sharedItems>
    </cacheField>
    <cacheField name="Commute Distance" numFmtId="0">
      <sharedItems containsBlank="1" count="6">
        <s v="0–1 Kilometre"/>
        <s v="1–2 Kilometre"/>
        <s v="2–4 Kilometre"/>
        <s v="4–6 Kilometre"/>
        <s v="6+ Kilometre"/>
        <m/>
      </sharedItems>
    </cacheField>
    <cacheField name="State" numFmtId="0">
      <sharedItems containsBlank="1" count="17">
        <s v="Rhineland-Palatinate"/>
        <s v="Bavaria"/>
        <s v="Hamburg"/>
        <s v="Saarland"/>
        <s v="Berlin"/>
        <s v="Bremen"/>
        <s v="Saxony-Anhalt"/>
        <s v="Lower Saxony"/>
        <s v="Baden-Württemberg"/>
        <s v="Schleswig-Holstein"/>
        <s v="Mecklenburg-Vorpommern"/>
        <s v="North Rhine-Westphalia"/>
        <s v="Thuringia"/>
        <s v="Saxony"/>
        <s v="Brandenburg"/>
        <s v="Hesse"/>
        <m/>
      </sharedItems>
    </cacheField>
    <cacheField name="Age" numFmtId="0">
      <sharedItems containsString="0" containsBlank="1" containsNumber="1" containsInteger="1" minValue="20" maxValue="69"/>
    </cacheField>
    <cacheField name="Age Brackets" numFmtId="0">
      <sharedItems containsBlank="1" count="4">
        <s v="Middle Age "/>
        <s v="Adolescent"/>
        <s v="Old "/>
        <m/>
      </sharedItems>
    </cacheField>
    <cacheField name="Purchased Cars" numFmtId="0">
      <sharedItems containsBlank="1" count="3">
        <s v="No"/>
        <s v="Yes"/>
        <m/>
      </sharedItems>
    </cacheField>
  </cacheFields>
  <extLst>
    <ext xmlns:x14="http://schemas.microsoft.com/office/spreadsheetml/2009/9/main" uri="{725AE2AE-9491-48be-B2B4-4EB974FC3084}">
      <x14:pivotCacheDefinition pivotCacheId="12537537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ra Mohamed" refreshedDate="45890.220480208336" createdVersion="8" refreshedVersion="8" minRefreshableVersion="3" recordCount="1001" xr:uid="{CDA09CE6-DE08-354F-B78C-CBF545858840}">
  <cacheSource type="worksheet">
    <worksheetSource ref="A1:N1048576" sheet="Cleaned - Sorted DB"/>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10">
        <s v="middle Age "/>
        <s v="Old "/>
        <s v="Invalid"/>
        <s v="Adolescent"/>
        <m/>
        <s v="middle Age 31-54" u="1"/>
        <s v="Old 55+" u="1"/>
        <s v="Adolescent0-30" u="1"/>
        <s v="middle Age" u="1"/>
        <s v="Old"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556054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3">
  <r>
    <n v="25795"/>
    <x v="0"/>
    <x v="0"/>
    <n v="105371"/>
    <n v="2"/>
    <x v="0"/>
    <x v="0"/>
    <x v="0"/>
    <x v="0"/>
    <x v="0"/>
    <n v="48"/>
    <x v="0"/>
    <x v="0"/>
  </r>
  <r>
    <n v="10860"/>
    <x v="0"/>
    <x v="1"/>
    <n v="49033"/>
    <n v="4"/>
    <x v="1"/>
    <x v="1"/>
    <x v="1"/>
    <x v="1"/>
    <x v="1"/>
    <n v="23"/>
    <x v="1"/>
    <x v="0"/>
  </r>
  <r>
    <n v="86820"/>
    <x v="0"/>
    <x v="1"/>
    <n v="44000"/>
    <n v="4"/>
    <x v="1"/>
    <x v="2"/>
    <x v="0"/>
    <x v="2"/>
    <x v="2"/>
    <n v="29"/>
    <x v="1"/>
    <x v="1"/>
  </r>
  <r>
    <n v="64886"/>
    <x v="0"/>
    <x v="1"/>
    <n v="95868"/>
    <n v="5"/>
    <x v="2"/>
    <x v="3"/>
    <x v="0"/>
    <x v="0"/>
    <x v="3"/>
    <n v="44"/>
    <x v="0"/>
    <x v="0"/>
  </r>
  <r>
    <n v="16265"/>
    <x v="0"/>
    <x v="0"/>
    <n v="62604"/>
    <n v="0"/>
    <x v="1"/>
    <x v="3"/>
    <x v="1"/>
    <x v="1"/>
    <x v="4"/>
    <n v="50"/>
    <x v="0"/>
    <x v="0"/>
  </r>
  <r>
    <n v="92386"/>
    <x v="0"/>
    <x v="1"/>
    <n v="88336"/>
    <n v="0"/>
    <x v="2"/>
    <x v="3"/>
    <x v="0"/>
    <x v="2"/>
    <x v="5"/>
    <n v="22"/>
    <x v="1"/>
    <x v="1"/>
  </r>
  <r>
    <n v="47194"/>
    <x v="0"/>
    <x v="0"/>
    <n v="115074"/>
    <n v="0"/>
    <x v="2"/>
    <x v="2"/>
    <x v="1"/>
    <x v="3"/>
    <x v="6"/>
    <n v="66"/>
    <x v="2"/>
    <x v="1"/>
  </r>
  <r>
    <n v="97498"/>
    <x v="1"/>
    <x v="1"/>
    <n v="115655"/>
    <n v="2"/>
    <x v="3"/>
    <x v="1"/>
    <x v="1"/>
    <x v="2"/>
    <x v="4"/>
    <n v="21"/>
    <x v="1"/>
    <x v="1"/>
  </r>
  <r>
    <n v="54131"/>
    <x v="1"/>
    <x v="1"/>
    <n v="93869"/>
    <n v="3"/>
    <x v="2"/>
    <x v="1"/>
    <x v="1"/>
    <x v="4"/>
    <x v="4"/>
    <n v="44"/>
    <x v="0"/>
    <x v="0"/>
  </r>
  <r>
    <n v="70263"/>
    <x v="0"/>
    <x v="1"/>
    <n v="25410"/>
    <n v="0"/>
    <x v="2"/>
    <x v="0"/>
    <x v="1"/>
    <x v="2"/>
    <x v="7"/>
    <n v="68"/>
    <x v="2"/>
    <x v="1"/>
  </r>
  <r>
    <n v="26023"/>
    <x v="1"/>
    <x v="0"/>
    <n v="103375"/>
    <n v="0"/>
    <x v="3"/>
    <x v="2"/>
    <x v="1"/>
    <x v="4"/>
    <x v="6"/>
    <n v="25"/>
    <x v="1"/>
    <x v="0"/>
  </r>
  <r>
    <n v="51090"/>
    <x v="0"/>
    <x v="0"/>
    <n v="76044"/>
    <n v="1"/>
    <x v="1"/>
    <x v="1"/>
    <x v="0"/>
    <x v="1"/>
    <x v="8"/>
    <n v="45"/>
    <x v="0"/>
    <x v="0"/>
  </r>
  <r>
    <n v="77221"/>
    <x v="1"/>
    <x v="0"/>
    <n v="83315"/>
    <n v="2"/>
    <x v="0"/>
    <x v="2"/>
    <x v="0"/>
    <x v="2"/>
    <x v="5"/>
    <n v="27"/>
    <x v="1"/>
    <x v="1"/>
  </r>
  <r>
    <n v="74820"/>
    <x v="1"/>
    <x v="1"/>
    <n v="116055"/>
    <n v="5"/>
    <x v="0"/>
    <x v="0"/>
    <x v="0"/>
    <x v="1"/>
    <x v="9"/>
    <n v="54"/>
    <x v="0"/>
    <x v="0"/>
  </r>
  <r>
    <n v="10769"/>
    <x v="1"/>
    <x v="1"/>
    <n v="91344"/>
    <n v="0"/>
    <x v="0"/>
    <x v="0"/>
    <x v="1"/>
    <x v="1"/>
    <x v="10"/>
    <n v="46"/>
    <x v="0"/>
    <x v="1"/>
  </r>
  <r>
    <n v="69735"/>
    <x v="1"/>
    <x v="0"/>
    <n v="26796"/>
    <n v="1"/>
    <x v="1"/>
    <x v="0"/>
    <x v="0"/>
    <x v="0"/>
    <x v="3"/>
    <n v="44"/>
    <x v="0"/>
    <x v="0"/>
  </r>
  <r>
    <n v="72955"/>
    <x v="1"/>
    <x v="0"/>
    <n v="106716"/>
    <n v="4"/>
    <x v="2"/>
    <x v="3"/>
    <x v="0"/>
    <x v="1"/>
    <x v="2"/>
    <n v="37"/>
    <x v="0"/>
    <x v="1"/>
  </r>
  <r>
    <n v="74925"/>
    <x v="1"/>
    <x v="0"/>
    <n v="74245"/>
    <n v="5"/>
    <x v="0"/>
    <x v="2"/>
    <x v="0"/>
    <x v="1"/>
    <x v="11"/>
    <n v="20"/>
    <x v="1"/>
    <x v="0"/>
  </r>
  <r>
    <n v="77969"/>
    <x v="0"/>
    <x v="0"/>
    <n v="63056"/>
    <n v="0"/>
    <x v="1"/>
    <x v="0"/>
    <x v="0"/>
    <x v="2"/>
    <x v="8"/>
    <n v="67"/>
    <x v="2"/>
    <x v="1"/>
  </r>
  <r>
    <n v="15311"/>
    <x v="0"/>
    <x v="0"/>
    <n v="37709"/>
    <n v="0"/>
    <x v="2"/>
    <x v="2"/>
    <x v="0"/>
    <x v="2"/>
    <x v="1"/>
    <n v="58"/>
    <x v="2"/>
    <x v="0"/>
  </r>
  <r>
    <n v="93104"/>
    <x v="1"/>
    <x v="0"/>
    <n v="78557"/>
    <n v="1"/>
    <x v="3"/>
    <x v="3"/>
    <x v="1"/>
    <x v="3"/>
    <x v="3"/>
    <n v="22"/>
    <x v="1"/>
    <x v="0"/>
  </r>
  <r>
    <n v="63707"/>
    <x v="0"/>
    <x v="1"/>
    <n v="37543"/>
    <n v="2"/>
    <x v="0"/>
    <x v="3"/>
    <x v="1"/>
    <x v="0"/>
    <x v="12"/>
    <n v="23"/>
    <x v="1"/>
    <x v="1"/>
  </r>
  <r>
    <n v="95305"/>
    <x v="1"/>
    <x v="0"/>
    <n v="57418"/>
    <n v="0"/>
    <x v="2"/>
    <x v="0"/>
    <x v="0"/>
    <x v="1"/>
    <x v="13"/>
    <n v="60"/>
    <x v="2"/>
    <x v="0"/>
  </r>
  <r>
    <n v="38693"/>
    <x v="0"/>
    <x v="1"/>
    <n v="114611"/>
    <n v="4"/>
    <x v="0"/>
    <x v="0"/>
    <x v="1"/>
    <x v="0"/>
    <x v="14"/>
    <n v="56"/>
    <x v="2"/>
    <x v="1"/>
  </r>
  <r>
    <n v="81932"/>
    <x v="0"/>
    <x v="1"/>
    <n v="116038"/>
    <n v="0"/>
    <x v="0"/>
    <x v="1"/>
    <x v="1"/>
    <x v="4"/>
    <x v="13"/>
    <n v="34"/>
    <x v="0"/>
    <x v="0"/>
  </r>
  <r>
    <n v="35658"/>
    <x v="0"/>
    <x v="0"/>
    <n v="36724"/>
    <n v="4"/>
    <x v="0"/>
    <x v="2"/>
    <x v="0"/>
    <x v="1"/>
    <x v="3"/>
    <n v="27"/>
    <x v="1"/>
    <x v="0"/>
  </r>
  <r>
    <n v="94478"/>
    <x v="0"/>
    <x v="0"/>
    <n v="23828"/>
    <n v="5"/>
    <x v="2"/>
    <x v="0"/>
    <x v="0"/>
    <x v="0"/>
    <x v="7"/>
    <n v="57"/>
    <x v="2"/>
    <x v="1"/>
  </r>
  <r>
    <n v="28431"/>
    <x v="1"/>
    <x v="1"/>
    <n v="37087"/>
    <n v="5"/>
    <x v="1"/>
    <x v="1"/>
    <x v="1"/>
    <x v="3"/>
    <x v="4"/>
    <n v="69"/>
    <x v="2"/>
    <x v="1"/>
  </r>
  <r>
    <n v="12747"/>
    <x v="0"/>
    <x v="0"/>
    <n v="32605"/>
    <n v="3"/>
    <x v="2"/>
    <x v="2"/>
    <x v="0"/>
    <x v="3"/>
    <x v="14"/>
    <n v="38"/>
    <x v="0"/>
    <x v="1"/>
  </r>
  <r>
    <n v="69150"/>
    <x v="0"/>
    <x v="0"/>
    <n v="51337"/>
    <n v="3"/>
    <x v="0"/>
    <x v="0"/>
    <x v="1"/>
    <x v="1"/>
    <x v="9"/>
    <n v="66"/>
    <x v="2"/>
    <x v="0"/>
  </r>
  <r>
    <n v="75725"/>
    <x v="0"/>
    <x v="1"/>
    <n v="25482"/>
    <n v="4"/>
    <x v="2"/>
    <x v="1"/>
    <x v="1"/>
    <x v="4"/>
    <x v="6"/>
    <n v="45"/>
    <x v="0"/>
    <x v="1"/>
  </r>
  <r>
    <n v="94654"/>
    <x v="0"/>
    <x v="1"/>
    <n v="85333"/>
    <n v="2"/>
    <x v="3"/>
    <x v="1"/>
    <x v="0"/>
    <x v="3"/>
    <x v="1"/>
    <n v="58"/>
    <x v="2"/>
    <x v="1"/>
  </r>
  <r>
    <n v="45773"/>
    <x v="1"/>
    <x v="1"/>
    <n v="112541"/>
    <n v="0"/>
    <x v="1"/>
    <x v="2"/>
    <x v="1"/>
    <x v="3"/>
    <x v="1"/>
    <n v="29"/>
    <x v="1"/>
    <x v="1"/>
  </r>
  <r>
    <n v="77435"/>
    <x v="0"/>
    <x v="0"/>
    <n v="108296"/>
    <n v="0"/>
    <x v="2"/>
    <x v="1"/>
    <x v="1"/>
    <x v="4"/>
    <x v="14"/>
    <n v="57"/>
    <x v="2"/>
    <x v="1"/>
  </r>
  <r>
    <n v="66886"/>
    <x v="1"/>
    <x v="1"/>
    <n v="70952"/>
    <n v="3"/>
    <x v="3"/>
    <x v="2"/>
    <x v="1"/>
    <x v="0"/>
    <x v="8"/>
    <n v="33"/>
    <x v="0"/>
    <x v="0"/>
  </r>
  <r>
    <n v="76803"/>
    <x v="1"/>
    <x v="0"/>
    <n v="25463"/>
    <n v="4"/>
    <x v="1"/>
    <x v="2"/>
    <x v="0"/>
    <x v="3"/>
    <x v="10"/>
    <n v="68"/>
    <x v="2"/>
    <x v="1"/>
  </r>
  <r>
    <n v="41551"/>
    <x v="1"/>
    <x v="1"/>
    <n v="90448"/>
    <n v="0"/>
    <x v="3"/>
    <x v="2"/>
    <x v="0"/>
    <x v="2"/>
    <x v="7"/>
    <n v="60"/>
    <x v="2"/>
    <x v="0"/>
  </r>
  <r>
    <n v="21394"/>
    <x v="1"/>
    <x v="1"/>
    <n v="24648"/>
    <n v="0"/>
    <x v="1"/>
    <x v="3"/>
    <x v="0"/>
    <x v="3"/>
    <x v="15"/>
    <n v="38"/>
    <x v="0"/>
    <x v="0"/>
  </r>
  <r>
    <n v="79092"/>
    <x v="1"/>
    <x v="1"/>
    <n v="53623"/>
    <n v="2"/>
    <x v="2"/>
    <x v="1"/>
    <x v="0"/>
    <x v="0"/>
    <x v="11"/>
    <n v="49"/>
    <x v="0"/>
    <x v="0"/>
  </r>
  <r>
    <n v="13890"/>
    <x v="1"/>
    <x v="0"/>
    <n v="79156"/>
    <n v="1"/>
    <x v="3"/>
    <x v="2"/>
    <x v="1"/>
    <x v="0"/>
    <x v="13"/>
    <n v="24"/>
    <x v="1"/>
    <x v="1"/>
  </r>
  <r>
    <n v="51606"/>
    <x v="0"/>
    <x v="0"/>
    <n v="55634"/>
    <n v="3"/>
    <x v="0"/>
    <x v="0"/>
    <x v="0"/>
    <x v="1"/>
    <x v="12"/>
    <n v="50"/>
    <x v="0"/>
    <x v="0"/>
  </r>
  <r>
    <n v="90038"/>
    <x v="0"/>
    <x v="1"/>
    <n v="64602"/>
    <n v="3"/>
    <x v="3"/>
    <x v="3"/>
    <x v="0"/>
    <x v="2"/>
    <x v="15"/>
    <n v="26"/>
    <x v="1"/>
    <x v="0"/>
  </r>
  <r>
    <n v="97313"/>
    <x v="0"/>
    <x v="1"/>
    <n v="69334"/>
    <n v="1"/>
    <x v="1"/>
    <x v="3"/>
    <x v="0"/>
    <x v="0"/>
    <x v="12"/>
    <n v="38"/>
    <x v="0"/>
    <x v="1"/>
  </r>
  <r>
    <n v="20627"/>
    <x v="0"/>
    <x v="1"/>
    <n v="88648"/>
    <n v="0"/>
    <x v="2"/>
    <x v="1"/>
    <x v="0"/>
    <x v="4"/>
    <x v="3"/>
    <n v="50"/>
    <x v="0"/>
    <x v="1"/>
  </r>
  <r>
    <n v="18792"/>
    <x v="1"/>
    <x v="0"/>
    <n v="42054"/>
    <n v="2"/>
    <x v="1"/>
    <x v="2"/>
    <x v="1"/>
    <x v="2"/>
    <x v="10"/>
    <n v="58"/>
    <x v="2"/>
    <x v="1"/>
  </r>
  <r>
    <n v="83969"/>
    <x v="1"/>
    <x v="1"/>
    <n v="90028"/>
    <n v="2"/>
    <x v="3"/>
    <x v="1"/>
    <x v="1"/>
    <x v="2"/>
    <x v="12"/>
    <n v="43"/>
    <x v="0"/>
    <x v="1"/>
  </r>
  <r>
    <n v="53001"/>
    <x v="0"/>
    <x v="0"/>
    <n v="42207"/>
    <n v="3"/>
    <x v="3"/>
    <x v="3"/>
    <x v="1"/>
    <x v="4"/>
    <x v="2"/>
    <n v="53"/>
    <x v="0"/>
    <x v="1"/>
  </r>
  <r>
    <n v="86552"/>
    <x v="0"/>
    <x v="1"/>
    <n v="100650"/>
    <n v="2"/>
    <x v="0"/>
    <x v="2"/>
    <x v="0"/>
    <x v="3"/>
    <x v="8"/>
    <n v="42"/>
    <x v="0"/>
    <x v="0"/>
  </r>
  <r>
    <n v="33897"/>
    <x v="0"/>
    <x v="1"/>
    <n v="119821"/>
    <n v="5"/>
    <x v="2"/>
    <x v="0"/>
    <x v="0"/>
    <x v="4"/>
    <x v="2"/>
    <n v="67"/>
    <x v="2"/>
    <x v="1"/>
  </r>
  <r>
    <n v="78148"/>
    <x v="1"/>
    <x v="1"/>
    <n v="101554"/>
    <n v="1"/>
    <x v="2"/>
    <x v="2"/>
    <x v="1"/>
    <x v="4"/>
    <x v="10"/>
    <n v="64"/>
    <x v="2"/>
    <x v="0"/>
  </r>
  <r>
    <n v="33483"/>
    <x v="1"/>
    <x v="1"/>
    <n v="41386"/>
    <n v="0"/>
    <x v="3"/>
    <x v="3"/>
    <x v="0"/>
    <x v="3"/>
    <x v="3"/>
    <n v="59"/>
    <x v="2"/>
    <x v="0"/>
  </r>
  <r>
    <n v="58555"/>
    <x v="0"/>
    <x v="1"/>
    <n v="103276"/>
    <n v="5"/>
    <x v="2"/>
    <x v="0"/>
    <x v="0"/>
    <x v="3"/>
    <x v="9"/>
    <n v="25"/>
    <x v="1"/>
    <x v="0"/>
  </r>
  <r>
    <n v="27159"/>
    <x v="1"/>
    <x v="1"/>
    <n v="79518"/>
    <n v="1"/>
    <x v="0"/>
    <x v="2"/>
    <x v="1"/>
    <x v="3"/>
    <x v="1"/>
    <n v="57"/>
    <x v="2"/>
    <x v="0"/>
  </r>
  <r>
    <n v="90077"/>
    <x v="1"/>
    <x v="0"/>
    <n v="72781"/>
    <n v="4"/>
    <x v="1"/>
    <x v="0"/>
    <x v="1"/>
    <x v="3"/>
    <x v="4"/>
    <n v="60"/>
    <x v="2"/>
    <x v="1"/>
  </r>
  <r>
    <n v="45920"/>
    <x v="0"/>
    <x v="1"/>
    <n v="72780"/>
    <n v="3"/>
    <x v="2"/>
    <x v="0"/>
    <x v="0"/>
    <x v="3"/>
    <x v="13"/>
    <n v="55"/>
    <x v="2"/>
    <x v="0"/>
  </r>
  <r>
    <n v="77121"/>
    <x v="1"/>
    <x v="0"/>
    <n v="81440"/>
    <n v="2"/>
    <x v="3"/>
    <x v="3"/>
    <x v="0"/>
    <x v="4"/>
    <x v="4"/>
    <n v="46"/>
    <x v="0"/>
    <x v="0"/>
  </r>
  <r>
    <n v="79479"/>
    <x v="1"/>
    <x v="1"/>
    <n v="64199"/>
    <n v="4"/>
    <x v="1"/>
    <x v="0"/>
    <x v="0"/>
    <x v="1"/>
    <x v="8"/>
    <n v="30"/>
    <x v="1"/>
    <x v="0"/>
  </r>
  <r>
    <n v="99475"/>
    <x v="0"/>
    <x v="1"/>
    <n v="81035"/>
    <n v="2"/>
    <x v="1"/>
    <x v="1"/>
    <x v="1"/>
    <x v="1"/>
    <x v="7"/>
    <n v="24"/>
    <x v="1"/>
    <x v="0"/>
  </r>
  <r>
    <n v="29457"/>
    <x v="0"/>
    <x v="0"/>
    <n v="28210"/>
    <n v="5"/>
    <x v="0"/>
    <x v="3"/>
    <x v="1"/>
    <x v="0"/>
    <x v="12"/>
    <n v="36"/>
    <x v="0"/>
    <x v="1"/>
  </r>
  <r>
    <n v="76557"/>
    <x v="0"/>
    <x v="1"/>
    <n v="64363"/>
    <n v="0"/>
    <x v="3"/>
    <x v="1"/>
    <x v="1"/>
    <x v="1"/>
    <x v="14"/>
    <n v="26"/>
    <x v="1"/>
    <x v="1"/>
  </r>
  <r>
    <n v="87189"/>
    <x v="0"/>
    <x v="0"/>
    <n v="98279"/>
    <n v="0"/>
    <x v="2"/>
    <x v="0"/>
    <x v="1"/>
    <x v="1"/>
    <x v="4"/>
    <n v="46"/>
    <x v="0"/>
    <x v="0"/>
  </r>
  <r>
    <n v="88953"/>
    <x v="1"/>
    <x v="0"/>
    <n v="80348"/>
    <n v="0"/>
    <x v="3"/>
    <x v="1"/>
    <x v="0"/>
    <x v="4"/>
    <x v="0"/>
    <n v="66"/>
    <x v="2"/>
    <x v="0"/>
  </r>
  <r>
    <n v="62995"/>
    <x v="1"/>
    <x v="1"/>
    <n v="75284"/>
    <n v="2"/>
    <x v="1"/>
    <x v="2"/>
    <x v="1"/>
    <x v="3"/>
    <x v="5"/>
    <n v="34"/>
    <x v="0"/>
    <x v="0"/>
  </r>
  <r>
    <n v="50757"/>
    <x v="0"/>
    <x v="0"/>
    <n v="92124"/>
    <n v="4"/>
    <x v="3"/>
    <x v="0"/>
    <x v="1"/>
    <x v="3"/>
    <x v="15"/>
    <n v="65"/>
    <x v="2"/>
    <x v="0"/>
  </r>
  <r>
    <n v="19692"/>
    <x v="0"/>
    <x v="0"/>
    <n v="88847"/>
    <n v="0"/>
    <x v="2"/>
    <x v="2"/>
    <x v="0"/>
    <x v="4"/>
    <x v="8"/>
    <n v="32"/>
    <x v="0"/>
    <x v="1"/>
  </r>
  <r>
    <n v="55758"/>
    <x v="0"/>
    <x v="1"/>
    <n v="42432"/>
    <n v="4"/>
    <x v="2"/>
    <x v="1"/>
    <x v="0"/>
    <x v="1"/>
    <x v="5"/>
    <n v="30"/>
    <x v="1"/>
    <x v="1"/>
  </r>
  <r>
    <n v="82409"/>
    <x v="0"/>
    <x v="0"/>
    <n v="84089"/>
    <n v="2"/>
    <x v="0"/>
    <x v="2"/>
    <x v="0"/>
    <x v="4"/>
    <x v="12"/>
    <n v="64"/>
    <x v="2"/>
    <x v="1"/>
  </r>
  <r>
    <n v="81211"/>
    <x v="1"/>
    <x v="1"/>
    <n v="75398"/>
    <n v="5"/>
    <x v="2"/>
    <x v="0"/>
    <x v="1"/>
    <x v="0"/>
    <x v="13"/>
    <n v="45"/>
    <x v="0"/>
    <x v="1"/>
  </r>
  <r>
    <n v="75697"/>
    <x v="0"/>
    <x v="1"/>
    <n v="119291"/>
    <n v="4"/>
    <x v="2"/>
    <x v="2"/>
    <x v="0"/>
    <x v="3"/>
    <x v="2"/>
    <n v="41"/>
    <x v="0"/>
    <x v="0"/>
  </r>
  <r>
    <n v="47065"/>
    <x v="0"/>
    <x v="1"/>
    <n v="23321"/>
    <n v="5"/>
    <x v="3"/>
    <x v="1"/>
    <x v="0"/>
    <x v="2"/>
    <x v="4"/>
    <n v="47"/>
    <x v="0"/>
    <x v="0"/>
  </r>
  <r>
    <n v="42606"/>
    <x v="0"/>
    <x v="1"/>
    <n v="101348"/>
    <n v="2"/>
    <x v="3"/>
    <x v="1"/>
    <x v="1"/>
    <x v="0"/>
    <x v="15"/>
    <n v="43"/>
    <x v="0"/>
    <x v="1"/>
  </r>
  <r>
    <n v="62251"/>
    <x v="0"/>
    <x v="0"/>
    <n v="96917"/>
    <n v="4"/>
    <x v="3"/>
    <x v="0"/>
    <x v="1"/>
    <x v="1"/>
    <x v="14"/>
    <n v="48"/>
    <x v="0"/>
    <x v="1"/>
  </r>
  <r>
    <n v="50397"/>
    <x v="0"/>
    <x v="1"/>
    <n v="98682"/>
    <n v="3"/>
    <x v="0"/>
    <x v="0"/>
    <x v="0"/>
    <x v="4"/>
    <x v="10"/>
    <n v="28"/>
    <x v="1"/>
    <x v="1"/>
  </r>
  <r>
    <n v="11016"/>
    <x v="1"/>
    <x v="1"/>
    <n v="99190"/>
    <n v="2"/>
    <x v="3"/>
    <x v="1"/>
    <x v="1"/>
    <x v="1"/>
    <x v="8"/>
    <n v="61"/>
    <x v="2"/>
    <x v="1"/>
  </r>
  <r>
    <n v="99789"/>
    <x v="0"/>
    <x v="0"/>
    <n v="72893"/>
    <n v="2"/>
    <x v="2"/>
    <x v="0"/>
    <x v="0"/>
    <x v="3"/>
    <x v="12"/>
    <n v="23"/>
    <x v="1"/>
    <x v="0"/>
  </r>
  <r>
    <n v="65591"/>
    <x v="1"/>
    <x v="1"/>
    <n v="55820"/>
    <n v="1"/>
    <x v="1"/>
    <x v="2"/>
    <x v="0"/>
    <x v="2"/>
    <x v="8"/>
    <n v="68"/>
    <x v="2"/>
    <x v="1"/>
  </r>
  <r>
    <n v="99812"/>
    <x v="1"/>
    <x v="1"/>
    <n v="86262"/>
    <n v="0"/>
    <x v="3"/>
    <x v="1"/>
    <x v="1"/>
    <x v="0"/>
    <x v="2"/>
    <n v="65"/>
    <x v="2"/>
    <x v="0"/>
  </r>
  <r>
    <n v="33247"/>
    <x v="0"/>
    <x v="0"/>
    <n v="23760"/>
    <n v="3"/>
    <x v="0"/>
    <x v="2"/>
    <x v="0"/>
    <x v="2"/>
    <x v="14"/>
    <n v="37"/>
    <x v="0"/>
    <x v="0"/>
  </r>
  <r>
    <n v="34300"/>
    <x v="0"/>
    <x v="0"/>
    <n v="42190"/>
    <n v="3"/>
    <x v="0"/>
    <x v="3"/>
    <x v="1"/>
    <x v="1"/>
    <x v="10"/>
    <n v="62"/>
    <x v="2"/>
    <x v="0"/>
  </r>
  <r>
    <n v="84065"/>
    <x v="1"/>
    <x v="0"/>
    <n v="87411"/>
    <n v="3"/>
    <x v="1"/>
    <x v="2"/>
    <x v="1"/>
    <x v="1"/>
    <x v="13"/>
    <n v="35"/>
    <x v="0"/>
    <x v="1"/>
  </r>
  <r>
    <n v="92798"/>
    <x v="1"/>
    <x v="0"/>
    <n v="43377"/>
    <n v="1"/>
    <x v="1"/>
    <x v="3"/>
    <x v="1"/>
    <x v="2"/>
    <x v="1"/>
    <n v="52"/>
    <x v="0"/>
    <x v="0"/>
  </r>
  <r>
    <n v="19268"/>
    <x v="0"/>
    <x v="0"/>
    <n v="66737"/>
    <n v="5"/>
    <x v="1"/>
    <x v="2"/>
    <x v="0"/>
    <x v="3"/>
    <x v="11"/>
    <n v="48"/>
    <x v="0"/>
    <x v="0"/>
  </r>
  <r>
    <n v="96807"/>
    <x v="0"/>
    <x v="0"/>
    <n v="89569"/>
    <n v="2"/>
    <x v="1"/>
    <x v="0"/>
    <x v="1"/>
    <x v="1"/>
    <x v="8"/>
    <n v="58"/>
    <x v="2"/>
    <x v="0"/>
  </r>
  <r>
    <n v="22185"/>
    <x v="1"/>
    <x v="0"/>
    <n v="58211"/>
    <n v="0"/>
    <x v="1"/>
    <x v="2"/>
    <x v="1"/>
    <x v="2"/>
    <x v="15"/>
    <n v="29"/>
    <x v="1"/>
    <x v="1"/>
  </r>
  <r>
    <n v="73704"/>
    <x v="1"/>
    <x v="1"/>
    <n v="102909"/>
    <n v="4"/>
    <x v="2"/>
    <x v="0"/>
    <x v="0"/>
    <x v="0"/>
    <x v="0"/>
    <n v="28"/>
    <x v="1"/>
    <x v="1"/>
  </r>
  <r>
    <n v="96779"/>
    <x v="0"/>
    <x v="0"/>
    <n v="23744"/>
    <n v="5"/>
    <x v="2"/>
    <x v="0"/>
    <x v="0"/>
    <x v="2"/>
    <x v="0"/>
    <n v="50"/>
    <x v="0"/>
    <x v="0"/>
  </r>
  <r>
    <n v="49099"/>
    <x v="1"/>
    <x v="0"/>
    <n v="44995"/>
    <n v="2"/>
    <x v="3"/>
    <x v="1"/>
    <x v="0"/>
    <x v="2"/>
    <x v="0"/>
    <n v="47"/>
    <x v="0"/>
    <x v="1"/>
  </r>
  <r>
    <n v="48044"/>
    <x v="1"/>
    <x v="1"/>
    <n v="117938"/>
    <n v="2"/>
    <x v="2"/>
    <x v="3"/>
    <x v="1"/>
    <x v="1"/>
    <x v="4"/>
    <n v="33"/>
    <x v="0"/>
    <x v="0"/>
  </r>
  <r>
    <n v="61214"/>
    <x v="0"/>
    <x v="1"/>
    <n v="54542"/>
    <n v="2"/>
    <x v="2"/>
    <x v="1"/>
    <x v="1"/>
    <x v="3"/>
    <x v="8"/>
    <n v="44"/>
    <x v="0"/>
    <x v="1"/>
  </r>
  <r>
    <n v="71228"/>
    <x v="0"/>
    <x v="0"/>
    <n v="30651"/>
    <n v="1"/>
    <x v="2"/>
    <x v="1"/>
    <x v="1"/>
    <x v="3"/>
    <x v="12"/>
    <n v="34"/>
    <x v="0"/>
    <x v="1"/>
  </r>
  <r>
    <n v="58984"/>
    <x v="0"/>
    <x v="0"/>
    <n v="119239"/>
    <n v="3"/>
    <x v="3"/>
    <x v="2"/>
    <x v="0"/>
    <x v="4"/>
    <x v="10"/>
    <n v="21"/>
    <x v="1"/>
    <x v="1"/>
  </r>
  <r>
    <n v="50774"/>
    <x v="1"/>
    <x v="0"/>
    <n v="98931"/>
    <n v="3"/>
    <x v="1"/>
    <x v="0"/>
    <x v="0"/>
    <x v="3"/>
    <x v="11"/>
    <n v="43"/>
    <x v="0"/>
    <x v="0"/>
  </r>
  <r>
    <n v="12568"/>
    <x v="0"/>
    <x v="1"/>
    <n v="115344"/>
    <n v="0"/>
    <x v="3"/>
    <x v="0"/>
    <x v="1"/>
    <x v="2"/>
    <x v="9"/>
    <n v="33"/>
    <x v="0"/>
    <x v="1"/>
  </r>
  <r>
    <n v="72592"/>
    <x v="0"/>
    <x v="1"/>
    <n v="36715"/>
    <n v="0"/>
    <x v="0"/>
    <x v="3"/>
    <x v="0"/>
    <x v="4"/>
    <x v="8"/>
    <n v="67"/>
    <x v="2"/>
    <x v="0"/>
  </r>
  <r>
    <n v="77563"/>
    <x v="0"/>
    <x v="0"/>
    <n v="64409"/>
    <n v="3"/>
    <x v="0"/>
    <x v="2"/>
    <x v="0"/>
    <x v="0"/>
    <x v="5"/>
    <n v="26"/>
    <x v="1"/>
    <x v="1"/>
  </r>
  <r>
    <n v="12695"/>
    <x v="0"/>
    <x v="1"/>
    <n v="44306"/>
    <n v="5"/>
    <x v="0"/>
    <x v="2"/>
    <x v="1"/>
    <x v="1"/>
    <x v="1"/>
    <n v="55"/>
    <x v="2"/>
    <x v="1"/>
  </r>
  <r>
    <n v="58190"/>
    <x v="1"/>
    <x v="0"/>
    <n v="39086"/>
    <n v="4"/>
    <x v="0"/>
    <x v="1"/>
    <x v="1"/>
    <x v="1"/>
    <x v="1"/>
    <n v="69"/>
    <x v="2"/>
    <x v="0"/>
  </r>
  <r>
    <n v="15258"/>
    <x v="0"/>
    <x v="1"/>
    <n v="34376"/>
    <n v="2"/>
    <x v="2"/>
    <x v="1"/>
    <x v="0"/>
    <x v="1"/>
    <x v="4"/>
    <n v="43"/>
    <x v="0"/>
    <x v="1"/>
  </r>
  <r>
    <n v="97538"/>
    <x v="1"/>
    <x v="1"/>
    <n v="81350"/>
    <n v="4"/>
    <x v="2"/>
    <x v="1"/>
    <x v="0"/>
    <x v="2"/>
    <x v="5"/>
    <n v="46"/>
    <x v="0"/>
    <x v="0"/>
  </r>
  <r>
    <n v="49504"/>
    <x v="1"/>
    <x v="0"/>
    <n v="91425"/>
    <n v="2"/>
    <x v="3"/>
    <x v="3"/>
    <x v="0"/>
    <x v="0"/>
    <x v="6"/>
    <n v="56"/>
    <x v="2"/>
    <x v="1"/>
  </r>
  <r>
    <n v="43159"/>
    <x v="0"/>
    <x v="0"/>
    <n v="56636"/>
    <n v="3"/>
    <x v="1"/>
    <x v="3"/>
    <x v="1"/>
    <x v="4"/>
    <x v="4"/>
    <n v="57"/>
    <x v="2"/>
    <x v="1"/>
  </r>
  <r>
    <n v="23986"/>
    <x v="0"/>
    <x v="0"/>
    <n v="106120"/>
    <n v="0"/>
    <x v="0"/>
    <x v="1"/>
    <x v="1"/>
    <x v="4"/>
    <x v="0"/>
    <n v="49"/>
    <x v="0"/>
    <x v="1"/>
  </r>
  <r>
    <n v="71858"/>
    <x v="0"/>
    <x v="0"/>
    <n v="71649"/>
    <n v="5"/>
    <x v="3"/>
    <x v="2"/>
    <x v="1"/>
    <x v="1"/>
    <x v="11"/>
    <n v="46"/>
    <x v="0"/>
    <x v="1"/>
  </r>
  <r>
    <n v="22666"/>
    <x v="0"/>
    <x v="1"/>
    <n v="54610"/>
    <n v="0"/>
    <x v="2"/>
    <x v="3"/>
    <x v="1"/>
    <x v="0"/>
    <x v="2"/>
    <n v="58"/>
    <x v="2"/>
    <x v="0"/>
  </r>
  <r>
    <n v="48660"/>
    <x v="0"/>
    <x v="1"/>
    <n v="30058"/>
    <n v="4"/>
    <x v="2"/>
    <x v="2"/>
    <x v="1"/>
    <x v="0"/>
    <x v="0"/>
    <n v="34"/>
    <x v="0"/>
    <x v="0"/>
  </r>
  <r>
    <n v="13561"/>
    <x v="0"/>
    <x v="1"/>
    <n v="94637"/>
    <n v="0"/>
    <x v="1"/>
    <x v="2"/>
    <x v="0"/>
    <x v="0"/>
    <x v="9"/>
    <n v="45"/>
    <x v="0"/>
    <x v="1"/>
  </r>
  <r>
    <n v="36854"/>
    <x v="1"/>
    <x v="0"/>
    <n v="98033"/>
    <n v="3"/>
    <x v="1"/>
    <x v="0"/>
    <x v="0"/>
    <x v="3"/>
    <x v="0"/>
    <n v="20"/>
    <x v="1"/>
    <x v="0"/>
  </r>
  <r>
    <n v="74505"/>
    <x v="0"/>
    <x v="1"/>
    <n v="90194"/>
    <n v="5"/>
    <x v="1"/>
    <x v="1"/>
    <x v="0"/>
    <x v="3"/>
    <x v="11"/>
    <n v="23"/>
    <x v="1"/>
    <x v="0"/>
  </r>
  <r>
    <n v="32662"/>
    <x v="1"/>
    <x v="1"/>
    <n v="84200"/>
    <n v="5"/>
    <x v="2"/>
    <x v="1"/>
    <x v="1"/>
    <x v="0"/>
    <x v="12"/>
    <n v="20"/>
    <x v="1"/>
    <x v="1"/>
  </r>
  <r>
    <n v="18392"/>
    <x v="0"/>
    <x v="0"/>
    <n v="66619"/>
    <n v="2"/>
    <x v="2"/>
    <x v="1"/>
    <x v="1"/>
    <x v="0"/>
    <x v="10"/>
    <n v="62"/>
    <x v="2"/>
    <x v="0"/>
  </r>
  <r>
    <n v="40535"/>
    <x v="1"/>
    <x v="0"/>
    <n v="37154"/>
    <n v="0"/>
    <x v="1"/>
    <x v="2"/>
    <x v="0"/>
    <x v="4"/>
    <x v="15"/>
    <n v="69"/>
    <x v="2"/>
    <x v="0"/>
  </r>
  <r>
    <n v="88603"/>
    <x v="1"/>
    <x v="1"/>
    <n v="39539"/>
    <n v="5"/>
    <x v="0"/>
    <x v="1"/>
    <x v="1"/>
    <x v="4"/>
    <x v="2"/>
    <n v="65"/>
    <x v="2"/>
    <x v="0"/>
  </r>
  <r>
    <n v="62256"/>
    <x v="0"/>
    <x v="0"/>
    <n v="80058"/>
    <n v="1"/>
    <x v="1"/>
    <x v="2"/>
    <x v="1"/>
    <x v="1"/>
    <x v="1"/>
    <n v="41"/>
    <x v="0"/>
    <x v="0"/>
  </r>
  <r>
    <n v="99135"/>
    <x v="1"/>
    <x v="0"/>
    <n v="82068"/>
    <n v="0"/>
    <x v="3"/>
    <x v="2"/>
    <x v="0"/>
    <x v="0"/>
    <x v="5"/>
    <n v="30"/>
    <x v="1"/>
    <x v="0"/>
  </r>
  <r>
    <n v="45222"/>
    <x v="0"/>
    <x v="1"/>
    <n v="97313"/>
    <n v="2"/>
    <x v="1"/>
    <x v="1"/>
    <x v="1"/>
    <x v="1"/>
    <x v="6"/>
    <n v="29"/>
    <x v="1"/>
    <x v="1"/>
  </r>
  <r>
    <n v="87373"/>
    <x v="0"/>
    <x v="0"/>
    <n v="119932"/>
    <n v="5"/>
    <x v="1"/>
    <x v="2"/>
    <x v="0"/>
    <x v="4"/>
    <x v="12"/>
    <n v="36"/>
    <x v="0"/>
    <x v="1"/>
  </r>
  <r>
    <n v="89575"/>
    <x v="0"/>
    <x v="0"/>
    <n v="50373"/>
    <n v="4"/>
    <x v="3"/>
    <x v="2"/>
    <x v="1"/>
    <x v="4"/>
    <x v="11"/>
    <n v="55"/>
    <x v="2"/>
    <x v="1"/>
  </r>
  <r>
    <n v="94651"/>
    <x v="0"/>
    <x v="0"/>
    <n v="53154"/>
    <n v="2"/>
    <x v="1"/>
    <x v="2"/>
    <x v="1"/>
    <x v="3"/>
    <x v="13"/>
    <n v="66"/>
    <x v="2"/>
    <x v="0"/>
  </r>
  <r>
    <n v="73335"/>
    <x v="1"/>
    <x v="1"/>
    <n v="26031"/>
    <n v="1"/>
    <x v="2"/>
    <x v="3"/>
    <x v="0"/>
    <x v="1"/>
    <x v="3"/>
    <n v="45"/>
    <x v="0"/>
    <x v="0"/>
  </r>
  <r>
    <n v="20965"/>
    <x v="0"/>
    <x v="1"/>
    <n v="113533"/>
    <n v="5"/>
    <x v="0"/>
    <x v="2"/>
    <x v="0"/>
    <x v="1"/>
    <x v="3"/>
    <n v="67"/>
    <x v="2"/>
    <x v="0"/>
  </r>
  <r>
    <n v="34538"/>
    <x v="0"/>
    <x v="0"/>
    <n v="91975"/>
    <n v="3"/>
    <x v="1"/>
    <x v="3"/>
    <x v="0"/>
    <x v="0"/>
    <x v="15"/>
    <n v="40"/>
    <x v="0"/>
    <x v="0"/>
  </r>
  <r>
    <n v="80592"/>
    <x v="0"/>
    <x v="1"/>
    <n v="42785"/>
    <n v="0"/>
    <x v="3"/>
    <x v="3"/>
    <x v="0"/>
    <x v="0"/>
    <x v="14"/>
    <n v="32"/>
    <x v="0"/>
    <x v="0"/>
  </r>
  <r>
    <n v="18110"/>
    <x v="1"/>
    <x v="0"/>
    <n v="98928"/>
    <n v="4"/>
    <x v="0"/>
    <x v="2"/>
    <x v="0"/>
    <x v="3"/>
    <x v="3"/>
    <n v="28"/>
    <x v="1"/>
    <x v="0"/>
  </r>
  <r>
    <n v="89309"/>
    <x v="0"/>
    <x v="0"/>
    <n v="48669"/>
    <n v="3"/>
    <x v="3"/>
    <x v="2"/>
    <x v="0"/>
    <x v="2"/>
    <x v="3"/>
    <n v="30"/>
    <x v="1"/>
    <x v="1"/>
  </r>
  <r>
    <n v="37266"/>
    <x v="1"/>
    <x v="0"/>
    <n v="114475"/>
    <n v="5"/>
    <x v="0"/>
    <x v="3"/>
    <x v="1"/>
    <x v="2"/>
    <x v="5"/>
    <n v="30"/>
    <x v="1"/>
    <x v="0"/>
  </r>
  <r>
    <n v="62992"/>
    <x v="0"/>
    <x v="0"/>
    <n v="22282"/>
    <n v="5"/>
    <x v="0"/>
    <x v="3"/>
    <x v="1"/>
    <x v="2"/>
    <x v="14"/>
    <n v="25"/>
    <x v="1"/>
    <x v="0"/>
  </r>
  <r>
    <n v="92948"/>
    <x v="1"/>
    <x v="0"/>
    <n v="54624"/>
    <n v="2"/>
    <x v="1"/>
    <x v="2"/>
    <x v="0"/>
    <x v="1"/>
    <x v="2"/>
    <n v="20"/>
    <x v="1"/>
    <x v="1"/>
  </r>
  <r>
    <n v="16910"/>
    <x v="1"/>
    <x v="1"/>
    <n v="68438"/>
    <n v="5"/>
    <x v="2"/>
    <x v="2"/>
    <x v="1"/>
    <x v="1"/>
    <x v="5"/>
    <n v="25"/>
    <x v="1"/>
    <x v="0"/>
  </r>
  <r>
    <n v="10206"/>
    <x v="1"/>
    <x v="0"/>
    <n v="109900"/>
    <n v="4"/>
    <x v="1"/>
    <x v="1"/>
    <x v="0"/>
    <x v="4"/>
    <x v="2"/>
    <n v="32"/>
    <x v="0"/>
    <x v="0"/>
  </r>
  <r>
    <n v="97054"/>
    <x v="1"/>
    <x v="1"/>
    <n v="87534"/>
    <n v="3"/>
    <x v="3"/>
    <x v="3"/>
    <x v="1"/>
    <x v="1"/>
    <x v="12"/>
    <n v="41"/>
    <x v="0"/>
    <x v="1"/>
  </r>
  <r>
    <n v="97897"/>
    <x v="0"/>
    <x v="1"/>
    <n v="51705"/>
    <n v="4"/>
    <x v="3"/>
    <x v="3"/>
    <x v="0"/>
    <x v="1"/>
    <x v="15"/>
    <n v="50"/>
    <x v="0"/>
    <x v="1"/>
  </r>
  <r>
    <n v="33419"/>
    <x v="1"/>
    <x v="0"/>
    <n v="58244"/>
    <n v="1"/>
    <x v="0"/>
    <x v="1"/>
    <x v="1"/>
    <x v="1"/>
    <x v="13"/>
    <n v="41"/>
    <x v="0"/>
    <x v="0"/>
  </r>
  <r>
    <n v="60636"/>
    <x v="0"/>
    <x v="0"/>
    <n v="94964"/>
    <n v="1"/>
    <x v="0"/>
    <x v="3"/>
    <x v="1"/>
    <x v="3"/>
    <x v="8"/>
    <n v="56"/>
    <x v="2"/>
    <x v="0"/>
  </r>
  <r>
    <n v="60015"/>
    <x v="0"/>
    <x v="1"/>
    <n v="57437"/>
    <n v="0"/>
    <x v="2"/>
    <x v="0"/>
    <x v="1"/>
    <x v="1"/>
    <x v="15"/>
    <n v="66"/>
    <x v="2"/>
    <x v="0"/>
  </r>
  <r>
    <n v="64268"/>
    <x v="0"/>
    <x v="1"/>
    <n v="97872"/>
    <n v="0"/>
    <x v="1"/>
    <x v="3"/>
    <x v="1"/>
    <x v="0"/>
    <x v="10"/>
    <n v="46"/>
    <x v="0"/>
    <x v="1"/>
  </r>
  <r>
    <n v="97939"/>
    <x v="1"/>
    <x v="1"/>
    <n v="94878"/>
    <n v="1"/>
    <x v="3"/>
    <x v="1"/>
    <x v="1"/>
    <x v="0"/>
    <x v="4"/>
    <n v="69"/>
    <x v="2"/>
    <x v="1"/>
  </r>
  <r>
    <n v="28141"/>
    <x v="0"/>
    <x v="0"/>
    <n v="92982"/>
    <n v="5"/>
    <x v="0"/>
    <x v="0"/>
    <x v="0"/>
    <x v="4"/>
    <x v="14"/>
    <n v="33"/>
    <x v="0"/>
    <x v="1"/>
  </r>
  <r>
    <n v="90356"/>
    <x v="1"/>
    <x v="1"/>
    <n v="70583"/>
    <n v="4"/>
    <x v="2"/>
    <x v="2"/>
    <x v="0"/>
    <x v="3"/>
    <x v="10"/>
    <n v="66"/>
    <x v="2"/>
    <x v="1"/>
  </r>
  <r>
    <n v="81910"/>
    <x v="1"/>
    <x v="0"/>
    <n v="58392"/>
    <n v="1"/>
    <x v="3"/>
    <x v="1"/>
    <x v="0"/>
    <x v="0"/>
    <x v="13"/>
    <n v="24"/>
    <x v="1"/>
    <x v="1"/>
  </r>
  <r>
    <n v="66044"/>
    <x v="1"/>
    <x v="0"/>
    <n v="27461"/>
    <n v="0"/>
    <x v="0"/>
    <x v="1"/>
    <x v="1"/>
    <x v="3"/>
    <x v="1"/>
    <n v="55"/>
    <x v="2"/>
    <x v="0"/>
  </r>
  <r>
    <n v="77214"/>
    <x v="1"/>
    <x v="0"/>
    <n v="30516"/>
    <n v="1"/>
    <x v="3"/>
    <x v="2"/>
    <x v="0"/>
    <x v="3"/>
    <x v="14"/>
    <n v="51"/>
    <x v="0"/>
    <x v="1"/>
  </r>
  <r>
    <n v="43827"/>
    <x v="1"/>
    <x v="1"/>
    <n v="99285"/>
    <n v="5"/>
    <x v="2"/>
    <x v="1"/>
    <x v="1"/>
    <x v="4"/>
    <x v="11"/>
    <n v="53"/>
    <x v="0"/>
    <x v="1"/>
  </r>
  <r>
    <n v="65820"/>
    <x v="1"/>
    <x v="0"/>
    <n v="37514"/>
    <n v="1"/>
    <x v="2"/>
    <x v="3"/>
    <x v="1"/>
    <x v="3"/>
    <x v="8"/>
    <n v="26"/>
    <x v="1"/>
    <x v="1"/>
  </r>
  <r>
    <n v="72623"/>
    <x v="1"/>
    <x v="0"/>
    <n v="56268"/>
    <n v="4"/>
    <x v="3"/>
    <x v="2"/>
    <x v="1"/>
    <x v="1"/>
    <x v="2"/>
    <n v="61"/>
    <x v="2"/>
    <x v="1"/>
  </r>
  <r>
    <n v="91734"/>
    <x v="1"/>
    <x v="0"/>
    <n v="110486"/>
    <n v="3"/>
    <x v="1"/>
    <x v="1"/>
    <x v="0"/>
    <x v="3"/>
    <x v="5"/>
    <n v="67"/>
    <x v="2"/>
    <x v="0"/>
  </r>
  <r>
    <n v="85450"/>
    <x v="1"/>
    <x v="0"/>
    <n v="56788"/>
    <n v="5"/>
    <x v="3"/>
    <x v="2"/>
    <x v="1"/>
    <x v="4"/>
    <x v="6"/>
    <n v="29"/>
    <x v="1"/>
    <x v="0"/>
  </r>
  <r>
    <n v="32299"/>
    <x v="1"/>
    <x v="0"/>
    <n v="95749"/>
    <n v="0"/>
    <x v="0"/>
    <x v="2"/>
    <x v="0"/>
    <x v="4"/>
    <x v="7"/>
    <n v="69"/>
    <x v="2"/>
    <x v="0"/>
  </r>
  <r>
    <n v="53585"/>
    <x v="0"/>
    <x v="1"/>
    <n v="81049"/>
    <n v="4"/>
    <x v="1"/>
    <x v="2"/>
    <x v="0"/>
    <x v="4"/>
    <x v="2"/>
    <n v="36"/>
    <x v="0"/>
    <x v="1"/>
  </r>
  <r>
    <n v="74044"/>
    <x v="0"/>
    <x v="0"/>
    <n v="82493"/>
    <n v="1"/>
    <x v="0"/>
    <x v="0"/>
    <x v="1"/>
    <x v="0"/>
    <x v="13"/>
    <n v="49"/>
    <x v="0"/>
    <x v="1"/>
  </r>
  <r>
    <n v="52557"/>
    <x v="0"/>
    <x v="0"/>
    <n v="56027"/>
    <n v="1"/>
    <x v="3"/>
    <x v="1"/>
    <x v="1"/>
    <x v="1"/>
    <x v="8"/>
    <n v="40"/>
    <x v="0"/>
    <x v="0"/>
  </r>
  <r>
    <n v="59080"/>
    <x v="0"/>
    <x v="1"/>
    <n v="113547"/>
    <n v="3"/>
    <x v="1"/>
    <x v="0"/>
    <x v="0"/>
    <x v="0"/>
    <x v="15"/>
    <n v="32"/>
    <x v="0"/>
    <x v="1"/>
  </r>
  <r>
    <n v="12693"/>
    <x v="1"/>
    <x v="0"/>
    <n v="62849"/>
    <n v="0"/>
    <x v="0"/>
    <x v="1"/>
    <x v="0"/>
    <x v="2"/>
    <x v="10"/>
    <n v="20"/>
    <x v="1"/>
    <x v="0"/>
  </r>
  <r>
    <n v="79163"/>
    <x v="1"/>
    <x v="1"/>
    <n v="37858"/>
    <n v="0"/>
    <x v="3"/>
    <x v="3"/>
    <x v="0"/>
    <x v="1"/>
    <x v="7"/>
    <n v="20"/>
    <x v="1"/>
    <x v="1"/>
  </r>
  <r>
    <n v="35939"/>
    <x v="1"/>
    <x v="0"/>
    <n v="104162"/>
    <n v="2"/>
    <x v="3"/>
    <x v="3"/>
    <x v="0"/>
    <x v="3"/>
    <x v="13"/>
    <n v="66"/>
    <x v="2"/>
    <x v="0"/>
  </r>
  <r>
    <n v="58925"/>
    <x v="0"/>
    <x v="1"/>
    <n v="99003"/>
    <n v="0"/>
    <x v="1"/>
    <x v="3"/>
    <x v="0"/>
    <x v="4"/>
    <x v="3"/>
    <n v="52"/>
    <x v="0"/>
    <x v="1"/>
  </r>
  <r>
    <n v="52941"/>
    <x v="1"/>
    <x v="1"/>
    <n v="72395"/>
    <n v="3"/>
    <x v="3"/>
    <x v="1"/>
    <x v="0"/>
    <x v="2"/>
    <x v="9"/>
    <n v="57"/>
    <x v="2"/>
    <x v="0"/>
  </r>
  <r>
    <n v="31834"/>
    <x v="1"/>
    <x v="0"/>
    <n v="59758"/>
    <n v="2"/>
    <x v="2"/>
    <x v="2"/>
    <x v="1"/>
    <x v="1"/>
    <x v="5"/>
    <n v="44"/>
    <x v="0"/>
    <x v="0"/>
  </r>
  <r>
    <n v="28047"/>
    <x v="1"/>
    <x v="0"/>
    <n v="74312"/>
    <n v="2"/>
    <x v="0"/>
    <x v="2"/>
    <x v="0"/>
    <x v="0"/>
    <x v="1"/>
    <n v="45"/>
    <x v="0"/>
    <x v="0"/>
  </r>
  <r>
    <n v="36105"/>
    <x v="1"/>
    <x v="0"/>
    <n v="88670"/>
    <n v="1"/>
    <x v="0"/>
    <x v="0"/>
    <x v="0"/>
    <x v="4"/>
    <x v="13"/>
    <n v="32"/>
    <x v="0"/>
    <x v="0"/>
  </r>
  <r>
    <n v="85766"/>
    <x v="1"/>
    <x v="1"/>
    <n v="102279"/>
    <n v="1"/>
    <x v="3"/>
    <x v="0"/>
    <x v="0"/>
    <x v="0"/>
    <x v="13"/>
    <n v="47"/>
    <x v="0"/>
    <x v="0"/>
  </r>
  <r>
    <n v="25707"/>
    <x v="0"/>
    <x v="1"/>
    <n v="35434"/>
    <n v="0"/>
    <x v="3"/>
    <x v="3"/>
    <x v="0"/>
    <x v="1"/>
    <x v="14"/>
    <n v="52"/>
    <x v="0"/>
    <x v="0"/>
  </r>
  <r>
    <n v="31976"/>
    <x v="1"/>
    <x v="1"/>
    <n v="84047"/>
    <n v="2"/>
    <x v="2"/>
    <x v="0"/>
    <x v="1"/>
    <x v="1"/>
    <x v="4"/>
    <n v="56"/>
    <x v="2"/>
    <x v="1"/>
  </r>
  <r>
    <n v="54262"/>
    <x v="0"/>
    <x v="0"/>
    <n v="67775"/>
    <n v="1"/>
    <x v="1"/>
    <x v="1"/>
    <x v="1"/>
    <x v="2"/>
    <x v="1"/>
    <n v="60"/>
    <x v="2"/>
    <x v="1"/>
  </r>
  <r>
    <n v="33776"/>
    <x v="0"/>
    <x v="1"/>
    <n v="95769"/>
    <n v="3"/>
    <x v="3"/>
    <x v="1"/>
    <x v="0"/>
    <x v="3"/>
    <x v="14"/>
    <n v="49"/>
    <x v="0"/>
    <x v="0"/>
  </r>
  <r>
    <n v="40080"/>
    <x v="1"/>
    <x v="1"/>
    <n v="86677"/>
    <n v="1"/>
    <x v="3"/>
    <x v="0"/>
    <x v="0"/>
    <x v="0"/>
    <x v="11"/>
    <n v="68"/>
    <x v="2"/>
    <x v="0"/>
  </r>
  <r>
    <n v="76842"/>
    <x v="0"/>
    <x v="0"/>
    <n v="103555"/>
    <n v="5"/>
    <x v="3"/>
    <x v="0"/>
    <x v="0"/>
    <x v="2"/>
    <x v="0"/>
    <n v="67"/>
    <x v="2"/>
    <x v="1"/>
  </r>
  <r>
    <n v="71373"/>
    <x v="1"/>
    <x v="1"/>
    <n v="105920"/>
    <n v="5"/>
    <x v="3"/>
    <x v="0"/>
    <x v="1"/>
    <x v="4"/>
    <x v="10"/>
    <n v="27"/>
    <x v="1"/>
    <x v="1"/>
  </r>
  <r>
    <n v="16776"/>
    <x v="0"/>
    <x v="1"/>
    <n v="65734"/>
    <n v="1"/>
    <x v="0"/>
    <x v="0"/>
    <x v="1"/>
    <x v="3"/>
    <x v="2"/>
    <n v="68"/>
    <x v="2"/>
    <x v="0"/>
  </r>
  <r>
    <n v="65016"/>
    <x v="1"/>
    <x v="0"/>
    <n v="108503"/>
    <n v="2"/>
    <x v="3"/>
    <x v="3"/>
    <x v="1"/>
    <x v="2"/>
    <x v="13"/>
    <n v="66"/>
    <x v="2"/>
    <x v="1"/>
  </r>
  <r>
    <n v="19474"/>
    <x v="0"/>
    <x v="1"/>
    <n v="60603"/>
    <n v="2"/>
    <x v="0"/>
    <x v="3"/>
    <x v="1"/>
    <x v="0"/>
    <x v="7"/>
    <n v="20"/>
    <x v="1"/>
    <x v="1"/>
  </r>
  <r>
    <n v="68053"/>
    <x v="1"/>
    <x v="0"/>
    <n v="96708"/>
    <n v="4"/>
    <x v="3"/>
    <x v="0"/>
    <x v="1"/>
    <x v="1"/>
    <x v="10"/>
    <n v="31"/>
    <x v="0"/>
    <x v="1"/>
  </r>
  <r>
    <n v="31959"/>
    <x v="1"/>
    <x v="0"/>
    <n v="101926"/>
    <n v="5"/>
    <x v="1"/>
    <x v="1"/>
    <x v="1"/>
    <x v="4"/>
    <x v="1"/>
    <n v="24"/>
    <x v="1"/>
    <x v="0"/>
  </r>
  <r>
    <n v="15530"/>
    <x v="0"/>
    <x v="0"/>
    <n v="88803"/>
    <n v="3"/>
    <x v="2"/>
    <x v="3"/>
    <x v="0"/>
    <x v="0"/>
    <x v="2"/>
    <n v="43"/>
    <x v="0"/>
    <x v="1"/>
  </r>
  <r>
    <n v="13748"/>
    <x v="1"/>
    <x v="0"/>
    <n v="59332"/>
    <n v="2"/>
    <x v="1"/>
    <x v="1"/>
    <x v="1"/>
    <x v="3"/>
    <x v="11"/>
    <n v="25"/>
    <x v="1"/>
    <x v="0"/>
  </r>
  <r>
    <n v="23545"/>
    <x v="1"/>
    <x v="0"/>
    <n v="111703"/>
    <n v="0"/>
    <x v="3"/>
    <x v="2"/>
    <x v="1"/>
    <x v="3"/>
    <x v="12"/>
    <n v="44"/>
    <x v="0"/>
    <x v="1"/>
  </r>
  <r>
    <n v="76199"/>
    <x v="0"/>
    <x v="1"/>
    <n v="41312"/>
    <n v="5"/>
    <x v="3"/>
    <x v="1"/>
    <x v="0"/>
    <x v="1"/>
    <x v="11"/>
    <n v="20"/>
    <x v="1"/>
    <x v="0"/>
  </r>
  <r>
    <n v="44766"/>
    <x v="0"/>
    <x v="1"/>
    <n v="113376"/>
    <n v="3"/>
    <x v="3"/>
    <x v="0"/>
    <x v="1"/>
    <x v="1"/>
    <x v="2"/>
    <n v="44"/>
    <x v="0"/>
    <x v="0"/>
  </r>
  <r>
    <n v="83530"/>
    <x v="0"/>
    <x v="0"/>
    <n v="104526"/>
    <n v="3"/>
    <x v="1"/>
    <x v="2"/>
    <x v="0"/>
    <x v="4"/>
    <x v="14"/>
    <n v="20"/>
    <x v="1"/>
    <x v="1"/>
  </r>
  <r>
    <n v="71087"/>
    <x v="0"/>
    <x v="0"/>
    <n v="64179"/>
    <n v="2"/>
    <x v="3"/>
    <x v="3"/>
    <x v="1"/>
    <x v="4"/>
    <x v="9"/>
    <n v="51"/>
    <x v="0"/>
    <x v="0"/>
  </r>
  <r>
    <n v="78840"/>
    <x v="1"/>
    <x v="1"/>
    <n v="91442"/>
    <n v="3"/>
    <x v="1"/>
    <x v="3"/>
    <x v="0"/>
    <x v="1"/>
    <x v="3"/>
    <n v="61"/>
    <x v="2"/>
    <x v="1"/>
  </r>
  <r>
    <n v="64384"/>
    <x v="1"/>
    <x v="0"/>
    <n v="60379"/>
    <n v="2"/>
    <x v="0"/>
    <x v="2"/>
    <x v="0"/>
    <x v="1"/>
    <x v="13"/>
    <n v="61"/>
    <x v="2"/>
    <x v="1"/>
  </r>
  <r>
    <n v="61005"/>
    <x v="0"/>
    <x v="0"/>
    <n v="37297"/>
    <n v="1"/>
    <x v="2"/>
    <x v="1"/>
    <x v="0"/>
    <x v="3"/>
    <x v="14"/>
    <n v="22"/>
    <x v="1"/>
    <x v="0"/>
  </r>
  <r>
    <n v="56576"/>
    <x v="0"/>
    <x v="0"/>
    <n v="22011"/>
    <n v="5"/>
    <x v="2"/>
    <x v="3"/>
    <x v="0"/>
    <x v="1"/>
    <x v="7"/>
    <n v="68"/>
    <x v="2"/>
    <x v="1"/>
  </r>
  <r>
    <n v="49353"/>
    <x v="1"/>
    <x v="1"/>
    <n v="64014"/>
    <n v="4"/>
    <x v="1"/>
    <x v="0"/>
    <x v="0"/>
    <x v="2"/>
    <x v="8"/>
    <n v="38"/>
    <x v="0"/>
    <x v="0"/>
  </r>
  <r>
    <n v="72003"/>
    <x v="0"/>
    <x v="1"/>
    <n v="31738"/>
    <n v="1"/>
    <x v="0"/>
    <x v="2"/>
    <x v="1"/>
    <x v="0"/>
    <x v="13"/>
    <n v="62"/>
    <x v="2"/>
    <x v="1"/>
  </r>
  <r>
    <n v="93211"/>
    <x v="0"/>
    <x v="0"/>
    <n v="114333"/>
    <n v="5"/>
    <x v="1"/>
    <x v="0"/>
    <x v="1"/>
    <x v="1"/>
    <x v="1"/>
    <n v="48"/>
    <x v="0"/>
    <x v="1"/>
  </r>
  <r>
    <n v="62733"/>
    <x v="1"/>
    <x v="0"/>
    <n v="67498"/>
    <n v="2"/>
    <x v="0"/>
    <x v="2"/>
    <x v="0"/>
    <x v="4"/>
    <x v="10"/>
    <n v="69"/>
    <x v="2"/>
    <x v="1"/>
  </r>
  <r>
    <n v="75318"/>
    <x v="1"/>
    <x v="1"/>
    <n v="31120"/>
    <n v="5"/>
    <x v="3"/>
    <x v="3"/>
    <x v="0"/>
    <x v="2"/>
    <x v="0"/>
    <n v="21"/>
    <x v="1"/>
    <x v="0"/>
  </r>
  <r>
    <n v="99474"/>
    <x v="1"/>
    <x v="1"/>
    <n v="28767"/>
    <n v="2"/>
    <x v="0"/>
    <x v="1"/>
    <x v="0"/>
    <x v="4"/>
    <x v="13"/>
    <n v="28"/>
    <x v="1"/>
    <x v="1"/>
  </r>
  <r>
    <n v="33664"/>
    <x v="1"/>
    <x v="0"/>
    <n v="42852"/>
    <n v="1"/>
    <x v="0"/>
    <x v="2"/>
    <x v="1"/>
    <x v="2"/>
    <x v="7"/>
    <n v="36"/>
    <x v="0"/>
    <x v="0"/>
  </r>
  <r>
    <n v="77172"/>
    <x v="0"/>
    <x v="0"/>
    <n v="99239"/>
    <n v="0"/>
    <x v="0"/>
    <x v="2"/>
    <x v="0"/>
    <x v="1"/>
    <x v="5"/>
    <n v="65"/>
    <x v="2"/>
    <x v="1"/>
  </r>
  <r>
    <n v="95616"/>
    <x v="1"/>
    <x v="1"/>
    <n v="20929"/>
    <n v="0"/>
    <x v="2"/>
    <x v="0"/>
    <x v="0"/>
    <x v="0"/>
    <x v="6"/>
    <n v="55"/>
    <x v="2"/>
    <x v="1"/>
  </r>
  <r>
    <n v="36736"/>
    <x v="0"/>
    <x v="1"/>
    <n v="97487"/>
    <n v="5"/>
    <x v="0"/>
    <x v="3"/>
    <x v="0"/>
    <x v="4"/>
    <x v="5"/>
    <n v="36"/>
    <x v="0"/>
    <x v="0"/>
  </r>
  <r>
    <n v="10854"/>
    <x v="0"/>
    <x v="1"/>
    <n v="111575"/>
    <n v="0"/>
    <x v="3"/>
    <x v="0"/>
    <x v="0"/>
    <x v="2"/>
    <x v="11"/>
    <n v="68"/>
    <x v="2"/>
    <x v="0"/>
  </r>
  <r>
    <n v="48623"/>
    <x v="0"/>
    <x v="0"/>
    <n v="115040"/>
    <n v="2"/>
    <x v="3"/>
    <x v="3"/>
    <x v="1"/>
    <x v="3"/>
    <x v="15"/>
    <n v="31"/>
    <x v="0"/>
    <x v="1"/>
  </r>
  <r>
    <n v="17392"/>
    <x v="0"/>
    <x v="1"/>
    <n v="37438"/>
    <n v="3"/>
    <x v="3"/>
    <x v="0"/>
    <x v="0"/>
    <x v="1"/>
    <x v="15"/>
    <n v="39"/>
    <x v="0"/>
    <x v="0"/>
  </r>
  <r>
    <n v="65680"/>
    <x v="1"/>
    <x v="0"/>
    <n v="68515"/>
    <n v="2"/>
    <x v="0"/>
    <x v="2"/>
    <x v="0"/>
    <x v="0"/>
    <x v="3"/>
    <n v="69"/>
    <x v="2"/>
    <x v="1"/>
  </r>
  <r>
    <n v="56717"/>
    <x v="0"/>
    <x v="1"/>
    <n v="25744"/>
    <n v="3"/>
    <x v="1"/>
    <x v="0"/>
    <x v="1"/>
    <x v="1"/>
    <x v="13"/>
    <n v="22"/>
    <x v="1"/>
    <x v="0"/>
  </r>
  <r>
    <n v="97092"/>
    <x v="0"/>
    <x v="1"/>
    <n v="103820"/>
    <n v="1"/>
    <x v="1"/>
    <x v="1"/>
    <x v="0"/>
    <x v="3"/>
    <x v="14"/>
    <n v="62"/>
    <x v="2"/>
    <x v="0"/>
  </r>
  <r>
    <n v="60859"/>
    <x v="0"/>
    <x v="1"/>
    <n v="62417"/>
    <n v="4"/>
    <x v="3"/>
    <x v="3"/>
    <x v="0"/>
    <x v="0"/>
    <x v="5"/>
    <n v="69"/>
    <x v="2"/>
    <x v="0"/>
  </r>
  <r>
    <n v="36309"/>
    <x v="0"/>
    <x v="1"/>
    <n v="27069"/>
    <n v="3"/>
    <x v="2"/>
    <x v="3"/>
    <x v="1"/>
    <x v="3"/>
    <x v="4"/>
    <n v="23"/>
    <x v="1"/>
    <x v="0"/>
  </r>
  <r>
    <n v="97455"/>
    <x v="1"/>
    <x v="0"/>
    <n v="62359"/>
    <n v="0"/>
    <x v="1"/>
    <x v="2"/>
    <x v="1"/>
    <x v="1"/>
    <x v="3"/>
    <n v="36"/>
    <x v="0"/>
    <x v="1"/>
  </r>
  <r>
    <n v="73734"/>
    <x v="0"/>
    <x v="0"/>
    <n v="39799"/>
    <n v="2"/>
    <x v="0"/>
    <x v="3"/>
    <x v="1"/>
    <x v="2"/>
    <x v="6"/>
    <n v="69"/>
    <x v="2"/>
    <x v="0"/>
  </r>
  <r>
    <n v="80467"/>
    <x v="1"/>
    <x v="1"/>
    <n v="118746"/>
    <n v="1"/>
    <x v="1"/>
    <x v="1"/>
    <x v="0"/>
    <x v="1"/>
    <x v="7"/>
    <n v="56"/>
    <x v="2"/>
    <x v="0"/>
  </r>
  <r>
    <n v="62662"/>
    <x v="0"/>
    <x v="0"/>
    <n v="113762"/>
    <n v="0"/>
    <x v="3"/>
    <x v="0"/>
    <x v="0"/>
    <x v="1"/>
    <x v="2"/>
    <n v="65"/>
    <x v="2"/>
    <x v="1"/>
  </r>
  <r>
    <n v="22688"/>
    <x v="1"/>
    <x v="1"/>
    <n v="90188"/>
    <n v="1"/>
    <x v="2"/>
    <x v="2"/>
    <x v="1"/>
    <x v="1"/>
    <x v="11"/>
    <n v="61"/>
    <x v="2"/>
    <x v="1"/>
  </r>
  <r>
    <n v="35342"/>
    <x v="1"/>
    <x v="1"/>
    <n v="109859"/>
    <n v="4"/>
    <x v="1"/>
    <x v="1"/>
    <x v="1"/>
    <x v="4"/>
    <x v="2"/>
    <n v="34"/>
    <x v="0"/>
    <x v="0"/>
  </r>
  <r>
    <n v="47157"/>
    <x v="0"/>
    <x v="1"/>
    <n v="27597"/>
    <n v="2"/>
    <x v="1"/>
    <x v="3"/>
    <x v="1"/>
    <x v="3"/>
    <x v="6"/>
    <n v="52"/>
    <x v="0"/>
    <x v="0"/>
  </r>
  <r>
    <n v="77863"/>
    <x v="1"/>
    <x v="1"/>
    <n v="67093"/>
    <n v="5"/>
    <x v="3"/>
    <x v="3"/>
    <x v="0"/>
    <x v="3"/>
    <x v="10"/>
    <n v="35"/>
    <x v="0"/>
    <x v="1"/>
  </r>
  <r>
    <n v="62083"/>
    <x v="0"/>
    <x v="0"/>
    <n v="57226"/>
    <n v="2"/>
    <x v="2"/>
    <x v="1"/>
    <x v="0"/>
    <x v="3"/>
    <x v="10"/>
    <n v="30"/>
    <x v="1"/>
    <x v="0"/>
  </r>
  <r>
    <n v="75733"/>
    <x v="0"/>
    <x v="1"/>
    <n v="92127"/>
    <n v="4"/>
    <x v="2"/>
    <x v="0"/>
    <x v="1"/>
    <x v="4"/>
    <x v="13"/>
    <n v="39"/>
    <x v="0"/>
    <x v="0"/>
  </r>
  <r>
    <n v="99045"/>
    <x v="1"/>
    <x v="1"/>
    <n v="111369"/>
    <n v="2"/>
    <x v="3"/>
    <x v="0"/>
    <x v="0"/>
    <x v="2"/>
    <x v="11"/>
    <n v="57"/>
    <x v="2"/>
    <x v="1"/>
  </r>
  <r>
    <n v="44698"/>
    <x v="0"/>
    <x v="0"/>
    <n v="97362"/>
    <n v="5"/>
    <x v="0"/>
    <x v="2"/>
    <x v="1"/>
    <x v="1"/>
    <x v="14"/>
    <n v="43"/>
    <x v="0"/>
    <x v="1"/>
  </r>
  <r>
    <n v="90623"/>
    <x v="0"/>
    <x v="1"/>
    <n v="46417"/>
    <n v="3"/>
    <x v="1"/>
    <x v="3"/>
    <x v="0"/>
    <x v="2"/>
    <x v="10"/>
    <n v="35"/>
    <x v="0"/>
    <x v="0"/>
  </r>
  <r>
    <n v="32671"/>
    <x v="1"/>
    <x v="1"/>
    <n v="38693"/>
    <n v="1"/>
    <x v="0"/>
    <x v="1"/>
    <x v="0"/>
    <x v="4"/>
    <x v="10"/>
    <n v="49"/>
    <x v="0"/>
    <x v="1"/>
  </r>
  <r>
    <n v="35184"/>
    <x v="0"/>
    <x v="1"/>
    <n v="99674"/>
    <n v="5"/>
    <x v="1"/>
    <x v="0"/>
    <x v="0"/>
    <x v="3"/>
    <x v="5"/>
    <n v="53"/>
    <x v="0"/>
    <x v="1"/>
  </r>
  <r>
    <n v="52107"/>
    <x v="1"/>
    <x v="0"/>
    <n v="73161"/>
    <n v="0"/>
    <x v="1"/>
    <x v="2"/>
    <x v="0"/>
    <x v="1"/>
    <x v="7"/>
    <n v="20"/>
    <x v="1"/>
    <x v="0"/>
  </r>
  <r>
    <n v="96202"/>
    <x v="0"/>
    <x v="1"/>
    <n v="22169"/>
    <n v="4"/>
    <x v="0"/>
    <x v="3"/>
    <x v="1"/>
    <x v="0"/>
    <x v="14"/>
    <n v="43"/>
    <x v="0"/>
    <x v="0"/>
  </r>
  <r>
    <n v="61663"/>
    <x v="1"/>
    <x v="0"/>
    <n v="104092"/>
    <n v="3"/>
    <x v="3"/>
    <x v="3"/>
    <x v="0"/>
    <x v="0"/>
    <x v="5"/>
    <n v="43"/>
    <x v="0"/>
    <x v="0"/>
  </r>
  <r>
    <n v="25708"/>
    <x v="1"/>
    <x v="1"/>
    <n v="42052"/>
    <n v="0"/>
    <x v="3"/>
    <x v="2"/>
    <x v="0"/>
    <x v="2"/>
    <x v="15"/>
    <n v="28"/>
    <x v="1"/>
    <x v="0"/>
  </r>
  <r>
    <n v="59811"/>
    <x v="1"/>
    <x v="1"/>
    <n v="91849"/>
    <n v="0"/>
    <x v="1"/>
    <x v="2"/>
    <x v="1"/>
    <x v="3"/>
    <x v="2"/>
    <n v="41"/>
    <x v="0"/>
    <x v="1"/>
  </r>
  <r>
    <n v="12811"/>
    <x v="1"/>
    <x v="0"/>
    <n v="93851"/>
    <n v="4"/>
    <x v="3"/>
    <x v="0"/>
    <x v="0"/>
    <x v="0"/>
    <x v="14"/>
    <n v="31"/>
    <x v="0"/>
    <x v="1"/>
  </r>
  <r>
    <n v="66250"/>
    <x v="0"/>
    <x v="1"/>
    <n v="28036"/>
    <n v="3"/>
    <x v="1"/>
    <x v="1"/>
    <x v="1"/>
    <x v="2"/>
    <x v="14"/>
    <n v="36"/>
    <x v="0"/>
    <x v="0"/>
  </r>
  <r>
    <n v="82082"/>
    <x v="1"/>
    <x v="1"/>
    <n v="51778"/>
    <n v="0"/>
    <x v="3"/>
    <x v="3"/>
    <x v="1"/>
    <x v="4"/>
    <x v="7"/>
    <n v="44"/>
    <x v="0"/>
    <x v="1"/>
  </r>
  <r>
    <n v="44754"/>
    <x v="0"/>
    <x v="0"/>
    <n v="47734"/>
    <n v="0"/>
    <x v="1"/>
    <x v="1"/>
    <x v="0"/>
    <x v="2"/>
    <x v="10"/>
    <n v="47"/>
    <x v="0"/>
    <x v="0"/>
  </r>
  <r>
    <n v="21411"/>
    <x v="0"/>
    <x v="0"/>
    <n v="43173"/>
    <n v="3"/>
    <x v="3"/>
    <x v="3"/>
    <x v="0"/>
    <x v="2"/>
    <x v="1"/>
    <n v="34"/>
    <x v="0"/>
    <x v="1"/>
  </r>
  <r>
    <n v="12911"/>
    <x v="0"/>
    <x v="0"/>
    <n v="50403"/>
    <n v="2"/>
    <x v="2"/>
    <x v="3"/>
    <x v="1"/>
    <x v="2"/>
    <x v="1"/>
    <n v="49"/>
    <x v="0"/>
    <x v="1"/>
  </r>
  <r>
    <n v="77270"/>
    <x v="0"/>
    <x v="0"/>
    <n v="86321"/>
    <n v="0"/>
    <x v="0"/>
    <x v="1"/>
    <x v="1"/>
    <x v="1"/>
    <x v="6"/>
    <n v="46"/>
    <x v="0"/>
    <x v="1"/>
  </r>
  <r>
    <n v="93763"/>
    <x v="0"/>
    <x v="0"/>
    <n v="91675"/>
    <n v="1"/>
    <x v="2"/>
    <x v="2"/>
    <x v="1"/>
    <x v="2"/>
    <x v="8"/>
    <n v="41"/>
    <x v="0"/>
    <x v="0"/>
  </r>
  <r>
    <n v="18680"/>
    <x v="1"/>
    <x v="1"/>
    <n v="26344"/>
    <n v="3"/>
    <x v="0"/>
    <x v="0"/>
    <x v="0"/>
    <x v="2"/>
    <x v="2"/>
    <n v="29"/>
    <x v="1"/>
    <x v="1"/>
  </r>
  <r>
    <n v="94896"/>
    <x v="1"/>
    <x v="0"/>
    <n v="38800"/>
    <n v="0"/>
    <x v="0"/>
    <x v="3"/>
    <x v="1"/>
    <x v="1"/>
    <x v="14"/>
    <n v="50"/>
    <x v="0"/>
    <x v="1"/>
  </r>
  <r>
    <n v="93879"/>
    <x v="1"/>
    <x v="1"/>
    <n v="45372"/>
    <n v="4"/>
    <x v="1"/>
    <x v="2"/>
    <x v="1"/>
    <x v="1"/>
    <x v="15"/>
    <n v="46"/>
    <x v="0"/>
    <x v="1"/>
  </r>
  <r>
    <n v="81295"/>
    <x v="0"/>
    <x v="1"/>
    <n v="81516"/>
    <n v="5"/>
    <x v="0"/>
    <x v="3"/>
    <x v="1"/>
    <x v="4"/>
    <x v="1"/>
    <n v="31"/>
    <x v="0"/>
    <x v="0"/>
  </r>
  <r>
    <n v="98614"/>
    <x v="1"/>
    <x v="1"/>
    <n v="40538"/>
    <n v="1"/>
    <x v="2"/>
    <x v="0"/>
    <x v="0"/>
    <x v="3"/>
    <x v="0"/>
    <n v="65"/>
    <x v="2"/>
    <x v="1"/>
  </r>
  <r>
    <n v="21111"/>
    <x v="0"/>
    <x v="0"/>
    <n v="83918"/>
    <n v="5"/>
    <x v="2"/>
    <x v="3"/>
    <x v="1"/>
    <x v="0"/>
    <x v="9"/>
    <n v="50"/>
    <x v="0"/>
    <x v="1"/>
  </r>
  <r>
    <n v="47504"/>
    <x v="0"/>
    <x v="0"/>
    <n v="34973"/>
    <n v="5"/>
    <x v="3"/>
    <x v="0"/>
    <x v="0"/>
    <x v="0"/>
    <x v="11"/>
    <n v="51"/>
    <x v="0"/>
    <x v="1"/>
  </r>
  <r>
    <n v="11802"/>
    <x v="0"/>
    <x v="1"/>
    <n v="91155"/>
    <n v="0"/>
    <x v="2"/>
    <x v="0"/>
    <x v="0"/>
    <x v="2"/>
    <x v="9"/>
    <n v="51"/>
    <x v="0"/>
    <x v="0"/>
  </r>
  <r>
    <n v="18155"/>
    <x v="0"/>
    <x v="0"/>
    <n v="79500"/>
    <n v="1"/>
    <x v="3"/>
    <x v="3"/>
    <x v="1"/>
    <x v="4"/>
    <x v="3"/>
    <n v="60"/>
    <x v="2"/>
    <x v="1"/>
  </r>
  <r>
    <n v="83656"/>
    <x v="1"/>
    <x v="0"/>
    <n v="56575"/>
    <n v="1"/>
    <x v="0"/>
    <x v="3"/>
    <x v="0"/>
    <x v="2"/>
    <x v="0"/>
    <n v="64"/>
    <x v="2"/>
    <x v="1"/>
  </r>
  <r>
    <n v="49384"/>
    <x v="1"/>
    <x v="0"/>
    <n v="62261"/>
    <n v="2"/>
    <x v="2"/>
    <x v="0"/>
    <x v="1"/>
    <x v="0"/>
    <x v="4"/>
    <n v="54"/>
    <x v="0"/>
    <x v="1"/>
  </r>
  <r>
    <n v="57254"/>
    <x v="0"/>
    <x v="0"/>
    <n v="47716"/>
    <n v="5"/>
    <x v="0"/>
    <x v="2"/>
    <x v="0"/>
    <x v="1"/>
    <x v="12"/>
    <n v="65"/>
    <x v="2"/>
    <x v="0"/>
  </r>
  <r>
    <n v="31918"/>
    <x v="0"/>
    <x v="1"/>
    <n v="23236"/>
    <n v="1"/>
    <x v="2"/>
    <x v="1"/>
    <x v="0"/>
    <x v="3"/>
    <x v="0"/>
    <n v="40"/>
    <x v="0"/>
    <x v="0"/>
  </r>
  <r>
    <n v="95981"/>
    <x v="0"/>
    <x v="1"/>
    <n v="35848"/>
    <n v="2"/>
    <x v="2"/>
    <x v="0"/>
    <x v="1"/>
    <x v="4"/>
    <x v="14"/>
    <n v="29"/>
    <x v="1"/>
    <x v="0"/>
  </r>
  <r>
    <n v="70713"/>
    <x v="0"/>
    <x v="0"/>
    <n v="22352"/>
    <n v="3"/>
    <x v="3"/>
    <x v="3"/>
    <x v="1"/>
    <x v="1"/>
    <x v="4"/>
    <n v="35"/>
    <x v="0"/>
    <x v="0"/>
  </r>
  <r>
    <n v="40306"/>
    <x v="1"/>
    <x v="1"/>
    <n v="21932"/>
    <n v="2"/>
    <x v="0"/>
    <x v="3"/>
    <x v="1"/>
    <x v="3"/>
    <x v="10"/>
    <n v="26"/>
    <x v="1"/>
    <x v="0"/>
  </r>
  <r>
    <n v="26646"/>
    <x v="0"/>
    <x v="0"/>
    <n v="96449"/>
    <n v="4"/>
    <x v="2"/>
    <x v="2"/>
    <x v="0"/>
    <x v="4"/>
    <x v="14"/>
    <n v="23"/>
    <x v="1"/>
    <x v="1"/>
  </r>
  <r>
    <n v="56843"/>
    <x v="0"/>
    <x v="0"/>
    <n v="28556"/>
    <n v="0"/>
    <x v="1"/>
    <x v="1"/>
    <x v="0"/>
    <x v="4"/>
    <x v="4"/>
    <n v="46"/>
    <x v="0"/>
    <x v="0"/>
  </r>
  <r>
    <n v="26371"/>
    <x v="0"/>
    <x v="1"/>
    <n v="106836"/>
    <n v="3"/>
    <x v="0"/>
    <x v="0"/>
    <x v="1"/>
    <x v="0"/>
    <x v="3"/>
    <n v="44"/>
    <x v="0"/>
    <x v="0"/>
  </r>
  <r>
    <n v="87371"/>
    <x v="1"/>
    <x v="1"/>
    <n v="25498"/>
    <n v="3"/>
    <x v="0"/>
    <x v="0"/>
    <x v="1"/>
    <x v="1"/>
    <x v="6"/>
    <n v="50"/>
    <x v="0"/>
    <x v="0"/>
  </r>
  <r>
    <n v="12049"/>
    <x v="1"/>
    <x v="1"/>
    <n v="96118"/>
    <n v="4"/>
    <x v="0"/>
    <x v="1"/>
    <x v="0"/>
    <x v="4"/>
    <x v="15"/>
    <n v="30"/>
    <x v="1"/>
    <x v="1"/>
  </r>
  <r>
    <n v="41616"/>
    <x v="1"/>
    <x v="0"/>
    <n v="70098"/>
    <n v="2"/>
    <x v="3"/>
    <x v="0"/>
    <x v="0"/>
    <x v="4"/>
    <x v="0"/>
    <n v="67"/>
    <x v="2"/>
    <x v="0"/>
  </r>
  <r>
    <n v="30932"/>
    <x v="1"/>
    <x v="1"/>
    <n v="84386"/>
    <n v="0"/>
    <x v="1"/>
    <x v="1"/>
    <x v="0"/>
    <x v="3"/>
    <x v="6"/>
    <n v="39"/>
    <x v="0"/>
    <x v="1"/>
  </r>
  <r>
    <n v="39855"/>
    <x v="0"/>
    <x v="0"/>
    <n v="29569"/>
    <n v="2"/>
    <x v="0"/>
    <x v="3"/>
    <x v="1"/>
    <x v="0"/>
    <x v="14"/>
    <n v="55"/>
    <x v="2"/>
    <x v="0"/>
  </r>
  <r>
    <n v="71434"/>
    <x v="0"/>
    <x v="1"/>
    <n v="76882"/>
    <n v="1"/>
    <x v="2"/>
    <x v="1"/>
    <x v="0"/>
    <x v="2"/>
    <x v="10"/>
    <n v="36"/>
    <x v="0"/>
    <x v="1"/>
  </r>
  <r>
    <n v="82694"/>
    <x v="1"/>
    <x v="1"/>
    <n v="90393"/>
    <n v="2"/>
    <x v="2"/>
    <x v="0"/>
    <x v="1"/>
    <x v="0"/>
    <x v="12"/>
    <n v="64"/>
    <x v="2"/>
    <x v="1"/>
  </r>
  <r>
    <n v="53016"/>
    <x v="1"/>
    <x v="0"/>
    <n v="20340"/>
    <n v="3"/>
    <x v="3"/>
    <x v="1"/>
    <x v="0"/>
    <x v="2"/>
    <x v="7"/>
    <n v="30"/>
    <x v="1"/>
    <x v="1"/>
  </r>
  <r>
    <n v="17400"/>
    <x v="1"/>
    <x v="0"/>
    <n v="63949"/>
    <n v="0"/>
    <x v="2"/>
    <x v="2"/>
    <x v="0"/>
    <x v="1"/>
    <x v="3"/>
    <n v="49"/>
    <x v="0"/>
    <x v="1"/>
  </r>
  <r>
    <n v="52642"/>
    <x v="1"/>
    <x v="0"/>
    <n v="102302"/>
    <n v="2"/>
    <x v="0"/>
    <x v="3"/>
    <x v="1"/>
    <x v="1"/>
    <x v="1"/>
    <n v="54"/>
    <x v="0"/>
    <x v="0"/>
  </r>
  <r>
    <n v="25151"/>
    <x v="1"/>
    <x v="0"/>
    <n v="82443"/>
    <n v="0"/>
    <x v="2"/>
    <x v="3"/>
    <x v="1"/>
    <x v="4"/>
    <x v="10"/>
    <n v="60"/>
    <x v="2"/>
    <x v="1"/>
  </r>
  <r>
    <n v="61407"/>
    <x v="1"/>
    <x v="0"/>
    <n v="111668"/>
    <n v="0"/>
    <x v="0"/>
    <x v="1"/>
    <x v="1"/>
    <x v="1"/>
    <x v="10"/>
    <n v="57"/>
    <x v="2"/>
    <x v="1"/>
  </r>
  <r>
    <n v="76690"/>
    <x v="1"/>
    <x v="0"/>
    <n v="94027"/>
    <n v="1"/>
    <x v="2"/>
    <x v="0"/>
    <x v="0"/>
    <x v="4"/>
    <x v="15"/>
    <n v="41"/>
    <x v="0"/>
    <x v="0"/>
  </r>
  <r>
    <n v="14499"/>
    <x v="1"/>
    <x v="0"/>
    <n v="20138"/>
    <n v="1"/>
    <x v="1"/>
    <x v="2"/>
    <x v="0"/>
    <x v="0"/>
    <x v="11"/>
    <n v="62"/>
    <x v="2"/>
    <x v="1"/>
  </r>
  <r>
    <n v="16295"/>
    <x v="1"/>
    <x v="0"/>
    <n v="20358"/>
    <n v="3"/>
    <x v="3"/>
    <x v="3"/>
    <x v="0"/>
    <x v="1"/>
    <x v="7"/>
    <n v="67"/>
    <x v="2"/>
    <x v="0"/>
  </r>
  <r>
    <n v="69040"/>
    <x v="1"/>
    <x v="1"/>
    <n v="95250"/>
    <n v="4"/>
    <x v="3"/>
    <x v="3"/>
    <x v="1"/>
    <x v="0"/>
    <x v="8"/>
    <n v="46"/>
    <x v="0"/>
    <x v="1"/>
  </r>
  <r>
    <n v="22183"/>
    <x v="0"/>
    <x v="0"/>
    <n v="105376"/>
    <n v="0"/>
    <x v="1"/>
    <x v="0"/>
    <x v="0"/>
    <x v="0"/>
    <x v="11"/>
    <n v="56"/>
    <x v="2"/>
    <x v="1"/>
  </r>
  <r>
    <n v="39299"/>
    <x v="1"/>
    <x v="0"/>
    <n v="119931"/>
    <n v="4"/>
    <x v="1"/>
    <x v="0"/>
    <x v="1"/>
    <x v="1"/>
    <x v="0"/>
    <n v="65"/>
    <x v="2"/>
    <x v="0"/>
  </r>
  <r>
    <n v="22874"/>
    <x v="0"/>
    <x v="1"/>
    <n v="50654"/>
    <n v="3"/>
    <x v="3"/>
    <x v="2"/>
    <x v="1"/>
    <x v="0"/>
    <x v="6"/>
    <n v="68"/>
    <x v="2"/>
    <x v="0"/>
  </r>
  <r>
    <n v="42711"/>
    <x v="1"/>
    <x v="0"/>
    <n v="45879"/>
    <n v="0"/>
    <x v="1"/>
    <x v="1"/>
    <x v="1"/>
    <x v="1"/>
    <x v="7"/>
    <n v="54"/>
    <x v="0"/>
    <x v="1"/>
  </r>
  <r>
    <n v="15539"/>
    <x v="1"/>
    <x v="1"/>
    <n v="101532"/>
    <n v="0"/>
    <x v="0"/>
    <x v="0"/>
    <x v="0"/>
    <x v="1"/>
    <x v="1"/>
    <n v="23"/>
    <x v="1"/>
    <x v="0"/>
  </r>
  <r>
    <n v="63351"/>
    <x v="1"/>
    <x v="1"/>
    <n v="75778"/>
    <n v="5"/>
    <x v="2"/>
    <x v="1"/>
    <x v="0"/>
    <x v="1"/>
    <x v="5"/>
    <n v="35"/>
    <x v="0"/>
    <x v="0"/>
  </r>
  <r>
    <n v="71267"/>
    <x v="0"/>
    <x v="0"/>
    <n v="57772"/>
    <n v="4"/>
    <x v="3"/>
    <x v="2"/>
    <x v="1"/>
    <x v="2"/>
    <x v="14"/>
    <n v="35"/>
    <x v="0"/>
    <x v="0"/>
  </r>
  <r>
    <n v="58354"/>
    <x v="0"/>
    <x v="1"/>
    <n v="78478"/>
    <n v="2"/>
    <x v="1"/>
    <x v="1"/>
    <x v="0"/>
    <x v="0"/>
    <x v="5"/>
    <n v="40"/>
    <x v="0"/>
    <x v="1"/>
  </r>
  <r>
    <n v="12557"/>
    <x v="0"/>
    <x v="0"/>
    <n v="84353"/>
    <n v="1"/>
    <x v="0"/>
    <x v="3"/>
    <x v="1"/>
    <x v="3"/>
    <x v="10"/>
    <n v="45"/>
    <x v="0"/>
    <x v="1"/>
  </r>
  <r>
    <n v="48360"/>
    <x v="1"/>
    <x v="1"/>
    <n v="46762"/>
    <n v="2"/>
    <x v="3"/>
    <x v="1"/>
    <x v="1"/>
    <x v="1"/>
    <x v="13"/>
    <n v="55"/>
    <x v="2"/>
    <x v="0"/>
  </r>
  <r>
    <n v="92018"/>
    <x v="0"/>
    <x v="1"/>
    <n v="33283"/>
    <n v="4"/>
    <x v="1"/>
    <x v="2"/>
    <x v="0"/>
    <x v="0"/>
    <x v="15"/>
    <n v="38"/>
    <x v="0"/>
    <x v="0"/>
  </r>
  <r>
    <n v="12200"/>
    <x v="0"/>
    <x v="1"/>
    <n v="83922"/>
    <n v="1"/>
    <x v="3"/>
    <x v="2"/>
    <x v="1"/>
    <x v="4"/>
    <x v="3"/>
    <n v="36"/>
    <x v="0"/>
    <x v="1"/>
  </r>
  <r>
    <n v="78497"/>
    <x v="0"/>
    <x v="0"/>
    <n v="59420"/>
    <n v="2"/>
    <x v="1"/>
    <x v="2"/>
    <x v="1"/>
    <x v="1"/>
    <x v="0"/>
    <n v="64"/>
    <x v="2"/>
    <x v="0"/>
  </r>
  <r>
    <n v="56975"/>
    <x v="1"/>
    <x v="0"/>
    <n v="75568"/>
    <n v="5"/>
    <x v="3"/>
    <x v="1"/>
    <x v="0"/>
    <x v="1"/>
    <x v="0"/>
    <n v="45"/>
    <x v="0"/>
    <x v="1"/>
  </r>
  <r>
    <n v="31357"/>
    <x v="1"/>
    <x v="1"/>
    <n v="105090"/>
    <n v="1"/>
    <x v="0"/>
    <x v="3"/>
    <x v="1"/>
    <x v="3"/>
    <x v="3"/>
    <n v="41"/>
    <x v="0"/>
    <x v="0"/>
  </r>
  <r>
    <n v="87505"/>
    <x v="0"/>
    <x v="1"/>
    <n v="40219"/>
    <n v="0"/>
    <x v="0"/>
    <x v="0"/>
    <x v="1"/>
    <x v="2"/>
    <x v="1"/>
    <n v="47"/>
    <x v="0"/>
    <x v="1"/>
  </r>
  <r>
    <n v="12869"/>
    <x v="0"/>
    <x v="0"/>
    <n v="77169"/>
    <n v="2"/>
    <x v="2"/>
    <x v="3"/>
    <x v="1"/>
    <x v="2"/>
    <x v="7"/>
    <n v="20"/>
    <x v="1"/>
    <x v="0"/>
  </r>
  <r>
    <n v="71135"/>
    <x v="0"/>
    <x v="0"/>
    <n v="94965"/>
    <n v="1"/>
    <x v="3"/>
    <x v="1"/>
    <x v="1"/>
    <x v="1"/>
    <x v="1"/>
    <n v="63"/>
    <x v="2"/>
    <x v="1"/>
  </r>
  <r>
    <n v="60108"/>
    <x v="1"/>
    <x v="1"/>
    <n v="66840"/>
    <n v="5"/>
    <x v="2"/>
    <x v="1"/>
    <x v="1"/>
    <x v="0"/>
    <x v="6"/>
    <n v="55"/>
    <x v="2"/>
    <x v="0"/>
  </r>
  <r>
    <n v="48467"/>
    <x v="1"/>
    <x v="1"/>
    <n v="64695"/>
    <n v="1"/>
    <x v="3"/>
    <x v="0"/>
    <x v="1"/>
    <x v="4"/>
    <x v="8"/>
    <n v="62"/>
    <x v="2"/>
    <x v="0"/>
  </r>
  <r>
    <n v="33328"/>
    <x v="0"/>
    <x v="0"/>
    <n v="104754"/>
    <n v="1"/>
    <x v="1"/>
    <x v="1"/>
    <x v="1"/>
    <x v="4"/>
    <x v="14"/>
    <n v="56"/>
    <x v="2"/>
    <x v="0"/>
  </r>
  <r>
    <n v="96831"/>
    <x v="1"/>
    <x v="0"/>
    <n v="97988"/>
    <n v="5"/>
    <x v="1"/>
    <x v="2"/>
    <x v="0"/>
    <x v="0"/>
    <x v="9"/>
    <n v="21"/>
    <x v="1"/>
    <x v="0"/>
  </r>
  <r>
    <n v="13987"/>
    <x v="0"/>
    <x v="0"/>
    <n v="78342"/>
    <n v="2"/>
    <x v="2"/>
    <x v="2"/>
    <x v="0"/>
    <x v="1"/>
    <x v="7"/>
    <n v="36"/>
    <x v="0"/>
    <x v="0"/>
  </r>
  <r>
    <n v="68871"/>
    <x v="1"/>
    <x v="0"/>
    <n v="38951"/>
    <n v="3"/>
    <x v="3"/>
    <x v="2"/>
    <x v="1"/>
    <x v="4"/>
    <x v="9"/>
    <n v="59"/>
    <x v="2"/>
    <x v="0"/>
  </r>
  <r>
    <n v="32399"/>
    <x v="0"/>
    <x v="0"/>
    <n v="21307"/>
    <n v="2"/>
    <x v="2"/>
    <x v="2"/>
    <x v="1"/>
    <x v="2"/>
    <x v="10"/>
    <n v="57"/>
    <x v="2"/>
    <x v="1"/>
  </r>
  <r>
    <n v="56214"/>
    <x v="0"/>
    <x v="1"/>
    <n v="100388"/>
    <n v="4"/>
    <x v="0"/>
    <x v="2"/>
    <x v="0"/>
    <x v="0"/>
    <x v="4"/>
    <n v="40"/>
    <x v="0"/>
    <x v="1"/>
  </r>
  <r>
    <n v="96416"/>
    <x v="0"/>
    <x v="0"/>
    <n v="110768"/>
    <n v="5"/>
    <x v="2"/>
    <x v="1"/>
    <x v="0"/>
    <x v="3"/>
    <x v="2"/>
    <n v="28"/>
    <x v="1"/>
    <x v="1"/>
  </r>
  <r>
    <n v="80271"/>
    <x v="1"/>
    <x v="1"/>
    <n v="55428"/>
    <n v="2"/>
    <x v="2"/>
    <x v="0"/>
    <x v="0"/>
    <x v="1"/>
    <x v="3"/>
    <n v="32"/>
    <x v="0"/>
    <x v="1"/>
  </r>
  <r>
    <n v="54064"/>
    <x v="1"/>
    <x v="0"/>
    <n v="112021"/>
    <n v="1"/>
    <x v="1"/>
    <x v="0"/>
    <x v="0"/>
    <x v="0"/>
    <x v="15"/>
    <n v="30"/>
    <x v="1"/>
    <x v="0"/>
  </r>
  <r>
    <n v="80091"/>
    <x v="0"/>
    <x v="1"/>
    <n v="95774"/>
    <n v="5"/>
    <x v="2"/>
    <x v="2"/>
    <x v="0"/>
    <x v="4"/>
    <x v="1"/>
    <n v="35"/>
    <x v="0"/>
    <x v="1"/>
  </r>
  <r>
    <n v="50818"/>
    <x v="1"/>
    <x v="0"/>
    <n v="58975"/>
    <n v="0"/>
    <x v="3"/>
    <x v="1"/>
    <x v="1"/>
    <x v="1"/>
    <x v="9"/>
    <n v="35"/>
    <x v="0"/>
    <x v="0"/>
  </r>
  <r>
    <n v="55525"/>
    <x v="1"/>
    <x v="0"/>
    <n v="21140"/>
    <n v="2"/>
    <x v="1"/>
    <x v="3"/>
    <x v="0"/>
    <x v="2"/>
    <x v="0"/>
    <n v="21"/>
    <x v="1"/>
    <x v="0"/>
  </r>
  <r>
    <n v="29830"/>
    <x v="0"/>
    <x v="1"/>
    <n v="44842"/>
    <n v="5"/>
    <x v="2"/>
    <x v="3"/>
    <x v="0"/>
    <x v="1"/>
    <x v="14"/>
    <n v="61"/>
    <x v="2"/>
    <x v="0"/>
  </r>
  <r>
    <n v="27429"/>
    <x v="0"/>
    <x v="1"/>
    <n v="46421"/>
    <n v="2"/>
    <x v="0"/>
    <x v="1"/>
    <x v="0"/>
    <x v="1"/>
    <x v="8"/>
    <n v="63"/>
    <x v="2"/>
    <x v="1"/>
  </r>
  <r>
    <n v="16893"/>
    <x v="1"/>
    <x v="0"/>
    <n v="21708"/>
    <n v="5"/>
    <x v="2"/>
    <x v="2"/>
    <x v="1"/>
    <x v="2"/>
    <x v="9"/>
    <n v="27"/>
    <x v="1"/>
    <x v="0"/>
  </r>
  <r>
    <n v="89909"/>
    <x v="0"/>
    <x v="0"/>
    <n v="23630"/>
    <n v="1"/>
    <x v="2"/>
    <x v="0"/>
    <x v="1"/>
    <x v="2"/>
    <x v="5"/>
    <n v="62"/>
    <x v="2"/>
    <x v="1"/>
  </r>
  <r>
    <n v="57333"/>
    <x v="0"/>
    <x v="0"/>
    <n v="39595"/>
    <n v="0"/>
    <x v="2"/>
    <x v="1"/>
    <x v="1"/>
    <x v="1"/>
    <x v="6"/>
    <n v="61"/>
    <x v="2"/>
    <x v="1"/>
  </r>
  <r>
    <n v="13436"/>
    <x v="1"/>
    <x v="0"/>
    <n v="96021"/>
    <n v="0"/>
    <x v="1"/>
    <x v="3"/>
    <x v="1"/>
    <x v="2"/>
    <x v="3"/>
    <n v="32"/>
    <x v="0"/>
    <x v="0"/>
  </r>
  <r>
    <n v="84290"/>
    <x v="0"/>
    <x v="0"/>
    <n v="48308"/>
    <n v="4"/>
    <x v="3"/>
    <x v="3"/>
    <x v="1"/>
    <x v="0"/>
    <x v="4"/>
    <n v="36"/>
    <x v="0"/>
    <x v="0"/>
  </r>
  <r>
    <n v="86213"/>
    <x v="0"/>
    <x v="1"/>
    <n v="64789"/>
    <n v="5"/>
    <x v="0"/>
    <x v="3"/>
    <x v="1"/>
    <x v="2"/>
    <x v="11"/>
    <n v="58"/>
    <x v="2"/>
    <x v="1"/>
  </r>
  <r>
    <n v="15895"/>
    <x v="0"/>
    <x v="1"/>
    <n v="75690"/>
    <n v="2"/>
    <x v="2"/>
    <x v="2"/>
    <x v="0"/>
    <x v="2"/>
    <x v="12"/>
    <n v="43"/>
    <x v="0"/>
    <x v="0"/>
  </r>
  <r>
    <n v="29738"/>
    <x v="1"/>
    <x v="0"/>
    <n v="46086"/>
    <n v="0"/>
    <x v="3"/>
    <x v="3"/>
    <x v="1"/>
    <x v="1"/>
    <x v="7"/>
    <n v="22"/>
    <x v="1"/>
    <x v="1"/>
  </r>
  <r>
    <n v="40746"/>
    <x v="0"/>
    <x v="1"/>
    <n v="36859"/>
    <n v="0"/>
    <x v="3"/>
    <x v="1"/>
    <x v="1"/>
    <x v="0"/>
    <x v="1"/>
    <n v="49"/>
    <x v="0"/>
    <x v="1"/>
  </r>
  <r>
    <n v="59377"/>
    <x v="0"/>
    <x v="1"/>
    <n v="27684"/>
    <n v="3"/>
    <x v="1"/>
    <x v="1"/>
    <x v="0"/>
    <x v="3"/>
    <x v="12"/>
    <n v="32"/>
    <x v="0"/>
    <x v="1"/>
  </r>
  <r>
    <n v="58404"/>
    <x v="0"/>
    <x v="1"/>
    <n v="111088"/>
    <n v="3"/>
    <x v="0"/>
    <x v="3"/>
    <x v="1"/>
    <x v="3"/>
    <x v="2"/>
    <n v="38"/>
    <x v="0"/>
    <x v="0"/>
  </r>
  <r>
    <n v="64045"/>
    <x v="0"/>
    <x v="0"/>
    <n v="21207"/>
    <n v="0"/>
    <x v="1"/>
    <x v="1"/>
    <x v="0"/>
    <x v="4"/>
    <x v="15"/>
    <n v="26"/>
    <x v="1"/>
    <x v="0"/>
  </r>
  <r>
    <n v="49790"/>
    <x v="0"/>
    <x v="1"/>
    <n v="66099"/>
    <n v="5"/>
    <x v="3"/>
    <x v="3"/>
    <x v="0"/>
    <x v="2"/>
    <x v="9"/>
    <n v="28"/>
    <x v="1"/>
    <x v="1"/>
  </r>
  <r>
    <n v="15600"/>
    <x v="0"/>
    <x v="0"/>
    <n v="87496"/>
    <n v="4"/>
    <x v="3"/>
    <x v="3"/>
    <x v="1"/>
    <x v="2"/>
    <x v="8"/>
    <n v="38"/>
    <x v="0"/>
    <x v="1"/>
  </r>
  <r>
    <n v="50764"/>
    <x v="1"/>
    <x v="1"/>
    <n v="86093"/>
    <n v="0"/>
    <x v="3"/>
    <x v="0"/>
    <x v="0"/>
    <x v="0"/>
    <x v="0"/>
    <n v="64"/>
    <x v="2"/>
    <x v="0"/>
  </r>
  <r>
    <n v="84543"/>
    <x v="0"/>
    <x v="0"/>
    <n v="49689"/>
    <n v="1"/>
    <x v="1"/>
    <x v="2"/>
    <x v="0"/>
    <x v="3"/>
    <x v="7"/>
    <n v="59"/>
    <x v="2"/>
    <x v="1"/>
  </r>
  <r>
    <n v="55714"/>
    <x v="0"/>
    <x v="1"/>
    <n v="68651"/>
    <n v="2"/>
    <x v="0"/>
    <x v="2"/>
    <x v="0"/>
    <x v="4"/>
    <x v="10"/>
    <n v="41"/>
    <x v="0"/>
    <x v="1"/>
  </r>
  <r>
    <n v="66835"/>
    <x v="0"/>
    <x v="0"/>
    <n v="33893"/>
    <n v="4"/>
    <x v="2"/>
    <x v="0"/>
    <x v="0"/>
    <x v="0"/>
    <x v="2"/>
    <n v="37"/>
    <x v="0"/>
    <x v="0"/>
  </r>
  <r>
    <n v="83744"/>
    <x v="0"/>
    <x v="0"/>
    <n v="117808"/>
    <n v="1"/>
    <x v="1"/>
    <x v="0"/>
    <x v="1"/>
    <x v="2"/>
    <x v="7"/>
    <n v="42"/>
    <x v="0"/>
    <x v="1"/>
  </r>
  <r>
    <n v="66491"/>
    <x v="0"/>
    <x v="1"/>
    <n v="86418"/>
    <n v="4"/>
    <x v="3"/>
    <x v="2"/>
    <x v="0"/>
    <x v="3"/>
    <x v="12"/>
    <n v="21"/>
    <x v="1"/>
    <x v="0"/>
  </r>
  <r>
    <n v="28589"/>
    <x v="1"/>
    <x v="0"/>
    <n v="80011"/>
    <n v="1"/>
    <x v="1"/>
    <x v="3"/>
    <x v="1"/>
    <x v="4"/>
    <x v="12"/>
    <n v="69"/>
    <x v="2"/>
    <x v="1"/>
  </r>
  <r>
    <n v="53484"/>
    <x v="0"/>
    <x v="0"/>
    <n v="58635"/>
    <n v="2"/>
    <x v="3"/>
    <x v="3"/>
    <x v="0"/>
    <x v="1"/>
    <x v="3"/>
    <n v="69"/>
    <x v="2"/>
    <x v="0"/>
  </r>
  <r>
    <n v="92989"/>
    <x v="0"/>
    <x v="0"/>
    <n v="76115"/>
    <n v="2"/>
    <x v="2"/>
    <x v="2"/>
    <x v="0"/>
    <x v="3"/>
    <x v="1"/>
    <n v="30"/>
    <x v="1"/>
    <x v="0"/>
  </r>
  <r>
    <n v="46212"/>
    <x v="0"/>
    <x v="0"/>
    <n v="115071"/>
    <n v="3"/>
    <x v="2"/>
    <x v="3"/>
    <x v="0"/>
    <x v="4"/>
    <x v="5"/>
    <n v="50"/>
    <x v="0"/>
    <x v="0"/>
  </r>
  <r>
    <n v="53525"/>
    <x v="1"/>
    <x v="0"/>
    <n v="98405"/>
    <n v="5"/>
    <x v="0"/>
    <x v="0"/>
    <x v="1"/>
    <x v="0"/>
    <x v="15"/>
    <n v="52"/>
    <x v="0"/>
    <x v="1"/>
  </r>
  <r>
    <n v="57202"/>
    <x v="1"/>
    <x v="0"/>
    <n v="92702"/>
    <n v="1"/>
    <x v="3"/>
    <x v="3"/>
    <x v="1"/>
    <x v="1"/>
    <x v="0"/>
    <n v="33"/>
    <x v="0"/>
    <x v="0"/>
  </r>
  <r>
    <n v="42635"/>
    <x v="1"/>
    <x v="0"/>
    <n v="98518"/>
    <n v="3"/>
    <x v="0"/>
    <x v="3"/>
    <x v="1"/>
    <x v="4"/>
    <x v="12"/>
    <n v="35"/>
    <x v="0"/>
    <x v="0"/>
  </r>
  <r>
    <n v="73208"/>
    <x v="0"/>
    <x v="0"/>
    <n v="92805"/>
    <n v="1"/>
    <x v="0"/>
    <x v="1"/>
    <x v="0"/>
    <x v="4"/>
    <x v="2"/>
    <n v="30"/>
    <x v="1"/>
    <x v="0"/>
  </r>
  <r>
    <n v="43828"/>
    <x v="1"/>
    <x v="1"/>
    <n v="78954"/>
    <n v="3"/>
    <x v="2"/>
    <x v="1"/>
    <x v="0"/>
    <x v="2"/>
    <x v="13"/>
    <n v="52"/>
    <x v="0"/>
    <x v="0"/>
  </r>
  <r>
    <n v="28711"/>
    <x v="0"/>
    <x v="1"/>
    <n v="48064"/>
    <n v="2"/>
    <x v="1"/>
    <x v="1"/>
    <x v="0"/>
    <x v="3"/>
    <x v="14"/>
    <n v="26"/>
    <x v="1"/>
    <x v="0"/>
  </r>
  <r>
    <n v="13420"/>
    <x v="0"/>
    <x v="0"/>
    <n v="99063"/>
    <n v="4"/>
    <x v="1"/>
    <x v="3"/>
    <x v="0"/>
    <x v="2"/>
    <x v="9"/>
    <n v="50"/>
    <x v="0"/>
    <x v="0"/>
  </r>
  <r>
    <n v="10301"/>
    <x v="0"/>
    <x v="0"/>
    <n v="22454"/>
    <n v="3"/>
    <x v="0"/>
    <x v="2"/>
    <x v="1"/>
    <x v="1"/>
    <x v="4"/>
    <n v="67"/>
    <x v="2"/>
    <x v="1"/>
  </r>
  <r>
    <n v="55236"/>
    <x v="0"/>
    <x v="1"/>
    <n v="40878"/>
    <n v="1"/>
    <x v="2"/>
    <x v="0"/>
    <x v="0"/>
    <x v="4"/>
    <x v="8"/>
    <n v="65"/>
    <x v="2"/>
    <x v="1"/>
  </r>
  <r>
    <n v="76235"/>
    <x v="1"/>
    <x v="1"/>
    <n v="71098"/>
    <n v="1"/>
    <x v="3"/>
    <x v="3"/>
    <x v="1"/>
    <x v="2"/>
    <x v="6"/>
    <n v="66"/>
    <x v="2"/>
    <x v="0"/>
  </r>
  <r>
    <n v="64240"/>
    <x v="1"/>
    <x v="1"/>
    <n v="82154"/>
    <n v="5"/>
    <x v="1"/>
    <x v="2"/>
    <x v="0"/>
    <x v="3"/>
    <x v="10"/>
    <n v="33"/>
    <x v="0"/>
    <x v="1"/>
  </r>
  <r>
    <n v="75726"/>
    <x v="0"/>
    <x v="0"/>
    <n v="32991"/>
    <n v="2"/>
    <x v="0"/>
    <x v="3"/>
    <x v="1"/>
    <x v="1"/>
    <x v="4"/>
    <n v="47"/>
    <x v="0"/>
    <x v="0"/>
  </r>
  <r>
    <n v="20492"/>
    <x v="1"/>
    <x v="1"/>
    <n v="88344"/>
    <n v="1"/>
    <x v="1"/>
    <x v="0"/>
    <x v="1"/>
    <x v="0"/>
    <x v="6"/>
    <n v="62"/>
    <x v="2"/>
    <x v="0"/>
  </r>
  <r>
    <n v="16102"/>
    <x v="1"/>
    <x v="0"/>
    <n v="56593"/>
    <n v="0"/>
    <x v="1"/>
    <x v="3"/>
    <x v="0"/>
    <x v="2"/>
    <x v="14"/>
    <n v="35"/>
    <x v="0"/>
    <x v="0"/>
  </r>
  <r>
    <n v="60336"/>
    <x v="1"/>
    <x v="0"/>
    <n v="56304"/>
    <n v="4"/>
    <x v="3"/>
    <x v="0"/>
    <x v="0"/>
    <x v="1"/>
    <x v="4"/>
    <n v="38"/>
    <x v="0"/>
    <x v="1"/>
  </r>
  <r>
    <n v="95314"/>
    <x v="1"/>
    <x v="1"/>
    <n v="50386"/>
    <n v="3"/>
    <x v="2"/>
    <x v="3"/>
    <x v="1"/>
    <x v="0"/>
    <x v="3"/>
    <n v="36"/>
    <x v="0"/>
    <x v="1"/>
  </r>
  <r>
    <n v="36641"/>
    <x v="1"/>
    <x v="0"/>
    <n v="75220"/>
    <n v="5"/>
    <x v="3"/>
    <x v="0"/>
    <x v="0"/>
    <x v="2"/>
    <x v="1"/>
    <n v="45"/>
    <x v="0"/>
    <x v="0"/>
  </r>
  <r>
    <n v="44584"/>
    <x v="1"/>
    <x v="0"/>
    <n v="89338"/>
    <n v="4"/>
    <x v="2"/>
    <x v="3"/>
    <x v="0"/>
    <x v="1"/>
    <x v="5"/>
    <n v="25"/>
    <x v="1"/>
    <x v="0"/>
  </r>
  <r>
    <n v="42745"/>
    <x v="1"/>
    <x v="0"/>
    <n v="114289"/>
    <n v="2"/>
    <x v="1"/>
    <x v="0"/>
    <x v="1"/>
    <x v="1"/>
    <x v="14"/>
    <n v="62"/>
    <x v="2"/>
    <x v="0"/>
  </r>
  <r>
    <n v="33093"/>
    <x v="0"/>
    <x v="0"/>
    <n v="41083"/>
    <n v="5"/>
    <x v="0"/>
    <x v="1"/>
    <x v="1"/>
    <x v="2"/>
    <x v="2"/>
    <n v="68"/>
    <x v="2"/>
    <x v="1"/>
  </r>
  <r>
    <n v="76105"/>
    <x v="0"/>
    <x v="1"/>
    <n v="38354"/>
    <n v="3"/>
    <x v="3"/>
    <x v="3"/>
    <x v="1"/>
    <x v="1"/>
    <x v="8"/>
    <n v="28"/>
    <x v="1"/>
    <x v="1"/>
  </r>
  <r>
    <n v="61885"/>
    <x v="1"/>
    <x v="1"/>
    <n v="42190"/>
    <n v="3"/>
    <x v="2"/>
    <x v="3"/>
    <x v="1"/>
    <x v="4"/>
    <x v="1"/>
    <n v="69"/>
    <x v="2"/>
    <x v="1"/>
  </r>
  <r>
    <n v="46631"/>
    <x v="0"/>
    <x v="0"/>
    <n v="26142"/>
    <n v="0"/>
    <x v="1"/>
    <x v="2"/>
    <x v="0"/>
    <x v="2"/>
    <x v="10"/>
    <n v="36"/>
    <x v="0"/>
    <x v="0"/>
  </r>
  <r>
    <n v="82991"/>
    <x v="1"/>
    <x v="0"/>
    <n v="48398"/>
    <n v="2"/>
    <x v="2"/>
    <x v="2"/>
    <x v="1"/>
    <x v="1"/>
    <x v="14"/>
    <n v="50"/>
    <x v="0"/>
    <x v="1"/>
  </r>
  <r>
    <n v="14014"/>
    <x v="0"/>
    <x v="1"/>
    <n v="71971"/>
    <n v="5"/>
    <x v="2"/>
    <x v="0"/>
    <x v="1"/>
    <x v="0"/>
    <x v="3"/>
    <n v="31"/>
    <x v="0"/>
    <x v="1"/>
  </r>
  <r>
    <n v="21093"/>
    <x v="0"/>
    <x v="0"/>
    <n v="61862"/>
    <n v="5"/>
    <x v="2"/>
    <x v="3"/>
    <x v="1"/>
    <x v="0"/>
    <x v="7"/>
    <n v="42"/>
    <x v="0"/>
    <x v="1"/>
  </r>
  <r>
    <n v="28070"/>
    <x v="0"/>
    <x v="1"/>
    <n v="118668"/>
    <n v="1"/>
    <x v="1"/>
    <x v="0"/>
    <x v="0"/>
    <x v="4"/>
    <x v="2"/>
    <n v="24"/>
    <x v="1"/>
    <x v="1"/>
  </r>
  <r>
    <n v="45777"/>
    <x v="0"/>
    <x v="0"/>
    <n v="73410"/>
    <n v="0"/>
    <x v="0"/>
    <x v="1"/>
    <x v="1"/>
    <x v="2"/>
    <x v="15"/>
    <n v="62"/>
    <x v="2"/>
    <x v="0"/>
  </r>
  <r>
    <n v="66958"/>
    <x v="1"/>
    <x v="0"/>
    <n v="39503"/>
    <n v="0"/>
    <x v="0"/>
    <x v="2"/>
    <x v="0"/>
    <x v="1"/>
    <x v="3"/>
    <n v="55"/>
    <x v="2"/>
    <x v="0"/>
  </r>
  <r>
    <n v="92074"/>
    <x v="1"/>
    <x v="1"/>
    <n v="68456"/>
    <n v="5"/>
    <x v="0"/>
    <x v="0"/>
    <x v="1"/>
    <x v="1"/>
    <x v="10"/>
    <n v="55"/>
    <x v="2"/>
    <x v="1"/>
  </r>
  <r>
    <n v="20729"/>
    <x v="1"/>
    <x v="1"/>
    <n v="102035"/>
    <n v="5"/>
    <x v="2"/>
    <x v="0"/>
    <x v="1"/>
    <x v="0"/>
    <x v="15"/>
    <n v="22"/>
    <x v="1"/>
    <x v="1"/>
  </r>
  <r>
    <n v="55017"/>
    <x v="1"/>
    <x v="1"/>
    <n v="28016"/>
    <n v="4"/>
    <x v="1"/>
    <x v="2"/>
    <x v="0"/>
    <x v="4"/>
    <x v="3"/>
    <n v="43"/>
    <x v="0"/>
    <x v="1"/>
  </r>
  <r>
    <n v="76320"/>
    <x v="0"/>
    <x v="1"/>
    <n v="22384"/>
    <n v="4"/>
    <x v="2"/>
    <x v="3"/>
    <x v="1"/>
    <x v="0"/>
    <x v="5"/>
    <n v="36"/>
    <x v="0"/>
    <x v="1"/>
  </r>
  <r>
    <n v="37751"/>
    <x v="0"/>
    <x v="0"/>
    <n v="82320"/>
    <n v="4"/>
    <x v="0"/>
    <x v="0"/>
    <x v="1"/>
    <x v="0"/>
    <x v="0"/>
    <n v="58"/>
    <x v="2"/>
    <x v="1"/>
  </r>
  <r>
    <n v="88069"/>
    <x v="1"/>
    <x v="1"/>
    <n v="35072"/>
    <n v="0"/>
    <x v="0"/>
    <x v="2"/>
    <x v="0"/>
    <x v="4"/>
    <x v="11"/>
    <n v="45"/>
    <x v="0"/>
    <x v="0"/>
  </r>
  <r>
    <n v="64748"/>
    <x v="0"/>
    <x v="0"/>
    <n v="100018"/>
    <n v="1"/>
    <x v="1"/>
    <x v="3"/>
    <x v="1"/>
    <x v="2"/>
    <x v="3"/>
    <n v="23"/>
    <x v="1"/>
    <x v="1"/>
  </r>
  <r>
    <n v="15801"/>
    <x v="0"/>
    <x v="1"/>
    <n v="60510"/>
    <n v="3"/>
    <x v="2"/>
    <x v="1"/>
    <x v="1"/>
    <x v="1"/>
    <x v="4"/>
    <n v="64"/>
    <x v="2"/>
    <x v="1"/>
  </r>
  <r>
    <n v="29190"/>
    <x v="0"/>
    <x v="1"/>
    <n v="68933"/>
    <n v="4"/>
    <x v="3"/>
    <x v="2"/>
    <x v="1"/>
    <x v="2"/>
    <x v="13"/>
    <n v="31"/>
    <x v="0"/>
    <x v="1"/>
  </r>
  <r>
    <n v="59689"/>
    <x v="0"/>
    <x v="0"/>
    <n v="41826"/>
    <n v="1"/>
    <x v="3"/>
    <x v="0"/>
    <x v="1"/>
    <x v="3"/>
    <x v="13"/>
    <n v="20"/>
    <x v="1"/>
    <x v="0"/>
  </r>
  <r>
    <n v="60993"/>
    <x v="1"/>
    <x v="1"/>
    <n v="88026"/>
    <n v="2"/>
    <x v="0"/>
    <x v="1"/>
    <x v="0"/>
    <x v="3"/>
    <x v="15"/>
    <n v="40"/>
    <x v="0"/>
    <x v="0"/>
  </r>
  <r>
    <n v="39592"/>
    <x v="1"/>
    <x v="1"/>
    <n v="45518"/>
    <n v="4"/>
    <x v="1"/>
    <x v="3"/>
    <x v="1"/>
    <x v="3"/>
    <x v="4"/>
    <n v="38"/>
    <x v="0"/>
    <x v="0"/>
  </r>
  <r>
    <n v="20647"/>
    <x v="0"/>
    <x v="1"/>
    <n v="44045"/>
    <n v="3"/>
    <x v="2"/>
    <x v="3"/>
    <x v="0"/>
    <x v="4"/>
    <x v="7"/>
    <n v="40"/>
    <x v="0"/>
    <x v="0"/>
  </r>
  <r>
    <n v="18716"/>
    <x v="1"/>
    <x v="1"/>
    <n v="70876"/>
    <n v="2"/>
    <x v="2"/>
    <x v="2"/>
    <x v="1"/>
    <x v="0"/>
    <x v="11"/>
    <n v="37"/>
    <x v="0"/>
    <x v="0"/>
  </r>
  <r>
    <n v="98891"/>
    <x v="1"/>
    <x v="0"/>
    <n v="112446"/>
    <n v="2"/>
    <x v="0"/>
    <x v="2"/>
    <x v="0"/>
    <x v="2"/>
    <x v="4"/>
    <n v="62"/>
    <x v="2"/>
    <x v="1"/>
  </r>
  <r>
    <n v="97545"/>
    <x v="0"/>
    <x v="0"/>
    <n v="110102"/>
    <n v="3"/>
    <x v="0"/>
    <x v="2"/>
    <x v="1"/>
    <x v="1"/>
    <x v="11"/>
    <n v="22"/>
    <x v="1"/>
    <x v="0"/>
  </r>
  <r>
    <n v="99912"/>
    <x v="1"/>
    <x v="1"/>
    <n v="71919"/>
    <n v="4"/>
    <x v="2"/>
    <x v="3"/>
    <x v="0"/>
    <x v="3"/>
    <x v="4"/>
    <n v="68"/>
    <x v="2"/>
    <x v="1"/>
  </r>
  <r>
    <n v="80316"/>
    <x v="1"/>
    <x v="1"/>
    <n v="119441"/>
    <n v="0"/>
    <x v="2"/>
    <x v="1"/>
    <x v="1"/>
    <x v="2"/>
    <x v="4"/>
    <n v="63"/>
    <x v="2"/>
    <x v="1"/>
  </r>
  <r>
    <n v="12368"/>
    <x v="0"/>
    <x v="1"/>
    <n v="47103"/>
    <n v="3"/>
    <x v="0"/>
    <x v="3"/>
    <x v="0"/>
    <x v="3"/>
    <x v="9"/>
    <n v="51"/>
    <x v="0"/>
    <x v="0"/>
  </r>
  <r>
    <n v="87575"/>
    <x v="0"/>
    <x v="0"/>
    <n v="56188"/>
    <n v="3"/>
    <x v="2"/>
    <x v="0"/>
    <x v="0"/>
    <x v="3"/>
    <x v="2"/>
    <n v="29"/>
    <x v="1"/>
    <x v="1"/>
  </r>
  <r>
    <n v="16655"/>
    <x v="0"/>
    <x v="0"/>
    <n v="25845"/>
    <n v="3"/>
    <x v="3"/>
    <x v="3"/>
    <x v="1"/>
    <x v="1"/>
    <x v="6"/>
    <n v="59"/>
    <x v="2"/>
    <x v="0"/>
  </r>
  <r>
    <n v="80031"/>
    <x v="0"/>
    <x v="0"/>
    <n v="106698"/>
    <n v="2"/>
    <x v="0"/>
    <x v="0"/>
    <x v="0"/>
    <x v="4"/>
    <x v="8"/>
    <n v="34"/>
    <x v="0"/>
    <x v="1"/>
  </r>
  <r>
    <n v="86429"/>
    <x v="0"/>
    <x v="0"/>
    <n v="56674"/>
    <n v="1"/>
    <x v="2"/>
    <x v="1"/>
    <x v="1"/>
    <x v="0"/>
    <x v="3"/>
    <n v="24"/>
    <x v="1"/>
    <x v="0"/>
  </r>
  <r>
    <n v="97922"/>
    <x v="1"/>
    <x v="1"/>
    <n v="39337"/>
    <n v="0"/>
    <x v="0"/>
    <x v="2"/>
    <x v="1"/>
    <x v="4"/>
    <x v="8"/>
    <n v="23"/>
    <x v="1"/>
    <x v="0"/>
  </r>
  <r>
    <n v="65766"/>
    <x v="0"/>
    <x v="1"/>
    <n v="42313"/>
    <n v="4"/>
    <x v="1"/>
    <x v="2"/>
    <x v="1"/>
    <x v="2"/>
    <x v="9"/>
    <n v="47"/>
    <x v="0"/>
    <x v="0"/>
  </r>
  <r>
    <n v="23403"/>
    <x v="0"/>
    <x v="1"/>
    <n v="46943"/>
    <n v="4"/>
    <x v="0"/>
    <x v="3"/>
    <x v="1"/>
    <x v="4"/>
    <x v="0"/>
    <n v="23"/>
    <x v="1"/>
    <x v="0"/>
  </r>
  <r>
    <n v="42097"/>
    <x v="1"/>
    <x v="0"/>
    <n v="97949"/>
    <n v="1"/>
    <x v="0"/>
    <x v="2"/>
    <x v="1"/>
    <x v="2"/>
    <x v="0"/>
    <n v="34"/>
    <x v="0"/>
    <x v="0"/>
  </r>
  <r>
    <n v="88657"/>
    <x v="1"/>
    <x v="1"/>
    <n v="20276"/>
    <n v="3"/>
    <x v="1"/>
    <x v="1"/>
    <x v="0"/>
    <x v="2"/>
    <x v="8"/>
    <n v="36"/>
    <x v="0"/>
    <x v="0"/>
  </r>
  <r>
    <n v="20966"/>
    <x v="0"/>
    <x v="0"/>
    <n v="71151"/>
    <n v="0"/>
    <x v="3"/>
    <x v="2"/>
    <x v="1"/>
    <x v="0"/>
    <x v="4"/>
    <n v="63"/>
    <x v="2"/>
    <x v="1"/>
  </r>
  <r>
    <n v="62921"/>
    <x v="0"/>
    <x v="0"/>
    <n v="37611"/>
    <n v="4"/>
    <x v="2"/>
    <x v="3"/>
    <x v="1"/>
    <x v="1"/>
    <x v="12"/>
    <n v="22"/>
    <x v="1"/>
    <x v="1"/>
  </r>
  <r>
    <n v="59726"/>
    <x v="0"/>
    <x v="1"/>
    <n v="31944"/>
    <n v="5"/>
    <x v="1"/>
    <x v="1"/>
    <x v="1"/>
    <x v="0"/>
    <x v="3"/>
    <n v="29"/>
    <x v="1"/>
    <x v="0"/>
  </r>
  <r>
    <n v="60300"/>
    <x v="1"/>
    <x v="1"/>
    <n v="72887"/>
    <n v="4"/>
    <x v="0"/>
    <x v="0"/>
    <x v="1"/>
    <x v="4"/>
    <x v="2"/>
    <n v="66"/>
    <x v="2"/>
    <x v="0"/>
  </r>
  <r>
    <n v="32677"/>
    <x v="0"/>
    <x v="1"/>
    <n v="101442"/>
    <n v="3"/>
    <x v="2"/>
    <x v="3"/>
    <x v="1"/>
    <x v="2"/>
    <x v="3"/>
    <n v="61"/>
    <x v="2"/>
    <x v="0"/>
  </r>
  <r>
    <n v="65609"/>
    <x v="0"/>
    <x v="0"/>
    <n v="69847"/>
    <n v="5"/>
    <x v="1"/>
    <x v="0"/>
    <x v="1"/>
    <x v="3"/>
    <x v="2"/>
    <n v="42"/>
    <x v="0"/>
    <x v="0"/>
  </r>
  <r>
    <n v="66661"/>
    <x v="1"/>
    <x v="0"/>
    <n v="78653"/>
    <n v="1"/>
    <x v="2"/>
    <x v="1"/>
    <x v="0"/>
    <x v="3"/>
    <x v="0"/>
    <n v="37"/>
    <x v="0"/>
    <x v="0"/>
  </r>
  <r>
    <n v="41024"/>
    <x v="0"/>
    <x v="1"/>
    <n v="106072"/>
    <n v="0"/>
    <x v="2"/>
    <x v="3"/>
    <x v="0"/>
    <x v="2"/>
    <x v="2"/>
    <n v="20"/>
    <x v="1"/>
    <x v="1"/>
  </r>
  <r>
    <n v="80313"/>
    <x v="1"/>
    <x v="1"/>
    <n v="76622"/>
    <n v="1"/>
    <x v="1"/>
    <x v="3"/>
    <x v="1"/>
    <x v="0"/>
    <x v="1"/>
    <n v="54"/>
    <x v="0"/>
    <x v="1"/>
  </r>
  <r>
    <n v="63006"/>
    <x v="1"/>
    <x v="0"/>
    <n v="47810"/>
    <n v="1"/>
    <x v="2"/>
    <x v="1"/>
    <x v="0"/>
    <x v="1"/>
    <x v="11"/>
    <n v="50"/>
    <x v="0"/>
    <x v="1"/>
  </r>
  <r>
    <n v="25338"/>
    <x v="0"/>
    <x v="1"/>
    <n v="97842"/>
    <n v="0"/>
    <x v="3"/>
    <x v="2"/>
    <x v="1"/>
    <x v="0"/>
    <x v="8"/>
    <n v="63"/>
    <x v="2"/>
    <x v="1"/>
  </r>
  <r>
    <n v="78027"/>
    <x v="1"/>
    <x v="0"/>
    <n v="30503"/>
    <n v="0"/>
    <x v="1"/>
    <x v="3"/>
    <x v="1"/>
    <x v="2"/>
    <x v="1"/>
    <n v="20"/>
    <x v="1"/>
    <x v="0"/>
  </r>
  <r>
    <n v="90135"/>
    <x v="0"/>
    <x v="0"/>
    <n v="104761"/>
    <n v="4"/>
    <x v="3"/>
    <x v="3"/>
    <x v="1"/>
    <x v="2"/>
    <x v="12"/>
    <n v="22"/>
    <x v="1"/>
    <x v="0"/>
  </r>
  <r>
    <n v="29508"/>
    <x v="1"/>
    <x v="1"/>
    <n v="56976"/>
    <n v="4"/>
    <x v="0"/>
    <x v="0"/>
    <x v="1"/>
    <x v="1"/>
    <x v="2"/>
    <n v="22"/>
    <x v="1"/>
    <x v="0"/>
  </r>
  <r>
    <n v="13051"/>
    <x v="1"/>
    <x v="1"/>
    <n v="31590"/>
    <n v="0"/>
    <x v="2"/>
    <x v="2"/>
    <x v="1"/>
    <x v="4"/>
    <x v="15"/>
    <n v="56"/>
    <x v="2"/>
    <x v="1"/>
  </r>
  <r>
    <n v="58747"/>
    <x v="1"/>
    <x v="1"/>
    <n v="30886"/>
    <n v="5"/>
    <x v="0"/>
    <x v="0"/>
    <x v="0"/>
    <x v="4"/>
    <x v="15"/>
    <n v="38"/>
    <x v="0"/>
    <x v="1"/>
  </r>
  <r>
    <n v="97142"/>
    <x v="0"/>
    <x v="1"/>
    <n v="32866"/>
    <n v="2"/>
    <x v="0"/>
    <x v="0"/>
    <x v="0"/>
    <x v="1"/>
    <x v="14"/>
    <n v="48"/>
    <x v="0"/>
    <x v="1"/>
  </r>
  <r>
    <n v="97235"/>
    <x v="1"/>
    <x v="0"/>
    <n v="86624"/>
    <n v="4"/>
    <x v="2"/>
    <x v="2"/>
    <x v="0"/>
    <x v="4"/>
    <x v="10"/>
    <n v="44"/>
    <x v="0"/>
    <x v="0"/>
  </r>
  <r>
    <n v="64021"/>
    <x v="1"/>
    <x v="0"/>
    <n v="88899"/>
    <n v="2"/>
    <x v="1"/>
    <x v="2"/>
    <x v="0"/>
    <x v="3"/>
    <x v="14"/>
    <n v="52"/>
    <x v="0"/>
    <x v="1"/>
  </r>
  <r>
    <n v="76412"/>
    <x v="0"/>
    <x v="0"/>
    <n v="52792"/>
    <n v="5"/>
    <x v="2"/>
    <x v="1"/>
    <x v="1"/>
    <x v="4"/>
    <x v="14"/>
    <n v="55"/>
    <x v="2"/>
    <x v="1"/>
  </r>
  <r>
    <n v="68335"/>
    <x v="1"/>
    <x v="1"/>
    <n v="29764"/>
    <n v="0"/>
    <x v="0"/>
    <x v="2"/>
    <x v="0"/>
    <x v="4"/>
    <x v="14"/>
    <n v="48"/>
    <x v="0"/>
    <x v="1"/>
  </r>
  <r>
    <n v="66179"/>
    <x v="0"/>
    <x v="0"/>
    <n v="106156"/>
    <n v="5"/>
    <x v="0"/>
    <x v="3"/>
    <x v="1"/>
    <x v="4"/>
    <x v="11"/>
    <n v="45"/>
    <x v="0"/>
    <x v="1"/>
  </r>
  <r>
    <n v="42093"/>
    <x v="0"/>
    <x v="1"/>
    <n v="62727"/>
    <n v="4"/>
    <x v="1"/>
    <x v="2"/>
    <x v="0"/>
    <x v="3"/>
    <x v="0"/>
    <n v="23"/>
    <x v="1"/>
    <x v="0"/>
  </r>
  <r>
    <n v="79678"/>
    <x v="0"/>
    <x v="1"/>
    <n v="98471"/>
    <n v="1"/>
    <x v="2"/>
    <x v="1"/>
    <x v="0"/>
    <x v="4"/>
    <x v="11"/>
    <n v="68"/>
    <x v="2"/>
    <x v="1"/>
  </r>
  <r>
    <n v="90738"/>
    <x v="0"/>
    <x v="1"/>
    <n v="28068"/>
    <n v="0"/>
    <x v="0"/>
    <x v="1"/>
    <x v="0"/>
    <x v="3"/>
    <x v="11"/>
    <n v="33"/>
    <x v="0"/>
    <x v="1"/>
  </r>
  <r>
    <n v="49734"/>
    <x v="0"/>
    <x v="1"/>
    <n v="27295"/>
    <n v="3"/>
    <x v="3"/>
    <x v="1"/>
    <x v="0"/>
    <x v="1"/>
    <x v="3"/>
    <n v="69"/>
    <x v="2"/>
    <x v="1"/>
  </r>
  <r>
    <n v="82615"/>
    <x v="1"/>
    <x v="1"/>
    <n v="61160"/>
    <n v="2"/>
    <x v="0"/>
    <x v="2"/>
    <x v="1"/>
    <x v="0"/>
    <x v="4"/>
    <n v="46"/>
    <x v="0"/>
    <x v="1"/>
  </r>
  <r>
    <n v="83523"/>
    <x v="0"/>
    <x v="1"/>
    <n v="31390"/>
    <n v="5"/>
    <x v="0"/>
    <x v="2"/>
    <x v="0"/>
    <x v="1"/>
    <x v="12"/>
    <n v="52"/>
    <x v="0"/>
    <x v="0"/>
  </r>
  <r>
    <n v="27019"/>
    <x v="1"/>
    <x v="0"/>
    <n v="40131"/>
    <n v="0"/>
    <x v="1"/>
    <x v="0"/>
    <x v="0"/>
    <x v="0"/>
    <x v="4"/>
    <n v="41"/>
    <x v="0"/>
    <x v="0"/>
  </r>
  <r>
    <n v="93613"/>
    <x v="0"/>
    <x v="1"/>
    <n v="114754"/>
    <n v="5"/>
    <x v="3"/>
    <x v="0"/>
    <x v="1"/>
    <x v="1"/>
    <x v="7"/>
    <n v="67"/>
    <x v="2"/>
    <x v="1"/>
  </r>
  <r>
    <n v="96672"/>
    <x v="1"/>
    <x v="0"/>
    <n v="95969"/>
    <n v="0"/>
    <x v="0"/>
    <x v="3"/>
    <x v="1"/>
    <x v="0"/>
    <x v="8"/>
    <n v="22"/>
    <x v="1"/>
    <x v="0"/>
  </r>
  <r>
    <n v="83847"/>
    <x v="1"/>
    <x v="0"/>
    <n v="35038"/>
    <n v="4"/>
    <x v="0"/>
    <x v="0"/>
    <x v="0"/>
    <x v="0"/>
    <x v="8"/>
    <n v="42"/>
    <x v="0"/>
    <x v="1"/>
  </r>
  <r>
    <n v="92750"/>
    <x v="0"/>
    <x v="1"/>
    <n v="72327"/>
    <n v="4"/>
    <x v="3"/>
    <x v="3"/>
    <x v="1"/>
    <x v="2"/>
    <x v="13"/>
    <n v="40"/>
    <x v="0"/>
    <x v="0"/>
  </r>
  <r>
    <n v="89634"/>
    <x v="1"/>
    <x v="1"/>
    <n v="113718"/>
    <n v="4"/>
    <x v="2"/>
    <x v="1"/>
    <x v="1"/>
    <x v="0"/>
    <x v="8"/>
    <n v="60"/>
    <x v="2"/>
    <x v="1"/>
  </r>
  <r>
    <n v="38251"/>
    <x v="0"/>
    <x v="1"/>
    <n v="97064"/>
    <n v="5"/>
    <x v="2"/>
    <x v="0"/>
    <x v="1"/>
    <x v="0"/>
    <x v="1"/>
    <n v="42"/>
    <x v="0"/>
    <x v="1"/>
  </r>
  <r>
    <n v="35945"/>
    <x v="1"/>
    <x v="0"/>
    <n v="41281"/>
    <n v="3"/>
    <x v="0"/>
    <x v="2"/>
    <x v="0"/>
    <x v="2"/>
    <x v="1"/>
    <n v="23"/>
    <x v="1"/>
    <x v="0"/>
  </r>
  <r>
    <n v="42217"/>
    <x v="0"/>
    <x v="1"/>
    <n v="74189"/>
    <n v="4"/>
    <x v="0"/>
    <x v="0"/>
    <x v="1"/>
    <x v="4"/>
    <x v="6"/>
    <n v="40"/>
    <x v="0"/>
    <x v="0"/>
  </r>
  <r>
    <n v="18308"/>
    <x v="1"/>
    <x v="0"/>
    <n v="68511"/>
    <n v="0"/>
    <x v="2"/>
    <x v="3"/>
    <x v="0"/>
    <x v="4"/>
    <x v="4"/>
    <n v="56"/>
    <x v="2"/>
    <x v="0"/>
  </r>
  <r>
    <n v="15949"/>
    <x v="0"/>
    <x v="1"/>
    <n v="28605"/>
    <n v="4"/>
    <x v="1"/>
    <x v="0"/>
    <x v="0"/>
    <x v="2"/>
    <x v="0"/>
    <n v="62"/>
    <x v="2"/>
    <x v="1"/>
  </r>
  <r>
    <n v="61990"/>
    <x v="1"/>
    <x v="1"/>
    <n v="21381"/>
    <n v="1"/>
    <x v="3"/>
    <x v="1"/>
    <x v="0"/>
    <x v="3"/>
    <x v="8"/>
    <n v="50"/>
    <x v="0"/>
    <x v="1"/>
  </r>
  <r>
    <n v="11150"/>
    <x v="1"/>
    <x v="0"/>
    <n v="86634"/>
    <n v="4"/>
    <x v="3"/>
    <x v="2"/>
    <x v="0"/>
    <x v="0"/>
    <x v="6"/>
    <n v="40"/>
    <x v="0"/>
    <x v="0"/>
  </r>
  <r>
    <n v="99480"/>
    <x v="0"/>
    <x v="0"/>
    <n v="39810"/>
    <n v="5"/>
    <x v="1"/>
    <x v="3"/>
    <x v="1"/>
    <x v="0"/>
    <x v="0"/>
    <n v="45"/>
    <x v="0"/>
    <x v="1"/>
  </r>
  <r>
    <n v="84740"/>
    <x v="0"/>
    <x v="1"/>
    <n v="44322"/>
    <n v="3"/>
    <x v="1"/>
    <x v="2"/>
    <x v="0"/>
    <x v="2"/>
    <x v="13"/>
    <n v="60"/>
    <x v="2"/>
    <x v="1"/>
  </r>
  <r>
    <n v="76617"/>
    <x v="0"/>
    <x v="0"/>
    <n v="61869"/>
    <n v="1"/>
    <x v="1"/>
    <x v="2"/>
    <x v="1"/>
    <x v="2"/>
    <x v="13"/>
    <n v="54"/>
    <x v="0"/>
    <x v="1"/>
  </r>
  <r>
    <n v="26896"/>
    <x v="0"/>
    <x v="0"/>
    <n v="52955"/>
    <n v="5"/>
    <x v="1"/>
    <x v="3"/>
    <x v="0"/>
    <x v="3"/>
    <x v="9"/>
    <n v="57"/>
    <x v="2"/>
    <x v="1"/>
  </r>
  <r>
    <n v="56175"/>
    <x v="1"/>
    <x v="0"/>
    <n v="81388"/>
    <n v="5"/>
    <x v="1"/>
    <x v="2"/>
    <x v="1"/>
    <x v="4"/>
    <x v="10"/>
    <n v="43"/>
    <x v="0"/>
    <x v="1"/>
  </r>
  <r>
    <n v="17805"/>
    <x v="0"/>
    <x v="0"/>
    <n v="30207"/>
    <n v="5"/>
    <x v="1"/>
    <x v="2"/>
    <x v="0"/>
    <x v="1"/>
    <x v="3"/>
    <n v="30"/>
    <x v="1"/>
    <x v="0"/>
  </r>
  <r>
    <n v="15237"/>
    <x v="0"/>
    <x v="0"/>
    <n v="107329"/>
    <n v="0"/>
    <x v="3"/>
    <x v="0"/>
    <x v="1"/>
    <x v="4"/>
    <x v="0"/>
    <n v="60"/>
    <x v="2"/>
    <x v="1"/>
  </r>
  <r>
    <n v="30056"/>
    <x v="0"/>
    <x v="1"/>
    <n v="87628"/>
    <n v="5"/>
    <x v="1"/>
    <x v="2"/>
    <x v="0"/>
    <x v="0"/>
    <x v="7"/>
    <n v="48"/>
    <x v="0"/>
    <x v="0"/>
  </r>
  <r>
    <n v="55543"/>
    <x v="1"/>
    <x v="1"/>
    <n v="48220"/>
    <n v="0"/>
    <x v="2"/>
    <x v="2"/>
    <x v="0"/>
    <x v="2"/>
    <x v="1"/>
    <n v="66"/>
    <x v="2"/>
    <x v="1"/>
  </r>
  <r>
    <n v="66556"/>
    <x v="0"/>
    <x v="0"/>
    <n v="104050"/>
    <n v="5"/>
    <x v="1"/>
    <x v="2"/>
    <x v="1"/>
    <x v="3"/>
    <x v="1"/>
    <n v="22"/>
    <x v="1"/>
    <x v="1"/>
  </r>
  <r>
    <n v="13343"/>
    <x v="0"/>
    <x v="1"/>
    <n v="94085"/>
    <n v="2"/>
    <x v="1"/>
    <x v="2"/>
    <x v="0"/>
    <x v="4"/>
    <x v="6"/>
    <n v="20"/>
    <x v="1"/>
    <x v="0"/>
  </r>
  <r>
    <n v="23500"/>
    <x v="0"/>
    <x v="1"/>
    <n v="42031"/>
    <n v="1"/>
    <x v="3"/>
    <x v="3"/>
    <x v="0"/>
    <x v="3"/>
    <x v="11"/>
    <n v="38"/>
    <x v="0"/>
    <x v="0"/>
  </r>
  <r>
    <n v="63222"/>
    <x v="0"/>
    <x v="0"/>
    <n v="90721"/>
    <n v="2"/>
    <x v="3"/>
    <x v="1"/>
    <x v="0"/>
    <x v="4"/>
    <x v="6"/>
    <n v="65"/>
    <x v="2"/>
    <x v="0"/>
  </r>
  <r>
    <n v="39375"/>
    <x v="1"/>
    <x v="1"/>
    <n v="100807"/>
    <n v="5"/>
    <x v="1"/>
    <x v="0"/>
    <x v="1"/>
    <x v="0"/>
    <x v="0"/>
    <n v="68"/>
    <x v="2"/>
    <x v="0"/>
  </r>
  <r>
    <n v="19662"/>
    <x v="0"/>
    <x v="0"/>
    <n v="91312"/>
    <n v="1"/>
    <x v="3"/>
    <x v="2"/>
    <x v="0"/>
    <x v="1"/>
    <x v="0"/>
    <n v="41"/>
    <x v="0"/>
    <x v="1"/>
  </r>
  <r>
    <n v="26964"/>
    <x v="0"/>
    <x v="0"/>
    <n v="79766"/>
    <n v="1"/>
    <x v="0"/>
    <x v="2"/>
    <x v="0"/>
    <x v="3"/>
    <x v="15"/>
    <n v="33"/>
    <x v="0"/>
    <x v="0"/>
  </r>
  <r>
    <n v="69638"/>
    <x v="1"/>
    <x v="1"/>
    <n v="32449"/>
    <n v="3"/>
    <x v="3"/>
    <x v="3"/>
    <x v="1"/>
    <x v="3"/>
    <x v="0"/>
    <n v="68"/>
    <x v="2"/>
    <x v="0"/>
  </r>
  <r>
    <n v="83666"/>
    <x v="1"/>
    <x v="0"/>
    <n v="109833"/>
    <n v="2"/>
    <x v="3"/>
    <x v="1"/>
    <x v="1"/>
    <x v="1"/>
    <x v="9"/>
    <n v="33"/>
    <x v="0"/>
    <x v="1"/>
  </r>
  <r>
    <n v="95067"/>
    <x v="0"/>
    <x v="0"/>
    <n v="76699"/>
    <n v="3"/>
    <x v="3"/>
    <x v="2"/>
    <x v="1"/>
    <x v="3"/>
    <x v="10"/>
    <n v="63"/>
    <x v="2"/>
    <x v="0"/>
  </r>
  <r>
    <n v="77215"/>
    <x v="1"/>
    <x v="0"/>
    <n v="101253"/>
    <n v="1"/>
    <x v="3"/>
    <x v="3"/>
    <x v="1"/>
    <x v="3"/>
    <x v="0"/>
    <n v="35"/>
    <x v="0"/>
    <x v="0"/>
  </r>
  <r>
    <n v="79042"/>
    <x v="1"/>
    <x v="0"/>
    <n v="66092"/>
    <n v="0"/>
    <x v="2"/>
    <x v="0"/>
    <x v="1"/>
    <x v="4"/>
    <x v="13"/>
    <n v="52"/>
    <x v="0"/>
    <x v="1"/>
  </r>
  <r>
    <n v="23284"/>
    <x v="0"/>
    <x v="0"/>
    <n v="83671"/>
    <n v="1"/>
    <x v="2"/>
    <x v="0"/>
    <x v="0"/>
    <x v="4"/>
    <x v="12"/>
    <n v="32"/>
    <x v="0"/>
    <x v="1"/>
  </r>
  <r>
    <n v="82789"/>
    <x v="1"/>
    <x v="1"/>
    <n v="30350"/>
    <n v="3"/>
    <x v="2"/>
    <x v="2"/>
    <x v="0"/>
    <x v="1"/>
    <x v="15"/>
    <n v="57"/>
    <x v="2"/>
    <x v="1"/>
  </r>
  <r>
    <n v="94664"/>
    <x v="1"/>
    <x v="1"/>
    <n v="116158"/>
    <n v="2"/>
    <x v="1"/>
    <x v="2"/>
    <x v="0"/>
    <x v="0"/>
    <x v="14"/>
    <n v="68"/>
    <x v="2"/>
    <x v="0"/>
  </r>
  <r>
    <n v="71389"/>
    <x v="0"/>
    <x v="0"/>
    <n v="88487"/>
    <n v="5"/>
    <x v="1"/>
    <x v="1"/>
    <x v="1"/>
    <x v="3"/>
    <x v="9"/>
    <n v="31"/>
    <x v="0"/>
    <x v="1"/>
  </r>
  <r>
    <n v="19435"/>
    <x v="0"/>
    <x v="0"/>
    <n v="37622"/>
    <n v="5"/>
    <x v="0"/>
    <x v="1"/>
    <x v="0"/>
    <x v="0"/>
    <x v="11"/>
    <n v="57"/>
    <x v="2"/>
    <x v="1"/>
  </r>
  <r>
    <n v="64340"/>
    <x v="0"/>
    <x v="1"/>
    <n v="90263"/>
    <n v="2"/>
    <x v="2"/>
    <x v="2"/>
    <x v="1"/>
    <x v="1"/>
    <x v="14"/>
    <n v="58"/>
    <x v="2"/>
    <x v="1"/>
  </r>
  <r>
    <n v="54078"/>
    <x v="1"/>
    <x v="0"/>
    <n v="73117"/>
    <n v="5"/>
    <x v="1"/>
    <x v="3"/>
    <x v="1"/>
    <x v="1"/>
    <x v="8"/>
    <n v="52"/>
    <x v="0"/>
    <x v="0"/>
  </r>
  <r>
    <n v="88832"/>
    <x v="1"/>
    <x v="1"/>
    <n v="78394"/>
    <n v="5"/>
    <x v="3"/>
    <x v="1"/>
    <x v="0"/>
    <x v="4"/>
    <x v="7"/>
    <n v="52"/>
    <x v="0"/>
    <x v="0"/>
  </r>
  <r>
    <n v="61293"/>
    <x v="1"/>
    <x v="0"/>
    <n v="43782"/>
    <n v="3"/>
    <x v="3"/>
    <x v="2"/>
    <x v="1"/>
    <x v="3"/>
    <x v="6"/>
    <n v="48"/>
    <x v="0"/>
    <x v="0"/>
  </r>
  <r>
    <n v="88781"/>
    <x v="0"/>
    <x v="0"/>
    <n v="48454"/>
    <n v="2"/>
    <x v="2"/>
    <x v="1"/>
    <x v="1"/>
    <x v="2"/>
    <x v="8"/>
    <n v="24"/>
    <x v="1"/>
    <x v="1"/>
  </r>
  <r>
    <n v="70403"/>
    <x v="1"/>
    <x v="0"/>
    <n v="87904"/>
    <n v="4"/>
    <x v="0"/>
    <x v="2"/>
    <x v="0"/>
    <x v="1"/>
    <x v="13"/>
    <n v="25"/>
    <x v="1"/>
    <x v="0"/>
  </r>
  <r>
    <n v="39124"/>
    <x v="1"/>
    <x v="0"/>
    <n v="35592"/>
    <n v="0"/>
    <x v="0"/>
    <x v="0"/>
    <x v="1"/>
    <x v="3"/>
    <x v="6"/>
    <n v="50"/>
    <x v="0"/>
    <x v="0"/>
  </r>
  <r>
    <n v="53919"/>
    <x v="0"/>
    <x v="0"/>
    <n v="42173"/>
    <n v="0"/>
    <x v="3"/>
    <x v="2"/>
    <x v="1"/>
    <x v="0"/>
    <x v="2"/>
    <n v="35"/>
    <x v="0"/>
    <x v="0"/>
  </r>
  <r>
    <n v="45247"/>
    <x v="0"/>
    <x v="0"/>
    <n v="53204"/>
    <n v="5"/>
    <x v="0"/>
    <x v="0"/>
    <x v="0"/>
    <x v="4"/>
    <x v="14"/>
    <n v="50"/>
    <x v="0"/>
    <x v="1"/>
  </r>
  <r>
    <n v="72752"/>
    <x v="1"/>
    <x v="0"/>
    <n v="55596"/>
    <n v="0"/>
    <x v="2"/>
    <x v="1"/>
    <x v="1"/>
    <x v="0"/>
    <x v="13"/>
    <n v="44"/>
    <x v="0"/>
    <x v="1"/>
  </r>
  <r>
    <n v="66573"/>
    <x v="0"/>
    <x v="1"/>
    <n v="54324"/>
    <n v="2"/>
    <x v="3"/>
    <x v="2"/>
    <x v="1"/>
    <x v="1"/>
    <x v="10"/>
    <n v="67"/>
    <x v="2"/>
    <x v="0"/>
  </r>
  <r>
    <n v="69101"/>
    <x v="1"/>
    <x v="1"/>
    <n v="81202"/>
    <n v="2"/>
    <x v="1"/>
    <x v="1"/>
    <x v="0"/>
    <x v="1"/>
    <x v="13"/>
    <n v="65"/>
    <x v="2"/>
    <x v="1"/>
  </r>
  <r>
    <n v="36646"/>
    <x v="0"/>
    <x v="1"/>
    <n v="109400"/>
    <n v="1"/>
    <x v="1"/>
    <x v="0"/>
    <x v="0"/>
    <x v="0"/>
    <x v="6"/>
    <n v="52"/>
    <x v="0"/>
    <x v="0"/>
  </r>
  <r>
    <n v="33049"/>
    <x v="0"/>
    <x v="0"/>
    <n v="50750"/>
    <n v="1"/>
    <x v="0"/>
    <x v="2"/>
    <x v="0"/>
    <x v="1"/>
    <x v="5"/>
    <n v="32"/>
    <x v="0"/>
    <x v="0"/>
  </r>
  <r>
    <n v="89605"/>
    <x v="0"/>
    <x v="0"/>
    <n v="96112"/>
    <n v="0"/>
    <x v="3"/>
    <x v="1"/>
    <x v="0"/>
    <x v="3"/>
    <x v="4"/>
    <n v="29"/>
    <x v="1"/>
    <x v="0"/>
  </r>
  <r>
    <n v="78385"/>
    <x v="0"/>
    <x v="0"/>
    <n v="36566"/>
    <n v="4"/>
    <x v="3"/>
    <x v="0"/>
    <x v="1"/>
    <x v="1"/>
    <x v="11"/>
    <n v="43"/>
    <x v="0"/>
    <x v="0"/>
  </r>
  <r>
    <n v="50158"/>
    <x v="1"/>
    <x v="0"/>
    <n v="27190"/>
    <n v="1"/>
    <x v="1"/>
    <x v="1"/>
    <x v="1"/>
    <x v="4"/>
    <x v="8"/>
    <n v="29"/>
    <x v="1"/>
    <x v="0"/>
  </r>
  <r>
    <n v="75417"/>
    <x v="0"/>
    <x v="0"/>
    <n v="108607"/>
    <n v="1"/>
    <x v="3"/>
    <x v="3"/>
    <x v="0"/>
    <x v="3"/>
    <x v="0"/>
    <n v="60"/>
    <x v="2"/>
    <x v="1"/>
  </r>
  <r>
    <n v="33289"/>
    <x v="1"/>
    <x v="0"/>
    <n v="58333"/>
    <n v="2"/>
    <x v="3"/>
    <x v="0"/>
    <x v="1"/>
    <x v="2"/>
    <x v="3"/>
    <n v="50"/>
    <x v="0"/>
    <x v="1"/>
  </r>
  <r>
    <n v="19823"/>
    <x v="0"/>
    <x v="0"/>
    <n v="100905"/>
    <n v="4"/>
    <x v="3"/>
    <x v="0"/>
    <x v="1"/>
    <x v="1"/>
    <x v="1"/>
    <n v="32"/>
    <x v="0"/>
    <x v="1"/>
  </r>
  <r>
    <n v="70160"/>
    <x v="1"/>
    <x v="1"/>
    <n v="109571"/>
    <n v="5"/>
    <x v="0"/>
    <x v="0"/>
    <x v="0"/>
    <x v="1"/>
    <x v="10"/>
    <n v="22"/>
    <x v="1"/>
    <x v="0"/>
  </r>
  <r>
    <n v="51975"/>
    <x v="0"/>
    <x v="0"/>
    <n v="21589"/>
    <n v="0"/>
    <x v="3"/>
    <x v="2"/>
    <x v="0"/>
    <x v="4"/>
    <x v="10"/>
    <n v="69"/>
    <x v="2"/>
    <x v="1"/>
  </r>
  <r>
    <n v="19540"/>
    <x v="1"/>
    <x v="1"/>
    <n v="45235"/>
    <n v="1"/>
    <x v="2"/>
    <x v="2"/>
    <x v="1"/>
    <x v="4"/>
    <x v="11"/>
    <n v="53"/>
    <x v="0"/>
    <x v="1"/>
  </r>
  <r>
    <n v="26364"/>
    <x v="1"/>
    <x v="1"/>
    <n v="20159"/>
    <n v="4"/>
    <x v="0"/>
    <x v="2"/>
    <x v="0"/>
    <x v="0"/>
    <x v="13"/>
    <n v="68"/>
    <x v="2"/>
    <x v="0"/>
  </r>
  <r>
    <n v="14611"/>
    <x v="0"/>
    <x v="0"/>
    <n v="32145"/>
    <n v="4"/>
    <x v="3"/>
    <x v="3"/>
    <x v="0"/>
    <x v="0"/>
    <x v="1"/>
    <n v="47"/>
    <x v="0"/>
    <x v="0"/>
  </r>
  <r>
    <n v="37663"/>
    <x v="0"/>
    <x v="0"/>
    <n v="100909"/>
    <n v="0"/>
    <x v="3"/>
    <x v="3"/>
    <x v="0"/>
    <x v="0"/>
    <x v="5"/>
    <n v="38"/>
    <x v="0"/>
    <x v="0"/>
  </r>
  <r>
    <n v="61991"/>
    <x v="1"/>
    <x v="1"/>
    <n v="51921"/>
    <n v="4"/>
    <x v="2"/>
    <x v="0"/>
    <x v="1"/>
    <x v="4"/>
    <x v="2"/>
    <n v="42"/>
    <x v="0"/>
    <x v="0"/>
  </r>
  <r>
    <n v="67679"/>
    <x v="1"/>
    <x v="1"/>
    <n v="36237"/>
    <n v="4"/>
    <x v="0"/>
    <x v="3"/>
    <x v="0"/>
    <x v="0"/>
    <x v="9"/>
    <n v="64"/>
    <x v="2"/>
    <x v="0"/>
  </r>
  <r>
    <n v="40977"/>
    <x v="0"/>
    <x v="0"/>
    <n v="28244"/>
    <n v="4"/>
    <x v="1"/>
    <x v="1"/>
    <x v="1"/>
    <x v="0"/>
    <x v="8"/>
    <n v="51"/>
    <x v="0"/>
    <x v="0"/>
  </r>
  <r>
    <n v="59115"/>
    <x v="1"/>
    <x v="0"/>
    <n v="34743"/>
    <n v="1"/>
    <x v="1"/>
    <x v="0"/>
    <x v="1"/>
    <x v="2"/>
    <x v="9"/>
    <n v="32"/>
    <x v="0"/>
    <x v="0"/>
  </r>
  <r>
    <n v="98223"/>
    <x v="1"/>
    <x v="1"/>
    <n v="117102"/>
    <n v="0"/>
    <x v="0"/>
    <x v="0"/>
    <x v="1"/>
    <x v="0"/>
    <x v="2"/>
    <n v="52"/>
    <x v="0"/>
    <x v="0"/>
  </r>
  <r>
    <n v="70890"/>
    <x v="1"/>
    <x v="0"/>
    <n v="66101"/>
    <n v="4"/>
    <x v="3"/>
    <x v="1"/>
    <x v="0"/>
    <x v="1"/>
    <x v="2"/>
    <n v="53"/>
    <x v="0"/>
    <x v="0"/>
  </r>
  <r>
    <n v="76387"/>
    <x v="1"/>
    <x v="0"/>
    <n v="104227"/>
    <n v="4"/>
    <x v="3"/>
    <x v="0"/>
    <x v="0"/>
    <x v="4"/>
    <x v="8"/>
    <n v="52"/>
    <x v="0"/>
    <x v="0"/>
  </r>
  <r>
    <n v="28071"/>
    <x v="1"/>
    <x v="0"/>
    <n v="119532"/>
    <n v="1"/>
    <x v="1"/>
    <x v="3"/>
    <x v="0"/>
    <x v="3"/>
    <x v="0"/>
    <n v="24"/>
    <x v="1"/>
    <x v="0"/>
  </r>
  <r>
    <n v="69275"/>
    <x v="0"/>
    <x v="1"/>
    <n v="76378"/>
    <n v="0"/>
    <x v="1"/>
    <x v="2"/>
    <x v="0"/>
    <x v="2"/>
    <x v="14"/>
    <n v="22"/>
    <x v="1"/>
    <x v="1"/>
  </r>
  <r>
    <n v="82369"/>
    <x v="0"/>
    <x v="1"/>
    <n v="91126"/>
    <n v="2"/>
    <x v="1"/>
    <x v="1"/>
    <x v="0"/>
    <x v="4"/>
    <x v="0"/>
    <n v="26"/>
    <x v="1"/>
    <x v="1"/>
  </r>
  <r>
    <n v="21938"/>
    <x v="0"/>
    <x v="1"/>
    <n v="76071"/>
    <n v="1"/>
    <x v="2"/>
    <x v="3"/>
    <x v="1"/>
    <x v="4"/>
    <x v="6"/>
    <n v="43"/>
    <x v="0"/>
    <x v="1"/>
  </r>
  <r>
    <n v="45195"/>
    <x v="1"/>
    <x v="0"/>
    <n v="91121"/>
    <n v="0"/>
    <x v="1"/>
    <x v="1"/>
    <x v="1"/>
    <x v="1"/>
    <x v="14"/>
    <n v="41"/>
    <x v="0"/>
    <x v="1"/>
  </r>
  <r>
    <n v="14000"/>
    <x v="1"/>
    <x v="0"/>
    <n v="94763"/>
    <n v="4"/>
    <x v="2"/>
    <x v="1"/>
    <x v="1"/>
    <x v="0"/>
    <x v="10"/>
    <n v="64"/>
    <x v="2"/>
    <x v="1"/>
  </r>
  <r>
    <n v="80588"/>
    <x v="0"/>
    <x v="1"/>
    <n v="113814"/>
    <n v="0"/>
    <x v="0"/>
    <x v="0"/>
    <x v="0"/>
    <x v="1"/>
    <x v="4"/>
    <n v="42"/>
    <x v="0"/>
    <x v="1"/>
  </r>
  <r>
    <n v="48304"/>
    <x v="1"/>
    <x v="1"/>
    <n v="32237"/>
    <n v="0"/>
    <x v="3"/>
    <x v="0"/>
    <x v="1"/>
    <x v="0"/>
    <x v="4"/>
    <n v="49"/>
    <x v="0"/>
    <x v="1"/>
  </r>
  <r>
    <n v="79449"/>
    <x v="1"/>
    <x v="1"/>
    <n v="35649"/>
    <n v="5"/>
    <x v="1"/>
    <x v="3"/>
    <x v="1"/>
    <x v="0"/>
    <x v="8"/>
    <n v="37"/>
    <x v="0"/>
    <x v="0"/>
  </r>
  <r>
    <n v="92986"/>
    <x v="1"/>
    <x v="0"/>
    <n v="57713"/>
    <n v="0"/>
    <x v="3"/>
    <x v="1"/>
    <x v="0"/>
    <x v="4"/>
    <x v="13"/>
    <n v="51"/>
    <x v="0"/>
    <x v="0"/>
  </r>
  <r>
    <n v="99643"/>
    <x v="0"/>
    <x v="1"/>
    <n v="93463"/>
    <n v="2"/>
    <x v="3"/>
    <x v="0"/>
    <x v="0"/>
    <x v="0"/>
    <x v="6"/>
    <n v="26"/>
    <x v="1"/>
    <x v="1"/>
  </r>
  <r>
    <n v="30764"/>
    <x v="0"/>
    <x v="1"/>
    <n v="65409"/>
    <n v="0"/>
    <x v="1"/>
    <x v="0"/>
    <x v="1"/>
    <x v="2"/>
    <x v="0"/>
    <n v="52"/>
    <x v="0"/>
    <x v="0"/>
  </r>
  <r>
    <n v="96027"/>
    <x v="0"/>
    <x v="0"/>
    <n v="68766"/>
    <n v="2"/>
    <x v="1"/>
    <x v="1"/>
    <x v="1"/>
    <x v="2"/>
    <x v="5"/>
    <n v="24"/>
    <x v="1"/>
    <x v="0"/>
  </r>
  <r>
    <n v="48494"/>
    <x v="0"/>
    <x v="0"/>
    <n v="66154"/>
    <n v="4"/>
    <x v="0"/>
    <x v="3"/>
    <x v="0"/>
    <x v="2"/>
    <x v="2"/>
    <n v="68"/>
    <x v="2"/>
    <x v="0"/>
  </r>
  <r>
    <n v="13373"/>
    <x v="0"/>
    <x v="0"/>
    <n v="27016"/>
    <n v="2"/>
    <x v="2"/>
    <x v="3"/>
    <x v="0"/>
    <x v="4"/>
    <x v="1"/>
    <n v="47"/>
    <x v="0"/>
    <x v="0"/>
  </r>
  <r>
    <n v="22161"/>
    <x v="0"/>
    <x v="1"/>
    <n v="99563"/>
    <n v="4"/>
    <x v="2"/>
    <x v="1"/>
    <x v="0"/>
    <x v="1"/>
    <x v="3"/>
    <n v="27"/>
    <x v="1"/>
    <x v="1"/>
  </r>
  <r>
    <n v="37350"/>
    <x v="0"/>
    <x v="0"/>
    <n v="68688"/>
    <n v="4"/>
    <x v="3"/>
    <x v="3"/>
    <x v="0"/>
    <x v="3"/>
    <x v="13"/>
    <n v="34"/>
    <x v="0"/>
    <x v="1"/>
  </r>
  <r>
    <n v="35351"/>
    <x v="0"/>
    <x v="0"/>
    <n v="109678"/>
    <n v="2"/>
    <x v="1"/>
    <x v="0"/>
    <x v="1"/>
    <x v="0"/>
    <x v="8"/>
    <n v="23"/>
    <x v="1"/>
    <x v="1"/>
  </r>
  <r>
    <n v="98668"/>
    <x v="0"/>
    <x v="1"/>
    <n v="74238"/>
    <n v="1"/>
    <x v="0"/>
    <x v="1"/>
    <x v="1"/>
    <x v="3"/>
    <x v="9"/>
    <n v="53"/>
    <x v="0"/>
    <x v="1"/>
  </r>
  <r>
    <n v="25305"/>
    <x v="1"/>
    <x v="0"/>
    <n v="78608"/>
    <n v="3"/>
    <x v="0"/>
    <x v="0"/>
    <x v="0"/>
    <x v="1"/>
    <x v="4"/>
    <n v="24"/>
    <x v="1"/>
    <x v="0"/>
  </r>
  <r>
    <n v="85353"/>
    <x v="0"/>
    <x v="1"/>
    <n v="109081"/>
    <n v="0"/>
    <x v="0"/>
    <x v="2"/>
    <x v="1"/>
    <x v="1"/>
    <x v="7"/>
    <n v="52"/>
    <x v="0"/>
    <x v="1"/>
  </r>
  <r>
    <n v="86797"/>
    <x v="1"/>
    <x v="1"/>
    <n v="51897"/>
    <n v="5"/>
    <x v="0"/>
    <x v="2"/>
    <x v="1"/>
    <x v="4"/>
    <x v="12"/>
    <n v="24"/>
    <x v="1"/>
    <x v="1"/>
  </r>
  <r>
    <n v="75953"/>
    <x v="1"/>
    <x v="0"/>
    <n v="70961"/>
    <n v="3"/>
    <x v="0"/>
    <x v="3"/>
    <x v="0"/>
    <x v="2"/>
    <x v="2"/>
    <n v="57"/>
    <x v="2"/>
    <x v="1"/>
  </r>
  <r>
    <n v="67458"/>
    <x v="0"/>
    <x v="0"/>
    <n v="88703"/>
    <n v="0"/>
    <x v="2"/>
    <x v="2"/>
    <x v="1"/>
    <x v="2"/>
    <x v="7"/>
    <n v="53"/>
    <x v="0"/>
    <x v="1"/>
  </r>
  <r>
    <n v="30358"/>
    <x v="0"/>
    <x v="0"/>
    <n v="64757"/>
    <n v="0"/>
    <x v="2"/>
    <x v="0"/>
    <x v="1"/>
    <x v="1"/>
    <x v="4"/>
    <n v="45"/>
    <x v="0"/>
    <x v="0"/>
  </r>
  <r>
    <n v="13267"/>
    <x v="0"/>
    <x v="0"/>
    <n v="46917"/>
    <n v="4"/>
    <x v="2"/>
    <x v="2"/>
    <x v="1"/>
    <x v="4"/>
    <x v="9"/>
    <n v="20"/>
    <x v="1"/>
    <x v="0"/>
  </r>
  <r>
    <n v="92745"/>
    <x v="1"/>
    <x v="0"/>
    <n v="42736"/>
    <n v="0"/>
    <x v="1"/>
    <x v="0"/>
    <x v="0"/>
    <x v="4"/>
    <x v="2"/>
    <n v="23"/>
    <x v="1"/>
    <x v="1"/>
  </r>
  <r>
    <n v="99588"/>
    <x v="1"/>
    <x v="0"/>
    <n v="47990"/>
    <n v="5"/>
    <x v="3"/>
    <x v="3"/>
    <x v="0"/>
    <x v="0"/>
    <x v="10"/>
    <n v="58"/>
    <x v="2"/>
    <x v="1"/>
  </r>
  <r>
    <n v="48513"/>
    <x v="0"/>
    <x v="1"/>
    <n v="82551"/>
    <n v="0"/>
    <x v="0"/>
    <x v="3"/>
    <x v="1"/>
    <x v="2"/>
    <x v="15"/>
    <n v="45"/>
    <x v="0"/>
    <x v="1"/>
  </r>
  <r>
    <n v="36092"/>
    <x v="1"/>
    <x v="1"/>
    <n v="78161"/>
    <n v="2"/>
    <x v="1"/>
    <x v="0"/>
    <x v="0"/>
    <x v="1"/>
    <x v="15"/>
    <n v="52"/>
    <x v="0"/>
    <x v="1"/>
  </r>
  <r>
    <n v="21338"/>
    <x v="0"/>
    <x v="0"/>
    <n v="99623"/>
    <n v="3"/>
    <x v="0"/>
    <x v="2"/>
    <x v="0"/>
    <x v="3"/>
    <x v="14"/>
    <n v="52"/>
    <x v="0"/>
    <x v="0"/>
  </r>
  <r>
    <n v="10412"/>
    <x v="0"/>
    <x v="1"/>
    <n v="42440"/>
    <n v="2"/>
    <x v="2"/>
    <x v="3"/>
    <x v="0"/>
    <x v="2"/>
    <x v="8"/>
    <n v="27"/>
    <x v="1"/>
    <x v="1"/>
  </r>
  <r>
    <n v="17543"/>
    <x v="1"/>
    <x v="0"/>
    <n v="55205"/>
    <n v="5"/>
    <x v="1"/>
    <x v="1"/>
    <x v="1"/>
    <x v="0"/>
    <x v="7"/>
    <n v="39"/>
    <x v="0"/>
    <x v="0"/>
  </r>
  <r>
    <n v="43496"/>
    <x v="0"/>
    <x v="1"/>
    <n v="100811"/>
    <n v="0"/>
    <x v="2"/>
    <x v="3"/>
    <x v="1"/>
    <x v="4"/>
    <x v="13"/>
    <n v="35"/>
    <x v="0"/>
    <x v="0"/>
  </r>
  <r>
    <n v="70692"/>
    <x v="1"/>
    <x v="1"/>
    <n v="75103"/>
    <n v="5"/>
    <x v="0"/>
    <x v="2"/>
    <x v="0"/>
    <x v="1"/>
    <x v="12"/>
    <n v="40"/>
    <x v="0"/>
    <x v="1"/>
  </r>
  <r>
    <n v="99084"/>
    <x v="0"/>
    <x v="1"/>
    <n v="90812"/>
    <n v="4"/>
    <x v="0"/>
    <x v="1"/>
    <x v="1"/>
    <x v="2"/>
    <x v="12"/>
    <n v="64"/>
    <x v="2"/>
    <x v="1"/>
  </r>
  <r>
    <n v="54425"/>
    <x v="1"/>
    <x v="0"/>
    <n v="61627"/>
    <n v="2"/>
    <x v="3"/>
    <x v="2"/>
    <x v="1"/>
    <x v="3"/>
    <x v="14"/>
    <n v="45"/>
    <x v="0"/>
    <x v="0"/>
  </r>
  <r>
    <n v="48756"/>
    <x v="0"/>
    <x v="1"/>
    <n v="39008"/>
    <n v="2"/>
    <x v="0"/>
    <x v="0"/>
    <x v="1"/>
    <x v="0"/>
    <x v="1"/>
    <n v="42"/>
    <x v="0"/>
    <x v="0"/>
  </r>
  <r>
    <n v="28888"/>
    <x v="0"/>
    <x v="0"/>
    <n v="91274"/>
    <n v="1"/>
    <x v="2"/>
    <x v="1"/>
    <x v="1"/>
    <x v="0"/>
    <x v="11"/>
    <n v="37"/>
    <x v="0"/>
    <x v="0"/>
  </r>
  <r>
    <n v="45735"/>
    <x v="1"/>
    <x v="1"/>
    <n v="52402"/>
    <n v="0"/>
    <x v="0"/>
    <x v="2"/>
    <x v="1"/>
    <x v="2"/>
    <x v="13"/>
    <n v="50"/>
    <x v="0"/>
    <x v="0"/>
  </r>
  <r>
    <n v="57295"/>
    <x v="0"/>
    <x v="1"/>
    <n v="73384"/>
    <n v="4"/>
    <x v="3"/>
    <x v="1"/>
    <x v="0"/>
    <x v="3"/>
    <x v="8"/>
    <n v="61"/>
    <x v="2"/>
    <x v="0"/>
  </r>
  <r>
    <n v="93042"/>
    <x v="1"/>
    <x v="1"/>
    <n v="25793"/>
    <n v="2"/>
    <x v="3"/>
    <x v="2"/>
    <x v="1"/>
    <x v="0"/>
    <x v="2"/>
    <n v="31"/>
    <x v="0"/>
    <x v="1"/>
  </r>
  <r>
    <n v="95999"/>
    <x v="1"/>
    <x v="1"/>
    <n v="25571"/>
    <n v="2"/>
    <x v="2"/>
    <x v="1"/>
    <x v="1"/>
    <x v="1"/>
    <x v="12"/>
    <n v="20"/>
    <x v="1"/>
    <x v="0"/>
  </r>
  <r>
    <n v="27955"/>
    <x v="1"/>
    <x v="1"/>
    <n v="116867"/>
    <n v="4"/>
    <x v="1"/>
    <x v="2"/>
    <x v="1"/>
    <x v="0"/>
    <x v="4"/>
    <n v="61"/>
    <x v="2"/>
    <x v="1"/>
  </r>
  <r>
    <n v="47841"/>
    <x v="1"/>
    <x v="0"/>
    <n v="36209"/>
    <n v="5"/>
    <x v="0"/>
    <x v="0"/>
    <x v="0"/>
    <x v="3"/>
    <x v="8"/>
    <n v="28"/>
    <x v="1"/>
    <x v="0"/>
  </r>
  <r>
    <n v="80640"/>
    <x v="1"/>
    <x v="0"/>
    <n v="110930"/>
    <n v="5"/>
    <x v="3"/>
    <x v="1"/>
    <x v="0"/>
    <x v="4"/>
    <x v="3"/>
    <n v="22"/>
    <x v="1"/>
    <x v="0"/>
  </r>
  <r>
    <n v="75510"/>
    <x v="1"/>
    <x v="1"/>
    <n v="63148"/>
    <n v="0"/>
    <x v="0"/>
    <x v="1"/>
    <x v="0"/>
    <x v="4"/>
    <x v="2"/>
    <n v="45"/>
    <x v="0"/>
    <x v="0"/>
  </r>
  <r>
    <n v="44911"/>
    <x v="1"/>
    <x v="1"/>
    <n v="111218"/>
    <n v="1"/>
    <x v="0"/>
    <x v="1"/>
    <x v="1"/>
    <x v="2"/>
    <x v="11"/>
    <n v="28"/>
    <x v="1"/>
    <x v="1"/>
  </r>
  <r>
    <n v="69031"/>
    <x v="1"/>
    <x v="1"/>
    <n v="22224"/>
    <n v="2"/>
    <x v="1"/>
    <x v="1"/>
    <x v="0"/>
    <x v="3"/>
    <x v="11"/>
    <n v="61"/>
    <x v="2"/>
    <x v="1"/>
  </r>
  <r>
    <n v="98726"/>
    <x v="0"/>
    <x v="1"/>
    <n v="68695"/>
    <n v="1"/>
    <x v="3"/>
    <x v="0"/>
    <x v="0"/>
    <x v="0"/>
    <x v="15"/>
    <n v="35"/>
    <x v="0"/>
    <x v="0"/>
  </r>
  <r>
    <n v="17357"/>
    <x v="0"/>
    <x v="0"/>
    <n v="52441"/>
    <n v="5"/>
    <x v="0"/>
    <x v="1"/>
    <x v="0"/>
    <x v="0"/>
    <x v="5"/>
    <n v="43"/>
    <x v="0"/>
    <x v="0"/>
  </r>
  <r>
    <n v="42479"/>
    <x v="1"/>
    <x v="1"/>
    <n v="59129"/>
    <n v="5"/>
    <x v="3"/>
    <x v="3"/>
    <x v="0"/>
    <x v="4"/>
    <x v="2"/>
    <n v="69"/>
    <x v="2"/>
    <x v="0"/>
  </r>
  <r>
    <n v="71476"/>
    <x v="0"/>
    <x v="0"/>
    <n v="82368"/>
    <n v="3"/>
    <x v="2"/>
    <x v="0"/>
    <x v="1"/>
    <x v="4"/>
    <x v="7"/>
    <n v="33"/>
    <x v="0"/>
    <x v="0"/>
  </r>
  <r>
    <n v="54811"/>
    <x v="0"/>
    <x v="1"/>
    <n v="112122"/>
    <n v="0"/>
    <x v="2"/>
    <x v="3"/>
    <x v="0"/>
    <x v="1"/>
    <x v="13"/>
    <n v="22"/>
    <x v="1"/>
    <x v="0"/>
  </r>
  <r>
    <n v="46208"/>
    <x v="0"/>
    <x v="0"/>
    <n v="64760"/>
    <n v="3"/>
    <x v="0"/>
    <x v="1"/>
    <x v="0"/>
    <x v="4"/>
    <x v="7"/>
    <n v="53"/>
    <x v="0"/>
    <x v="1"/>
  </r>
  <r>
    <n v="30150"/>
    <x v="0"/>
    <x v="1"/>
    <n v="43478"/>
    <n v="3"/>
    <x v="3"/>
    <x v="2"/>
    <x v="1"/>
    <x v="1"/>
    <x v="1"/>
    <n v="52"/>
    <x v="0"/>
    <x v="1"/>
  </r>
  <r>
    <n v="81180"/>
    <x v="1"/>
    <x v="1"/>
    <n v="91854"/>
    <n v="3"/>
    <x v="0"/>
    <x v="3"/>
    <x v="1"/>
    <x v="0"/>
    <x v="15"/>
    <n v="69"/>
    <x v="2"/>
    <x v="1"/>
  </r>
  <r>
    <n v="53286"/>
    <x v="1"/>
    <x v="0"/>
    <n v="114230"/>
    <n v="0"/>
    <x v="3"/>
    <x v="1"/>
    <x v="0"/>
    <x v="1"/>
    <x v="6"/>
    <n v="43"/>
    <x v="0"/>
    <x v="0"/>
  </r>
  <r>
    <n v="78450"/>
    <x v="0"/>
    <x v="1"/>
    <n v="105716"/>
    <n v="0"/>
    <x v="3"/>
    <x v="3"/>
    <x v="1"/>
    <x v="1"/>
    <x v="12"/>
    <n v="28"/>
    <x v="1"/>
    <x v="0"/>
  </r>
  <r>
    <n v="31352"/>
    <x v="0"/>
    <x v="1"/>
    <n v="32180"/>
    <n v="4"/>
    <x v="1"/>
    <x v="1"/>
    <x v="0"/>
    <x v="2"/>
    <x v="3"/>
    <n v="32"/>
    <x v="0"/>
    <x v="0"/>
  </r>
  <r>
    <n v="65069"/>
    <x v="1"/>
    <x v="1"/>
    <n v="118538"/>
    <n v="1"/>
    <x v="1"/>
    <x v="1"/>
    <x v="1"/>
    <x v="4"/>
    <x v="11"/>
    <n v="21"/>
    <x v="1"/>
    <x v="1"/>
  </r>
  <r>
    <n v="24397"/>
    <x v="0"/>
    <x v="0"/>
    <n v="35372"/>
    <n v="1"/>
    <x v="1"/>
    <x v="1"/>
    <x v="1"/>
    <x v="1"/>
    <x v="14"/>
    <n v="26"/>
    <x v="1"/>
    <x v="1"/>
  </r>
  <r>
    <n v="51555"/>
    <x v="1"/>
    <x v="1"/>
    <n v="49796"/>
    <n v="4"/>
    <x v="0"/>
    <x v="2"/>
    <x v="0"/>
    <x v="0"/>
    <x v="5"/>
    <n v="67"/>
    <x v="2"/>
    <x v="1"/>
  </r>
  <r>
    <n v="56959"/>
    <x v="0"/>
    <x v="1"/>
    <n v="78272"/>
    <n v="4"/>
    <x v="1"/>
    <x v="3"/>
    <x v="1"/>
    <x v="3"/>
    <x v="4"/>
    <n v="40"/>
    <x v="0"/>
    <x v="0"/>
  </r>
  <r>
    <n v="10728"/>
    <x v="0"/>
    <x v="0"/>
    <n v="109963"/>
    <n v="5"/>
    <x v="1"/>
    <x v="0"/>
    <x v="0"/>
    <x v="1"/>
    <x v="8"/>
    <n v="38"/>
    <x v="0"/>
    <x v="1"/>
  </r>
  <r>
    <n v="60517"/>
    <x v="1"/>
    <x v="0"/>
    <n v="118826"/>
    <n v="3"/>
    <x v="2"/>
    <x v="0"/>
    <x v="1"/>
    <x v="4"/>
    <x v="8"/>
    <n v="44"/>
    <x v="0"/>
    <x v="1"/>
  </r>
  <r>
    <n v="76234"/>
    <x v="0"/>
    <x v="0"/>
    <n v="113635"/>
    <n v="4"/>
    <x v="3"/>
    <x v="0"/>
    <x v="0"/>
    <x v="2"/>
    <x v="0"/>
    <n v="66"/>
    <x v="2"/>
    <x v="1"/>
  </r>
  <r>
    <n v="49954"/>
    <x v="1"/>
    <x v="1"/>
    <n v="74040"/>
    <n v="2"/>
    <x v="3"/>
    <x v="0"/>
    <x v="1"/>
    <x v="0"/>
    <x v="13"/>
    <n v="41"/>
    <x v="0"/>
    <x v="0"/>
  </r>
  <r>
    <n v="57280"/>
    <x v="1"/>
    <x v="1"/>
    <n v="95357"/>
    <n v="1"/>
    <x v="1"/>
    <x v="1"/>
    <x v="1"/>
    <x v="2"/>
    <x v="3"/>
    <n v="30"/>
    <x v="1"/>
    <x v="1"/>
  </r>
  <r>
    <n v="89459"/>
    <x v="0"/>
    <x v="1"/>
    <n v="91368"/>
    <n v="4"/>
    <x v="3"/>
    <x v="3"/>
    <x v="1"/>
    <x v="3"/>
    <x v="10"/>
    <n v="52"/>
    <x v="0"/>
    <x v="0"/>
  </r>
  <r>
    <n v="26779"/>
    <x v="1"/>
    <x v="0"/>
    <n v="98356"/>
    <n v="2"/>
    <x v="2"/>
    <x v="3"/>
    <x v="1"/>
    <x v="1"/>
    <x v="3"/>
    <n v="51"/>
    <x v="0"/>
    <x v="0"/>
  </r>
  <r>
    <n v="73932"/>
    <x v="1"/>
    <x v="1"/>
    <n v="36211"/>
    <n v="2"/>
    <x v="2"/>
    <x v="2"/>
    <x v="1"/>
    <x v="1"/>
    <x v="14"/>
    <n v="40"/>
    <x v="0"/>
    <x v="0"/>
  </r>
  <r>
    <n v="82936"/>
    <x v="0"/>
    <x v="1"/>
    <n v="25842"/>
    <n v="2"/>
    <x v="1"/>
    <x v="3"/>
    <x v="0"/>
    <x v="4"/>
    <x v="15"/>
    <n v="58"/>
    <x v="2"/>
    <x v="0"/>
  </r>
  <r>
    <n v="34466"/>
    <x v="1"/>
    <x v="0"/>
    <n v="83115"/>
    <n v="5"/>
    <x v="2"/>
    <x v="3"/>
    <x v="1"/>
    <x v="1"/>
    <x v="5"/>
    <n v="39"/>
    <x v="0"/>
    <x v="1"/>
  </r>
  <r>
    <n v="46939"/>
    <x v="1"/>
    <x v="0"/>
    <n v="86852"/>
    <n v="5"/>
    <x v="3"/>
    <x v="3"/>
    <x v="0"/>
    <x v="0"/>
    <x v="3"/>
    <n v="27"/>
    <x v="1"/>
    <x v="1"/>
  </r>
  <r>
    <n v="79896"/>
    <x v="1"/>
    <x v="0"/>
    <n v="65968"/>
    <n v="2"/>
    <x v="0"/>
    <x v="2"/>
    <x v="0"/>
    <x v="3"/>
    <x v="12"/>
    <n v="61"/>
    <x v="2"/>
    <x v="0"/>
  </r>
  <r>
    <n v="45270"/>
    <x v="1"/>
    <x v="0"/>
    <n v="37508"/>
    <n v="5"/>
    <x v="3"/>
    <x v="0"/>
    <x v="0"/>
    <x v="2"/>
    <x v="1"/>
    <n v="56"/>
    <x v="2"/>
    <x v="0"/>
  </r>
  <r>
    <n v="69163"/>
    <x v="0"/>
    <x v="0"/>
    <n v="42005"/>
    <n v="3"/>
    <x v="0"/>
    <x v="3"/>
    <x v="1"/>
    <x v="3"/>
    <x v="0"/>
    <n v="28"/>
    <x v="1"/>
    <x v="0"/>
  </r>
  <r>
    <n v="92637"/>
    <x v="1"/>
    <x v="1"/>
    <n v="74575"/>
    <n v="2"/>
    <x v="1"/>
    <x v="2"/>
    <x v="0"/>
    <x v="1"/>
    <x v="15"/>
    <n v="44"/>
    <x v="0"/>
    <x v="0"/>
  </r>
  <r>
    <n v="61934"/>
    <x v="1"/>
    <x v="0"/>
    <n v="100742"/>
    <n v="3"/>
    <x v="0"/>
    <x v="2"/>
    <x v="1"/>
    <x v="2"/>
    <x v="6"/>
    <n v="44"/>
    <x v="0"/>
    <x v="1"/>
  </r>
  <r>
    <n v="74895"/>
    <x v="1"/>
    <x v="1"/>
    <n v="38971"/>
    <n v="3"/>
    <x v="2"/>
    <x v="1"/>
    <x v="0"/>
    <x v="4"/>
    <x v="13"/>
    <n v="52"/>
    <x v="0"/>
    <x v="1"/>
  </r>
  <r>
    <n v="42307"/>
    <x v="1"/>
    <x v="1"/>
    <n v="45599"/>
    <n v="2"/>
    <x v="3"/>
    <x v="2"/>
    <x v="0"/>
    <x v="3"/>
    <x v="0"/>
    <n v="21"/>
    <x v="1"/>
    <x v="0"/>
  </r>
  <r>
    <n v="64098"/>
    <x v="1"/>
    <x v="0"/>
    <n v="107592"/>
    <n v="1"/>
    <x v="0"/>
    <x v="0"/>
    <x v="0"/>
    <x v="2"/>
    <x v="14"/>
    <n v="38"/>
    <x v="0"/>
    <x v="1"/>
  </r>
  <r>
    <n v="70921"/>
    <x v="0"/>
    <x v="0"/>
    <n v="86914"/>
    <n v="2"/>
    <x v="3"/>
    <x v="3"/>
    <x v="0"/>
    <x v="2"/>
    <x v="13"/>
    <n v="65"/>
    <x v="2"/>
    <x v="1"/>
  </r>
  <r>
    <n v="15486"/>
    <x v="1"/>
    <x v="0"/>
    <n v="87055"/>
    <n v="2"/>
    <x v="1"/>
    <x v="2"/>
    <x v="0"/>
    <x v="2"/>
    <x v="4"/>
    <n v="39"/>
    <x v="0"/>
    <x v="0"/>
  </r>
  <r>
    <n v="18335"/>
    <x v="1"/>
    <x v="1"/>
    <n v="107697"/>
    <n v="5"/>
    <x v="1"/>
    <x v="0"/>
    <x v="1"/>
    <x v="0"/>
    <x v="2"/>
    <n v="61"/>
    <x v="2"/>
    <x v="1"/>
  </r>
  <r>
    <n v="96900"/>
    <x v="1"/>
    <x v="0"/>
    <n v="25355"/>
    <n v="2"/>
    <x v="2"/>
    <x v="2"/>
    <x v="0"/>
    <x v="3"/>
    <x v="5"/>
    <n v="60"/>
    <x v="2"/>
    <x v="1"/>
  </r>
  <r>
    <n v="99112"/>
    <x v="1"/>
    <x v="0"/>
    <n v="74120"/>
    <n v="1"/>
    <x v="1"/>
    <x v="2"/>
    <x v="0"/>
    <x v="2"/>
    <x v="0"/>
    <n v="61"/>
    <x v="2"/>
    <x v="0"/>
  </r>
  <r>
    <n v="21130"/>
    <x v="0"/>
    <x v="0"/>
    <n v="94619"/>
    <n v="5"/>
    <x v="0"/>
    <x v="2"/>
    <x v="1"/>
    <x v="3"/>
    <x v="3"/>
    <n v="48"/>
    <x v="0"/>
    <x v="0"/>
  </r>
  <r>
    <n v="97508"/>
    <x v="0"/>
    <x v="0"/>
    <n v="58342"/>
    <n v="0"/>
    <x v="1"/>
    <x v="2"/>
    <x v="1"/>
    <x v="2"/>
    <x v="1"/>
    <n v="25"/>
    <x v="1"/>
    <x v="1"/>
  </r>
  <r>
    <n v="70566"/>
    <x v="0"/>
    <x v="0"/>
    <n v="105992"/>
    <n v="0"/>
    <x v="2"/>
    <x v="2"/>
    <x v="1"/>
    <x v="4"/>
    <x v="2"/>
    <n v="36"/>
    <x v="0"/>
    <x v="0"/>
  </r>
  <r>
    <n v="76703"/>
    <x v="0"/>
    <x v="1"/>
    <n v="98860"/>
    <n v="3"/>
    <x v="3"/>
    <x v="0"/>
    <x v="0"/>
    <x v="4"/>
    <x v="1"/>
    <n v="44"/>
    <x v="0"/>
    <x v="0"/>
  </r>
  <r>
    <n v="37192"/>
    <x v="1"/>
    <x v="1"/>
    <n v="22257"/>
    <n v="3"/>
    <x v="3"/>
    <x v="3"/>
    <x v="0"/>
    <x v="4"/>
    <x v="2"/>
    <n v="57"/>
    <x v="2"/>
    <x v="1"/>
  </r>
  <r>
    <n v="11062"/>
    <x v="1"/>
    <x v="1"/>
    <n v="47364"/>
    <n v="1"/>
    <x v="1"/>
    <x v="3"/>
    <x v="0"/>
    <x v="1"/>
    <x v="2"/>
    <n v="23"/>
    <x v="1"/>
    <x v="1"/>
  </r>
  <r>
    <n v="94076"/>
    <x v="1"/>
    <x v="0"/>
    <n v="44972"/>
    <n v="4"/>
    <x v="0"/>
    <x v="3"/>
    <x v="0"/>
    <x v="2"/>
    <x v="8"/>
    <n v="49"/>
    <x v="0"/>
    <x v="1"/>
  </r>
  <r>
    <n v="99780"/>
    <x v="0"/>
    <x v="0"/>
    <n v="46654"/>
    <n v="0"/>
    <x v="2"/>
    <x v="3"/>
    <x v="0"/>
    <x v="1"/>
    <x v="3"/>
    <n v="39"/>
    <x v="0"/>
    <x v="0"/>
  </r>
  <r>
    <n v="31545"/>
    <x v="1"/>
    <x v="0"/>
    <n v="100769"/>
    <n v="3"/>
    <x v="0"/>
    <x v="0"/>
    <x v="0"/>
    <x v="3"/>
    <x v="8"/>
    <n v="22"/>
    <x v="1"/>
    <x v="1"/>
  </r>
  <r>
    <n v="31689"/>
    <x v="0"/>
    <x v="1"/>
    <n v="101423"/>
    <n v="0"/>
    <x v="2"/>
    <x v="1"/>
    <x v="1"/>
    <x v="1"/>
    <x v="4"/>
    <n v="42"/>
    <x v="0"/>
    <x v="0"/>
  </r>
  <r>
    <n v="21174"/>
    <x v="0"/>
    <x v="0"/>
    <n v="49320"/>
    <n v="1"/>
    <x v="1"/>
    <x v="1"/>
    <x v="1"/>
    <x v="3"/>
    <x v="6"/>
    <n v="37"/>
    <x v="0"/>
    <x v="0"/>
  </r>
  <r>
    <n v="98461"/>
    <x v="1"/>
    <x v="0"/>
    <n v="40808"/>
    <n v="1"/>
    <x v="2"/>
    <x v="0"/>
    <x v="0"/>
    <x v="3"/>
    <x v="9"/>
    <n v="45"/>
    <x v="0"/>
    <x v="0"/>
  </r>
  <r>
    <n v="19348"/>
    <x v="1"/>
    <x v="0"/>
    <n v="72389"/>
    <n v="4"/>
    <x v="2"/>
    <x v="0"/>
    <x v="0"/>
    <x v="3"/>
    <x v="3"/>
    <n v="55"/>
    <x v="2"/>
    <x v="0"/>
  </r>
  <r>
    <n v="33714"/>
    <x v="0"/>
    <x v="1"/>
    <n v="115690"/>
    <n v="4"/>
    <x v="1"/>
    <x v="2"/>
    <x v="0"/>
    <x v="1"/>
    <x v="5"/>
    <n v="27"/>
    <x v="1"/>
    <x v="0"/>
  </r>
  <r>
    <n v="48102"/>
    <x v="0"/>
    <x v="0"/>
    <n v="54773"/>
    <n v="5"/>
    <x v="0"/>
    <x v="2"/>
    <x v="0"/>
    <x v="2"/>
    <x v="10"/>
    <n v="36"/>
    <x v="0"/>
    <x v="1"/>
  </r>
  <r>
    <n v="84460"/>
    <x v="0"/>
    <x v="1"/>
    <n v="71168"/>
    <n v="1"/>
    <x v="1"/>
    <x v="2"/>
    <x v="0"/>
    <x v="1"/>
    <x v="10"/>
    <n v="50"/>
    <x v="0"/>
    <x v="1"/>
  </r>
  <r>
    <n v="99930"/>
    <x v="0"/>
    <x v="0"/>
    <n v="47747"/>
    <n v="3"/>
    <x v="2"/>
    <x v="3"/>
    <x v="1"/>
    <x v="2"/>
    <x v="2"/>
    <n v="56"/>
    <x v="2"/>
    <x v="0"/>
  </r>
  <r>
    <n v="16801"/>
    <x v="1"/>
    <x v="1"/>
    <n v="96396"/>
    <n v="0"/>
    <x v="1"/>
    <x v="2"/>
    <x v="1"/>
    <x v="2"/>
    <x v="5"/>
    <n v="64"/>
    <x v="2"/>
    <x v="1"/>
  </r>
  <r>
    <n v="82267"/>
    <x v="0"/>
    <x v="1"/>
    <n v="103692"/>
    <n v="2"/>
    <x v="2"/>
    <x v="1"/>
    <x v="0"/>
    <x v="3"/>
    <x v="14"/>
    <n v="52"/>
    <x v="0"/>
    <x v="1"/>
  </r>
  <r>
    <n v="58136"/>
    <x v="0"/>
    <x v="1"/>
    <n v="77505"/>
    <n v="4"/>
    <x v="1"/>
    <x v="3"/>
    <x v="1"/>
    <x v="1"/>
    <x v="4"/>
    <n v="46"/>
    <x v="0"/>
    <x v="0"/>
  </r>
  <r>
    <n v="33625"/>
    <x v="0"/>
    <x v="0"/>
    <n v="105896"/>
    <n v="2"/>
    <x v="3"/>
    <x v="2"/>
    <x v="0"/>
    <x v="2"/>
    <x v="7"/>
    <n v="64"/>
    <x v="2"/>
    <x v="0"/>
  </r>
  <r>
    <n v="92873"/>
    <x v="0"/>
    <x v="0"/>
    <n v="38135"/>
    <n v="3"/>
    <x v="3"/>
    <x v="3"/>
    <x v="0"/>
    <x v="4"/>
    <x v="5"/>
    <n v="23"/>
    <x v="1"/>
    <x v="1"/>
  </r>
  <r>
    <n v="82592"/>
    <x v="0"/>
    <x v="1"/>
    <n v="110887"/>
    <n v="4"/>
    <x v="1"/>
    <x v="1"/>
    <x v="0"/>
    <x v="2"/>
    <x v="11"/>
    <n v="41"/>
    <x v="0"/>
    <x v="0"/>
  </r>
  <r>
    <n v="87052"/>
    <x v="0"/>
    <x v="1"/>
    <n v="116035"/>
    <n v="2"/>
    <x v="0"/>
    <x v="2"/>
    <x v="1"/>
    <x v="4"/>
    <x v="4"/>
    <n v="45"/>
    <x v="0"/>
    <x v="1"/>
  </r>
  <r>
    <n v="54261"/>
    <x v="0"/>
    <x v="0"/>
    <n v="67377"/>
    <n v="3"/>
    <x v="2"/>
    <x v="1"/>
    <x v="1"/>
    <x v="1"/>
    <x v="9"/>
    <n v="51"/>
    <x v="0"/>
    <x v="0"/>
  </r>
  <r>
    <n v="11542"/>
    <x v="0"/>
    <x v="0"/>
    <n v="43554"/>
    <n v="0"/>
    <x v="3"/>
    <x v="1"/>
    <x v="0"/>
    <x v="1"/>
    <x v="8"/>
    <n v="43"/>
    <x v="0"/>
    <x v="1"/>
  </r>
  <r>
    <n v="31677"/>
    <x v="1"/>
    <x v="1"/>
    <n v="82491"/>
    <n v="3"/>
    <x v="0"/>
    <x v="1"/>
    <x v="1"/>
    <x v="1"/>
    <x v="2"/>
    <n v="65"/>
    <x v="2"/>
    <x v="0"/>
  </r>
  <r>
    <n v="56732"/>
    <x v="0"/>
    <x v="0"/>
    <n v="75621"/>
    <n v="5"/>
    <x v="2"/>
    <x v="2"/>
    <x v="1"/>
    <x v="2"/>
    <x v="13"/>
    <n v="54"/>
    <x v="0"/>
    <x v="1"/>
  </r>
  <r>
    <n v="60343"/>
    <x v="1"/>
    <x v="0"/>
    <n v="78283"/>
    <n v="4"/>
    <x v="3"/>
    <x v="0"/>
    <x v="0"/>
    <x v="0"/>
    <x v="3"/>
    <n v="56"/>
    <x v="2"/>
    <x v="0"/>
  </r>
  <r>
    <n v="49081"/>
    <x v="0"/>
    <x v="0"/>
    <n v="105140"/>
    <n v="1"/>
    <x v="3"/>
    <x v="2"/>
    <x v="1"/>
    <x v="2"/>
    <x v="8"/>
    <n v="51"/>
    <x v="0"/>
    <x v="1"/>
  </r>
  <r>
    <n v="72856"/>
    <x v="1"/>
    <x v="0"/>
    <n v="36923"/>
    <n v="0"/>
    <x v="1"/>
    <x v="1"/>
    <x v="1"/>
    <x v="2"/>
    <x v="12"/>
    <n v="26"/>
    <x v="1"/>
    <x v="1"/>
  </r>
  <r>
    <n v="98858"/>
    <x v="1"/>
    <x v="1"/>
    <n v="67591"/>
    <n v="2"/>
    <x v="2"/>
    <x v="2"/>
    <x v="0"/>
    <x v="3"/>
    <x v="3"/>
    <n v="52"/>
    <x v="0"/>
    <x v="0"/>
  </r>
  <r>
    <n v="29065"/>
    <x v="1"/>
    <x v="0"/>
    <n v="82261"/>
    <n v="4"/>
    <x v="0"/>
    <x v="1"/>
    <x v="0"/>
    <x v="3"/>
    <x v="14"/>
    <n v="50"/>
    <x v="0"/>
    <x v="1"/>
  </r>
  <r>
    <n v="93460"/>
    <x v="1"/>
    <x v="0"/>
    <n v="74336"/>
    <n v="1"/>
    <x v="0"/>
    <x v="0"/>
    <x v="1"/>
    <x v="2"/>
    <x v="8"/>
    <n v="31"/>
    <x v="0"/>
    <x v="1"/>
  </r>
  <r>
    <n v="98092"/>
    <x v="0"/>
    <x v="1"/>
    <n v="94083"/>
    <n v="3"/>
    <x v="0"/>
    <x v="3"/>
    <x v="0"/>
    <x v="4"/>
    <x v="6"/>
    <n v="30"/>
    <x v="1"/>
    <x v="1"/>
  </r>
  <r>
    <n v="64693"/>
    <x v="0"/>
    <x v="1"/>
    <n v="80948"/>
    <n v="1"/>
    <x v="2"/>
    <x v="0"/>
    <x v="1"/>
    <x v="3"/>
    <x v="15"/>
    <n v="43"/>
    <x v="0"/>
    <x v="0"/>
  </r>
  <r>
    <n v="36962"/>
    <x v="0"/>
    <x v="0"/>
    <n v="53002"/>
    <n v="4"/>
    <x v="0"/>
    <x v="0"/>
    <x v="0"/>
    <x v="2"/>
    <x v="0"/>
    <n v="27"/>
    <x v="1"/>
    <x v="0"/>
  </r>
  <r>
    <n v="38295"/>
    <x v="1"/>
    <x v="0"/>
    <n v="100098"/>
    <n v="4"/>
    <x v="0"/>
    <x v="3"/>
    <x v="0"/>
    <x v="0"/>
    <x v="9"/>
    <n v="51"/>
    <x v="0"/>
    <x v="1"/>
  </r>
  <r>
    <n v="23807"/>
    <x v="0"/>
    <x v="0"/>
    <n v="93016"/>
    <n v="5"/>
    <x v="0"/>
    <x v="2"/>
    <x v="0"/>
    <x v="4"/>
    <x v="11"/>
    <n v="57"/>
    <x v="2"/>
    <x v="0"/>
  </r>
  <r>
    <n v="52348"/>
    <x v="0"/>
    <x v="0"/>
    <n v="46672"/>
    <n v="5"/>
    <x v="1"/>
    <x v="3"/>
    <x v="0"/>
    <x v="1"/>
    <x v="7"/>
    <n v="41"/>
    <x v="0"/>
    <x v="1"/>
  </r>
  <r>
    <n v="36432"/>
    <x v="1"/>
    <x v="1"/>
    <n v="24213"/>
    <n v="1"/>
    <x v="1"/>
    <x v="2"/>
    <x v="1"/>
    <x v="2"/>
    <x v="4"/>
    <n v="53"/>
    <x v="0"/>
    <x v="0"/>
  </r>
  <r>
    <n v="93285"/>
    <x v="1"/>
    <x v="1"/>
    <n v="30293"/>
    <n v="3"/>
    <x v="2"/>
    <x v="2"/>
    <x v="0"/>
    <x v="2"/>
    <x v="2"/>
    <n v="38"/>
    <x v="0"/>
    <x v="1"/>
  </r>
  <r>
    <n v="67854"/>
    <x v="1"/>
    <x v="1"/>
    <n v="119977"/>
    <n v="1"/>
    <x v="2"/>
    <x v="1"/>
    <x v="0"/>
    <x v="4"/>
    <x v="10"/>
    <n v="39"/>
    <x v="0"/>
    <x v="0"/>
  </r>
  <r>
    <n v="50262"/>
    <x v="1"/>
    <x v="0"/>
    <n v="75860"/>
    <n v="4"/>
    <x v="0"/>
    <x v="1"/>
    <x v="0"/>
    <x v="3"/>
    <x v="9"/>
    <n v="33"/>
    <x v="0"/>
    <x v="1"/>
  </r>
  <r>
    <n v="47080"/>
    <x v="1"/>
    <x v="0"/>
    <n v="82507"/>
    <n v="4"/>
    <x v="1"/>
    <x v="3"/>
    <x v="1"/>
    <x v="3"/>
    <x v="15"/>
    <n v="52"/>
    <x v="0"/>
    <x v="0"/>
  </r>
  <r>
    <n v="11324"/>
    <x v="0"/>
    <x v="0"/>
    <n v="77134"/>
    <n v="2"/>
    <x v="3"/>
    <x v="0"/>
    <x v="1"/>
    <x v="3"/>
    <x v="6"/>
    <n v="29"/>
    <x v="1"/>
    <x v="1"/>
  </r>
  <r>
    <n v="45909"/>
    <x v="0"/>
    <x v="0"/>
    <n v="22100"/>
    <n v="5"/>
    <x v="3"/>
    <x v="3"/>
    <x v="0"/>
    <x v="1"/>
    <x v="9"/>
    <n v="35"/>
    <x v="0"/>
    <x v="1"/>
  </r>
  <r>
    <n v="99339"/>
    <x v="0"/>
    <x v="1"/>
    <n v="81997"/>
    <n v="2"/>
    <x v="0"/>
    <x v="2"/>
    <x v="0"/>
    <x v="4"/>
    <x v="8"/>
    <n v="23"/>
    <x v="1"/>
    <x v="1"/>
  </r>
  <r>
    <n v="29870"/>
    <x v="0"/>
    <x v="1"/>
    <n v="48172"/>
    <n v="0"/>
    <x v="0"/>
    <x v="1"/>
    <x v="0"/>
    <x v="4"/>
    <x v="1"/>
    <n v="46"/>
    <x v="0"/>
    <x v="0"/>
  </r>
  <r>
    <n v="44578"/>
    <x v="1"/>
    <x v="0"/>
    <n v="40132"/>
    <n v="4"/>
    <x v="1"/>
    <x v="3"/>
    <x v="0"/>
    <x v="3"/>
    <x v="11"/>
    <n v="47"/>
    <x v="0"/>
    <x v="0"/>
  </r>
  <r>
    <n v="82124"/>
    <x v="0"/>
    <x v="1"/>
    <n v="38199"/>
    <n v="2"/>
    <x v="1"/>
    <x v="3"/>
    <x v="0"/>
    <x v="3"/>
    <x v="14"/>
    <n v="62"/>
    <x v="2"/>
    <x v="0"/>
  </r>
  <r>
    <n v="36790"/>
    <x v="1"/>
    <x v="0"/>
    <n v="56609"/>
    <n v="1"/>
    <x v="1"/>
    <x v="1"/>
    <x v="0"/>
    <x v="0"/>
    <x v="14"/>
    <n v="35"/>
    <x v="0"/>
    <x v="0"/>
  </r>
  <r>
    <n v="35289"/>
    <x v="0"/>
    <x v="0"/>
    <n v="62965"/>
    <n v="5"/>
    <x v="2"/>
    <x v="1"/>
    <x v="1"/>
    <x v="0"/>
    <x v="1"/>
    <n v="52"/>
    <x v="0"/>
    <x v="0"/>
  </r>
  <r>
    <n v="65129"/>
    <x v="1"/>
    <x v="1"/>
    <n v="28016"/>
    <n v="5"/>
    <x v="2"/>
    <x v="1"/>
    <x v="0"/>
    <x v="2"/>
    <x v="14"/>
    <n v="67"/>
    <x v="2"/>
    <x v="0"/>
  </r>
  <r>
    <n v="25485"/>
    <x v="1"/>
    <x v="0"/>
    <n v="59779"/>
    <n v="3"/>
    <x v="0"/>
    <x v="2"/>
    <x v="0"/>
    <x v="2"/>
    <x v="2"/>
    <n v="38"/>
    <x v="0"/>
    <x v="1"/>
  </r>
  <r>
    <n v="54482"/>
    <x v="0"/>
    <x v="0"/>
    <n v="51881"/>
    <n v="1"/>
    <x v="2"/>
    <x v="1"/>
    <x v="0"/>
    <x v="4"/>
    <x v="3"/>
    <n v="40"/>
    <x v="0"/>
    <x v="0"/>
  </r>
  <r>
    <n v="96188"/>
    <x v="0"/>
    <x v="1"/>
    <n v="102594"/>
    <n v="3"/>
    <x v="1"/>
    <x v="0"/>
    <x v="0"/>
    <x v="4"/>
    <x v="5"/>
    <n v="41"/>
    <x v="0"/>
    <x v="1"/>
  </r>
  <r>
    <n v="14748"/>
    <x v="0"/>
    <x v="0"/>
    <n v="44472"/>
    <n v="2"/>
    <x v="1"/>
    <x v="3"/>
    <x v="0"/>
    <x v="1"/>
    <x v="8"/>
    <n v="28"/>
    <x v="1"/>
    <x v="0"/>
  </r>
  <r>
    <n v="96769"/>
    <x v="0"/>
    <x v="0"/>
    <n v="71813"/>
    <n v="0"/>
    <x v="2"/>
    <x v="1"/>
    <x v="0"/>
    <x v="1"/>
    <x v="12"/>
    <n v="28"/>
    <x v="1"/>
    <x v="0"/>
  </r>
  <r>
    <n v="13709"/>
    <x v="0"/>
    <x v="0"/>
    <n v="74131"/>
    <n v="1"/>
    <x v="0"/>
    <x v="2"/>
    <x v="1"/>
    <x v="2"/>
    <x v="7"/>
    <n v="46"/>
    <x v="0"/>
    <x v="0"/>
  </r>
  <r>
    <n v="40355"/>
    <x v="0"/>
    <x v="1"/>
    <n v="44087"/>
    <n v="1"/>
    <x v="3"/>
    <x v="2"/>
    <x v="1"/>
    <x v="0"/>
    <x v="11"/>
    <n v="36"/>
    <x v="0"/>
    <x v="0"/>
  </r>
  <r>
    <n v="65771"/>
    <x v="1"/>
    <x v="0"/>
    <n v="32828"/>
    <n v="3"/>
    <x v="0"/>
    <x v="3"/>
    <x v="1"/>
    <x v="0"/>
    <x v="2"/>
    <n v="63"/>
    <x v="2"/>
    <x v="0"/>
  </r>
  <r>
    <n v="67799"/>
    <x v="1"/>
    <x v="1"/>
    <n v="81610"/>
    <n v="2"/>
    <x v="3"/>
    <x v="0"/>
    <x v="1"/>
    <x v="2"/>
    <x v="7"/>
    <n v="64"/>
    <x v="2"/>
    <x v="1"/>
  </r>
  <r>
    <n v="23116"/>
    <x v="1"/>
    <x v="1"/>
    <n v="116664"/>
    <n v="1"/>
    <x v="2"/>
    <x v="3"/>
    <x v="1"/>
    <x v="1"/>
    <x v="8"/>
    <n v="27"/>
    <x v="1"/>
    <x v="1"/>
  </r>
  <r>
    <n v="35470"/>
    <x v="0"/>
    <x v="1"/>
    <n v="21401"/>
    <n v="1"/>
    <x v="0"/>
    <x v="1"/>
    <x v="0"/>
    <x v="2"/>
    <x v="8"/>
    <n v="35"/>
    <x v="0"/>
    <x v="0"/>
  </r>
  <r>
    <n v="52344"/>
    <x v="1"/>
    <x v="0"/>
    <n v="105179"/>
    <n v="5"/>
    <x v="0"/>
    <x v="0"/>
    <x v="0"/>
    <x v="3"/>
    <x v="5"/>
    <n v="37"/>
    <x v="0"/>
    <x v="0"/>
  </r>
  <r>
    <n v="52918"/>
    <x v="0"/>
    <x v="1"/>
    <n v="35193"/>
    <n v="0"/>
    <x v="0"/>
    <x v="0"/>
    <x v="0"/>
    <x v="3"/>
    <x v="2"/>
    <n v="52"/>
    <x v="0"/>
    <x v="1"/>
  </r>
  <r>
    <n v="62224"/>
    <x v="0"/>
    <x v="1"/>
    <n v="112389"/>
    <n v="5"/>
    <x v="1"/>
    <x v="0"/>
    <x v="0"/>
    <x v="3"/>
    <x v="6"/>
    <n v="20"/>
    <x v="1"/>
    <x v="1"/>
  </r>
  <r>
    <n v="49298"/>
    <x v="1"/>
    <x v="1"/>
    <n v="64864"/>
    <n v="5"/>
    <x v="1"/>
    <x v="0"/>
    <x v="0"/>
    <x v="4"/>
    <x v="2"/>
    <n v="31"/>
    <x v="0"/>
    <x v="1"/>
  </r>
  <r>
    <n v="90219"/>
    <x v="0"/>
    <x v="1"/>
    <n v="40307"/>
    <n v="0"/>
    <x v="3"/>
    <x v="3"/>
    <x v="0"/>
    <x v="1"/>
    <x v="0"/>
    <n v="25"/>
    <x v="1"/>
    <x v="1"/>
  </r>
  <r>
    <n v="71629"/>
    <x v="1"/>
    <x v="1"/>
    <n v="39611"/>
    <n v="2"/>
    <x v="2"/>
    <x v="2"/>
    <x v="1"/>
    <x v="1"/>
    <x v="2"/>
    <n v="60"/>
    <x v="2"/>
    <x v="0"/>
  </r>
  <r>
    <n v="76040"/>
    <x v="1"/>
    <x v="0"/>
    <n v="63791"/>
    <n v="5"/>
    <x v="1"/>
    <x v="2"/>
    <x v="0"/>
    <x v="4"/>
    <x v="3"/>
    <n v="24"/>
    <x v="1"/>
    <x v="0"/>
  </r>
  <r>
    <n v="38016"/>
    <x v="0"/>
    <x v="0"/>
    <n v="31950"/>
    <n v="2"/>
    <x v="0"/>
    <x v="1"/>
    <x v="1"/>
    <x v="0"/>
    <x v="3"/>
    <n v="35"/>
    <x v="0"/>
    <x v="0"/>
  </r>
  <r>
    <n v="33960"/>
    <x v="0"/>
    <x v="0"/>
    <n v="96240"/>
    <n v="5"/>
    <x v="1"/>
    <x v="2"/>
    <x v="1"/>
    <x v="3"/>
    <x v="15"/>
    <n v="37"/>
    <x v="0"/>
    <x v="0"/>
  </r>
  <r>
    <n v="43591"/>
    <x v="0"/>
    <x v="0"/>
    <n v="97403"/>
    <n v="4"/>
    <x v="2"/>
    <x v="2"/>
    <x v="0"/>
    <x v="3"/>
    <x v="4"/>
    <n v="68"/>
    <x v="2"/>
    <x v="0"/>
  </r>
  <r>
    <n v="92848"/>
    <x v="1"/>
    <x v="0"/>
    <n v="22745"/>
    <n v="0"/>
    <x v="1"/>
    <x v="2"/>
    <x v="0"/>
    <x v="0"/>
    <x v="1"/>
    <n v="37"/>
    <x v="0"/>
    <x v="1"/>
  </r>
  <r>
    <n v="77641"/>
    <x v="0"/>
    <x v="0"/>
    <n v="75243"/>
    <n v="5"/>
    <x v="0"/>
    <x v="2"/>
    <x v="0"/>
    <x v="2"/>
    <x v="7"/>
    <n v="20"/>
    <x v="1"/>
    <x v="1"/>
  </r>
  <r>
    <n v="46395"/>
    <x v="0"/>
    <x v="0"/>
    <n v="23866"/>
    <n v="4"/>
    <x v="3"/>
    <x v="1"/>
    <x v="0"/>
    <x v="2"/>
    <x v="14"/>
    <n v="38"/>
    <x v="0"/>
    <x v="0"/>
  </r>
  <r>
    <n v="32700"/>
    <x v="0"/>
    <x v="1"/>
    <n v="52245"/>
    <n v="3"/>
    <x v="0"/>
    <x v="3"/>
    <x v="0"/>
    <x v="1"/>
    <x v="10"/>
    <n v="27"/>
    <x v="1"/>
    <x v="1"/>
  </r>
  <r>
    <n v="44620"/>
    <x v="1"/>
    <x v="0"/>
    <n v="64724"/>
    <n v="4"/>
    <x v="2"/>
    <x v="0"/>
    <x v="0"/>
    <x v="4"/>
    <x v="9"/>
    <n v="22"/>
    <x v="1"/>
    <x v="1"/>
  </r>
  <r>
    <n v="30559"/>
    <x v="0"/>
    <x v="1"/>
    <n v="91354"/>
    <n v="1"/>
    <x v="3"/>
    <x v="2"/>
    <x v="0"/>
    <x v="1"/>
    <x v="13"/>
    <n v="44"/>
    <x v="0"/>
    <x v="1"/>
  </r>
  <r>
    <n v="71642"/>
    <x v="0"/>
    <x v="1"/>
    <n v="71374"/>
    <n v="5"/>
    <x v="1"/>
    <x v="3"/>
    <x v="1"/>
    <x v="2"/>
    <x v="5"/>
    <n v="24"/>
    <x v="1"/>
    <x v="1"/>
  </r>
  <r>
    <n v="86539"/>
    <x v="1"/>
    <x v="0"/>
    <n v="50116"/>
    <n v="4"/>
    <x v="1"/>
    <x v="2"/>
    <x v="0"/>
    <x v="0"/>
    <x v="11"/>
    <n v="59"/>
    <x v="2"/>
    <x v="1"/>
  </r>
  <r>
    <n v="31732"/>
    <x v="1"/>
    <x v="1"/>
    <n v="101029"/>
    <n v="2"/>
    <x v="1"/>
    <x v="2"/>
    <x v="0"/>
    <x v="1"/>
    <x v="2"/>
    <n v="38"/>
    <x v="0"/>
    <x v="0"/>
  </r>
  <r>
    <n v="40354"/>
    <x v="0"/>
    <x v="1"/>
    <n v="113574"/>
    <n v="3"/>
    <x v="3"/>
    <x v="0"/>
    <x v="1"/>
    <x v="3"/>
    <x v="13"/>
    <n v="37"/>
    <x v="0"/>
    <x v="1"/>
  </r>
  <r>
    <n v="23843"/>
    <x v="0"/>
    <x v="1"/>
    <n v="40447"/>
    <n v="5"/>
    <x v="0"/>
    <x v="0"/>
    <x v="0"/>
    <x v="3"/>
    <x v="1"/>
    <n v="69"/>
    <x v="2"/>
    <x v="0"/>
  </r>
  <r>
    <n v="81726"/>
    <x v="0"/>
    <x v="1"/>
    <n v="50431"/>
    <n v="1"/>
    <x v="3"/>
    <x v="0"/>
    <x v="0"/>
    <x v="0"/>
    <x v="0"/>
    <n v="50"/>
    <x v="0"/>
    <x v="1"/>
  </r>
  <r>
    <n v="27640"/>
    <x v="1"/>
    <x v="0"/>
    <n v="37908"/>
    <n v="4"/>
    <x v="3"/>
    <x v="2"/>
    <x v="1"/>
    <x v="2"/>
    <x v="5"/>
    <n v="52"/>
    <x v="0"/>
    <x v="0"/>
  </r>
  <r>
    <n v="62528"/>
    <x v="0"/>
    <x v="0"/>
    <n v="49336"/>
    <n v="3"/>
    <x v="2"/>
    <x v="2"/>
    <x v="0"/>
    <x v="3"/>
    <x v="15"/>
    <n v="66"/>
    <x v="2"/>
    <x v="0"/>
  </r>
  <r>
    <n v="48413"/>
    <x v="0"/>
    <x v="0"/>
    <n v="60992"/>
    <n v="5"/>
    <x v="3"/>
    <x v="2"/>
    <x v="0"/>
    <x v="3"/>
    <x v="5"/>
    <n v="37"/>
    <x v="0"/>
    <x v="0"/>
  </r>
  <r>
    <n v="62638"/>
    <x v="1"/>
    <x v="0"/>
    <n v="75350"/>
    <n v="3"/>
    <x v="1"/>
    <x v="0"/>
    <x v="0"/>
    <x v="4"/>
    <x v="15"/>
    <n v="58"/>
    <x v="2"/>
    <x v="0"/>
  </r>
  <r>
    <n v="62736"/>
    <x v="1"/>
    <x v="0"/>
    <n v="89561"/>
    <n v="1"/>
    <x v="0"/>
    <x v="1"/>
    <x v="0"/>
    <x v="1"/>
    <x v="11"/>
    <n v="35"/>
    <x v="0"/>
    <x v="1"/>
  </r>
  <r>
    <n v="78866"/>
    <x v="0"/>
    <x v="0"/>
    <n v="71955"/>
    <n v="4"/>
    <x v="0"/>
    <x v="3"/>
    <x v="0"/>
    <x v="2"/>
    <x v="8"/>
    <n v="35"/>
    <x v="0"/>
    <x v="1"/>
  </r>
  <r>
    <n v="29087"/>
    <x v="1"/>
    <x v="0"/>
    <n v="81240"/>
    <n v="3"/>
    <x v="0"/>
    <x v="1"/>
    <x v="0"/>
    <x v="1"/>
    <x v="8"/>
    <n v="66"/>
    <x v="2"/>
    <x v="1"/>
  </r>
  <r>
    <n v="51430"/>
    <x v="1"/>
    <x v="0"/>
    <n v="40093"/>
    <n v="3"/>
    <x v="1"/>
    <x v="2"/>
    <x v="1"/>
    <x v="2"/>
    <x v="13"/>
    <n v="57"/>
    <x v="2"/>
    <x v="1"/>
  </r>
  <r>
    <n v="34504"/>
    <x v="0"/>
    <x v="0"/>
    <n v="26155"/>
    <n v="0"/>
    <x v="1"/>
    <x v="2"/>
    <x v="0"/>
    <x v="3"/>
    <x v="14"/>
    <n v="60"/>
    <x v="2"/>
    <x v="1"/>
  </r>
  <r>
    <n v="17114"/>
    <x v="0"/>
    <x v="0"/>
    <n v="66607"/>
    <n v="3"/>
    <x v="1"/>
    <x v="1"/>
    <x v="0"/>
    <x v="4"/>
    <x v="8"/>
    <n v="26"/>
    <x v="1"/>
    <x v="0"/>
  </r>
  <r>
    <n v="88859"/>
    <x v="1"/>
    <x v="1"/>
    <n v="53487"/>
    <n v="0"/>
    <x v="1"/>
    <x v="2"/>
    <x v="1"/>
    <x v="1"/>
    <x v="13"/>
    <n v="33"/>
    <x v="0"/>
    <x v="0"/>
  </r>
  <r>
    <n v="20975"/>
    <x v="0"/>
    <x v="0"/>
    <n v="75668"/>
    <n v="4"/>
    <x v="1"/>
    <x v="3"/>
    <x v="1"/>
    <x v="3"/>
    <x v="5"/>
    <n v="62"/>
    <x v="2"/>
    <x v="0"/>
  </r>
  <r>
    <n v="21023"/>
    <x v="0"/>
    <x v="1"/>
    <n v="40963"/>
    <n v="5"/>
    <x v="3"/>
    <x v="2"/>
    <x v="0"/>
    <x v="2"/>
    <x v="9"/>
    <n v="67"/>
    <x v="2"/>
    <x v="0"/>
  </r>
  <r>
    <n v="31447"/>
    <x v="0"/>
    <x v="1"/>
    <n v="70124"/>
    <n v="5"/>
    <x v="1"/>
    <x v="3"/>
    <x v="1"/>
    <x v="1"/>
    <x v="8"/>
    <n v="44"/>
    <x v="0"/>
    <x v="0"/>
  </r>
  <r>
    <n v="33959"/>
    <x v="1"/>
    <x v="1"/>
    <n v="72870"/>
    <n v="4"/>
    <x v="1"/>
    <x v="1"/>
    <x v="0"/>
    <x v="1"/>
    <x v="10"/>
    <n v="51"/>
    <x v="0"/>
    <x v="0"/>
  </r>
  <r>
    <n v="76203"/>
    <x v="0"/>
    <x v="1"/>
    <n v="76547"/>
    <n v="4"/>
    <x v="1"/>
    <x v="1"/>
    <x v="0"/>
    <x v="3"/>
    <x v="11"/>
    <n v="57"/>
    <x v="2"/>
    <x v="0"/>
  </r>
  <r>
    <n v="39703"/>
    <x v="0"/>
    <x v="0"/>
    <n v="84110"/>
    <n v="2"/>
    <x v="1"/>
    <x v="2"/>
    <x v="1"/>
    <x v="1"/>
    <x v="12"/>
    <n v="41"/>
    <x v="0"/>
    <x v="1"/>
  </r>
  <r>
    <n v="19337"/>
    <x v="0"/>
    <x v="1"/>
    <n v="73554"/>
    <n v="4"/>
    <x v="0"/>
    <x v="3"/>
    <x v="0"/>
    <x v="4"/>
    <x v="10"/>
    <n v="35"/>
    <x v="0"/>
    <x v="1"/>
  </r>
  <r>
    <n v="56427"/>
    <x v="0"/>
    <x v="0"/>
    <n v="40936"/>
    <n v="3"/>
    <x v="1"/>
    <x v="2"/>
    <x v="0"/>
    <x v="4"/>
    <x v="12"/>
    <n v="48"/>
    <x v="0"/>
    <x v="0"/>
  </r>
  <r>
    <n v="71529"/>
    <x v="1"/>
    <x v="0"/>
    <n v="24426"/>
    <n v="5"/>
    <x v="3"/>
    <x v="0"/>
    <x v="1"/>
    <x v="3"/>
    <x v="6"/>
    <n v="35"/>
    <x v="0"/>
    <x v="0"/>
  </r>
  <r>
    <n v="94665"/>
    <x v="1"/>
    <x v="1"/>
    <n v="108839"/>
    <n v="1"/>
    <x v="3"/>
    <x v="0"/>
    <x v="1"/>
    <x v="2"/>
    <x v="0"/>
    <n v="31"/>
    <x v="0"/>
    <x v="0"/>
  </r>
  <r>
    <n v="41921"/>
    <x v="0"/>
    <x v="0"/>
    <n v="47606"/>
    <n v="5"/>
    <x v="3"/>
    <x v="0"/>
    <x v="1"/>
    <x v="3"/>
    <x v="12"/>
    <n v="36"/>
    <x v="0"/>
    <x v="1"/>
  </r>
  <r>
    <n v="43307"/>
    <x v="0"/>
    <x v="1"/>
    <n v="67832"/>
    <n v="0"/>
    <x v="2"/>
    <x v="0"/>
    <x v="1"/>
    <x v="4"/>
    <x v="3"/>
    <n v="56"/>
    <x v="2"/>
    <x v="0"/>
  </r>
  <r>
    <n v="37355"/>
    <x v="1"/>
    <x v="1"/>
    <n v="48151"/>
    <n v="5"/>
    <x v="0"/>
    <x v="2"/>
    <x v="0"/>
    <x v="0"/>
    <x v="11"/>
    <n v="46"/>
    <x v="0"/>
    <x v="1"/>
  </r>
  <r>
    <n v="14835"/>
    <x v="0"/>
    <x v="0"/>
    <n v="99303"/>
    <n v="2"/>
    <x v="1"/>
    <x v="0"/>
    <x v="1"/>
    <x v="0"/>
    <x v="2"/>
    <n v="44"/>
    <x v="0"/>
    <x v="1"/>
  </r>
  <r>
    <n v="30159"/>
    <x v="0"/>
    <x v="0"/>
    <n v="31308"/>
    <n v="4"/>
    <x v="2"/>
    <x v="3"/>
    <x v="1"/>
    <x v="1"/>
    <x v="0"/>
    <n v="32"/>
    <x v="0"/>
    <x v="1"/>
  </r>
  <r>
    <n v="57605"/>
    <x v="1"/>
    <x v="1"/>
    <n v="82522"/>
    <n v="4"/>
    <x v="1"/>
    <x v="1"/>
    <x v="1"/>
    <x v="1"/>
    <x v="14"/>
    <n v="27"/>
    <x v="1"/>
    <x v="0"/>
  </r>
  <r>
    <n v="48088"/>
    <x v="1"/>
    <x v="0"/>
    <n v="65671"/>
    <n v="5"/>
    <x v="2"/>
    <x v="1"/>
    <x v="1"/>
    <x v="0"/>
    <x v="9"/>
    <n v="24"/>
    <x v="1"/>
    <x v="1"/>
  </r>
  <r>
    <n v="88752"/>
    <x v="0"/>
    <x v="0"/>
    <n v="110306"/>
    <n v="1"/>
    <x v="2"/>
    <x v="0"/>
    <x v="1"/>
    <x v="4"/>
    <x v="13"/>
    <n v="31"/>
    <x v="0"/>
    <x v="1"/>
  </r>
  <r>
    <n v="65284"/>
    <x v="0"/>
    <x v="0"/>
    <n v="114108"/>
    <n v="1"/>
    <x v="3"/>
    <x v="0"/>
    <x v="0"/>
    <x v="1"/>
    <x v="13"/>
    <n v="60"/>
    <x v="2"/>
    <x v="1"/>
  </r>
  <r>
    <n v="67043"/>
    <x v="0"/>
    <x v="1"/>
    <n v="22204"/>
    <n v="2"/>
    <x v="3"/>
    <x v="0"/>
    <x v="1"/>
    <x v="3"/>
    <x v="3"/>
    <n v="22"/>
    <x v="1"/>
    <x v="0"/>
  </r>
  <r>
    <n v="45547"/>
    <x v="0"/>
    <x v="1"/>
    <n v="112769"/>
    <n v="0"/>
    <x v="2"/>
    <x v="2"/>
    <x v="0"/>
    <x v="3"/>
    <x v="10"/>
    <n v="54"/>
    <x v="0"/>
    <x v="0"/>
  </r>
  <r>
    <n v="92844"/>
    <x v="0"/>
    <x v="0"/>
    <n v="107265"/>
    <n v="5"/>
    <x v="3"/>
    <x v="1"/>
    <x v="1"/>
    <x v="4"/>
    <x v="13"/>
    <n v="52"/>
    <x v="0"/>
    <x v="0"/>
  </r>
  <r>
    <n v="37532"/>
    <x v="0"/>
    <x v="0"/>
    <n v="51131"/>
    <n v="4"/>
    <x v="2"/>
    <x v="0"/>
    <x v="1"/>
    <x v="1"/>
    <x v="8"/>
    <n v="41"/>
    <x v="0"/>
    <x v="1"/>
  </r>
  <r>
    <n v="44349"/>
    <x v="0"/>
    <x v="0"/>
    <n v="72428"/>
    <n v="5"/>
    <x v="0"/>
    <x v="3"/>
    <x v="1"/>
    <x v="3"/>
    <x v="4"/>
    <n v="69"/>
    <x v="2"/>
    <x v="0"/>
  </r>
  <r>
    <n v="55445"/>
    <x v="1"/>
    <x v="0"/>
    <n v="53870"/>
    <n v="2"/>
    <x v="3"/>
    <x v="0"/>
    <x v="1"/>
    <x v="1"/>
    <x v="12"/>
    <n v="63"/>
    <x v="2"/>
    <x v="0"/>
  </r>
  <r>
    <n v="15713"/>
    <x v="1"/>
    <x v="0"/>
    <n v="69067"/>
    <n v="3"/>
    <x v="3"/>
    <x v="1"/>
    <x v="1"/>
    <x v="1"/>
    <x v="0"/>
    <n v="28"/>
    <x v="1"/>
    <x v="0"/>
  </r>
  <r>
    <n v="66178"/>
    <x v="0"/>
    <x v="1"/>
    <n v="78585"/>
    <n v="3"/>
    <x v="3"/>
    <x v="0"/>
    <x v="1"/>
    <x v="3"/>
    <x v="5"/>
    <n v="60"/>
    <x v="2"/>
    <x v="1"/>
  </r>
  <r>
    <n v="59407"/>
    <x v="0"/>
    <x v="0"/>
    <n v="41607"/>
    <n v="2"/>
    <x v="0"/>
    <x v="1"/>
    <x v="1"/>
    <x v="0"/>
    <x v="0"/>
    <n v="37"/>
    <x v="0"/>
    <x v="0"/>
  </r>
  <r>
    <n v="80340"/>
    <x v="1"/>
    <x v="1"/>
    <n v="44968"/>
    <n v="4"/>
    <x v="2"/>
    <x v="0"/>
    <x v="1"/>
    <x v="3"/>
    <x v="6"/>
    <n v="69"/>
    <x v="2"/>
    <x v="0"/>
  </r>
  <r>
    <n v="60990"/>
    <x v="0"/>
    <x v="0"/>
    <n v="118934"/>
    <n v="2"/>
    <x v="1"/>
    <x v="3"/>
    <x v="0"/>
    <x v="4"/>
    <x v="0"/>
    <n v="48"/>
    <x v="0"/>
    <x v="1"/>
  </r>
  <r>
    <n v="85672"/>
    <x v="0"/>
    <x v="1"/>
    <n v="31908"/>
    <n v="4"/>
    <x v="3"/>
    <x v="0"/>
    <x v="1"/>
    <x v="2"/>
    <x v="14"/>
    <n v="58"/>
    <x v="2"/>
    <x v="1"/>
  </r>
  <r>
    <n v="75545"/>
    <x v="1"/>
    <x v="0"/>
    <n v="46423"/>
    <n v="1"/>
    <x v="2"/>
    <x v="3"/>
    <x v="0"/>
    <x v="3"/>
    <x v="10"/>
    <n v="46"/>
    <x v="0"/>
    <x v="1"/>
  </r>
  <r>
    <n v="94791"/>
    <x v="0"/>
    <x v="1"/>
    <n v="94707"/>
    <n v="2"/>
    <x v="0"/>
    <x v="3"/>
    <x v="1"/>
    <x v="1"/>
    <x v="3"/>
    <n v="55"/>
    <x v="2"/>
    <x v="0"/>
  </r>
  <r>
    <n v="68141"/>
    <x v="1"/>
    <x v="0"/>
    <n v="98257"/>
    <n v="4"/>
    <x v="1"/>
    <x v="0"/>
    <x v="0"/>
    <x v="1"/>
    <x v="1"/>
    <n v="64"/>
    <x v="2"/>
    <x v="1"/>
  </r>
  <r>
    <n v="33793"/>
    <x v="1"/>
    <x v="1"/>
    <n v="81215"/>
    <n v="2"/>
    <x v="3"/>
    <x v="3"/>
    <x v="1"/>
    <x v="3"/>
    <x v="5"/>
    <n v="36"/>
    <x v="0"/>
    <x v="1"/>
  </r>
  <r>
    <n v="66570"/>
    <x v="0"/>
    <x v="1"/>
    <n v="75835"/>
    <n v="2"/>
    <x v="0"/>
    <x v="2"/>
    <x v="1"/>
    <x v="2"/>
    <x v="4"/>
    <n v="53"/>
    <x v="0"/>
    <x v="1"/>
  </r>
  <r>
    <n v="47892"/>
    <x v="0"/>
    <x v="1"/>
    <n v="69429"/>
    <n v="4"/>
    <x v="0"/>
    <x v="0"/>
    <x v="1"/>
    <x v="3"/>
    <x v="4"/>
    <n v="65"/>
    <x v="2"/>
    <x v="0"/>
  </r>
  <r>
    <n v="11015"/>
    <x v="0"/>
    <x v="1"/>
    <n v="102152"/>
    <n v="4"/>
    <x v="1"/>
    <x v="0"/>
    <x v="0"/>
    <x v="2"/>
    <x v="9"/>
    <n v="22"/>
    <x v="1"/>
    <x v="0"/>
  </r>
  <r>
    <n v="71813"/>
    <x v="1"/>
    <x v="1"/>
    <n v="58458"/>
    <n v="0"/>
    <x v="2"/>
    <x v="3"/>
    <x v="0"/>
    <x v="2"/>
    <x v="14"/>
    <n v="24"/>
    <x v="1"/>
    <x v="0"/>
  </r>
  <r>
    <n v="37712"/>
    <x v="1"/>
    <x v="1"/>
    <n v="66169"/>
    <n v="2"/>
    <x v="3"/>
    <x v="3"/>
    <x v="0"/>
    <x v="4"/>
    <x v="5"/>
    <n v="33"/>
    <x v="0"/>
    <x v="0"/>
  </r>
  <r>
    <n v="18415"/>
    <x v="1"/>
    <x v="0"/>
    <n v="27659"/>
    <n v="3"/>
    <x v="3"/>
    <x v="0"/>
    <x v="0"/>
    <x v="1"/>
    <x v="9"/>
    <n v="22"/>
    <x v="1"/>
    <x v="1"/>
  </r>
  <r>
    <n v="72292"/>
    <x v="0"/>
    <x v="1"/>
    <n v="80614"/>
    <n v="2"/>
    <x v="2"/>
    <x v="2"/>
    <x v="1"/>
    <x v="1"/>
    <x v="8"/>
    <n v="42"/>
    <x v="0"/>
    <x v="0"/>
  </r>
  <r>
    <n v="33833"/>
    <x v="1"/>
    <x v="0"/>
    <n v="97240"/>
    <n v="2"/>
    <x v="2"/>
    <x v="3"/>
    <x v="1"/>
    <x v="2"/>
    <x v="0"/>
    <n v="58"/>
    <x v="2"/>
    <x v="0"/>
  </r>
  <r>
    <n v="14158"/>
    <x v="1"/>
    <x v="0"/>
    <n v="52793"/>
    <n v="4"/>
    <x v="2"/>
    <x v="3"/>
    <x v="1"/>
    <x v="1"/>
    <x v="3"/>
    <n v="49"/>
    <x v="0"/>
    <x v="1"/>
  </r>
  <r>
    <n v="72680"/>
    <x v="1"/>
    <x v="0"/>
    <n v="66473"/>
    <n v="2"/>
    <x v="1"/>
    <x v="1"/>
    <x v="0"/>
    <x v="0"/>
    <x v="3"/>
    <n v="69"/>
    <x v="2"/>
    <x v="0"/>
  </r>
  <r>
    <n v="30309"/>
    <x v="1"/>
    <x v="0"/>
    <n v="116762"/>
    <n v="5"/>
    <x v="1"/>
    <x v="2"/>
    <x v="1"/>
    <x v="2"/>
    <x v="11"/>
    <n v="64"/>
    <x v="2"/>
    <x v="0"/>
  </r>
  <r>
    <n v="16970"/>
    <x v="1"/>
    <x v="0"/>
    <n v="109388"/>
    <n v="2"/>
    <x v="3"/>
    <x v="2"/>
    <x v="0"/>
    <x v="1"/>
    <x v="4"/>
    <n v="42"/>
    <x v="0"/>
    <x v="0"/>
  </r>
  <r>
    <n v="82474"/>
    <x v="1"/>
    <x v="1"/>
    <n v="117618"/>
    <n v="5"/>
    <x v="1"/>
    <x v="0"/>
    <x v="0"/>
    <x v="0"/>
    <x v="12"/>
    <n v="46"/>
    <x v="0"/>
    <x v="1"/>
  </r>
  <r>
    <n v="96704"/>
    <x v="1"/>
    <x v="1"/>
    <n v="108330"/>
    <n v="3"/>
    <x v="0"/>
    <x v="2"/>
    <x v="0"/>
    <x v="4"/>
    <x v="8"/>
    <n v="29"/>
    <x v="1"/>
    <x v="0"/>
  </r>
  <r>
    <n v="56540"/>
    <x v="0"/>
    <x v="1"/>
    <n v="75751"/>
    <n v="4"/>
    <x v="3"/>
    <x v="0"/>
    <x v="0"/>
    <x v="1"/>
    <x v="0"/>
    <n v="44"/>
    <x v="0"/>
    <x v="0"/>
  </r>
  <r>
    <n v="30384"/>
    <x v="0"/>
    <x v="0"/>
    <n v="98915"/>
    <n v="2"/>
    <x v="1"/>
    <x v="1"/>
    <x v="0"/>
    <x v="0"/>
    <x v="11"/>
    <n v="32"/>
    <x v="0"/>
    <x v="1"/>
  </r>
  <r>
    <n v="28017"/>
    <x v="1"/>
    <x v="1"/>
    <n v="74254"/>
    <n v="5"/>
    <x v="2"/>
    <x v="2"/>
    <x v="1"/>
    <x v="3"/>
    <x v="10"/>
    <n v="35"/>
    <x v="0"/>
    <x v="1"/>
  </r>
  <r>
    <n v="85880"/>
    <x v="0"/>
    <x v="1"/>
    <n v="27006"/>
    <n v="5"/>
    <x v="0"/>
    <x v="3"/>
    <x v="0"/>
    <x v="3"/>
    <x v="5"/>
    <n v="60"/>
    <x v="2"/>
    <x v="1"/>
  </r>
  <r>
    <n v="18702"/>
    <x v="1"/>
    <x v="1"/>
    <n v="94218"/>
    <n v="5"/>
    <x v="2"/>
    <x v="1"/>
    <x v="0"/>
    <x v="0"/>
    <x v="0"/>
    <n v="53"/>
    <x v="0"/>
    <x v="0"/>
  </r>
  <r>
    <n v="10384"/>
    <x v="1"/>
    <x v="1"/>
    <n v="85344"/>
    <n v="1"/>
    <x v="3"/>
    <x v="0"/>
    <x v="1"/>
    <x v="2"/>
    <x v="0"/>
    <n v="56"/>
    <x v="2"/>
    <x v="0"/>
  </r>
  <r>
    <n v="10404"/>
    <x v="1"/>
    <x v="1"/>
    <n v="53840"/>
    <n v="0"/>
    <x v="2"/>
    <x v="1"/>
    <x v="0"/>
    <x v="2"/>
    <x v="9"/>
    <n v="41"/>
    <x v="0"/>
    <x v="1"/>
  </r>
  <r>
    <n v="50943"/>
    <x v="0"/>
    <x v="0"/>
    <n v="52430"/>
    <n v="3"/>
    <x v="1"/>
    <x v="0"/>
    <x v="0"/>
    <x v="1"/>
    <x v="3"/>
    <n v="36"/>
    <x v="0"/>
    <x v="1"/>
  </r>
  <r>
    <n v="57926"/>
    <x v="0"/>
    <x v="1"/>
    <n v="43091"/>
    <n v="2"/>
    <x v="1"/>
    <x v="1"/>
    <x v="1"/>
    <x v="3"/>
    <x v="9"/>
    <n v="42"/>
    <x v="0"/>
    <x v="1"/>
  </r>
  <r>
    <n v="39189"/>
    <x v="0"/>
    <x v="0"/>
    <n v="52983"/>
    <n v="1"/>
    <x v="3"/>
    <x v="0"/>
    <x v="1"/>
    <x v="2"/>
    <x v="7"/>
    <n v="55"/>
    <x v="2"/>
    <x v="0"/>
  </r>
  <r>
    <n v="22763"/>
    <x v="1"/>
    <x v="0"/>
    <n v="43989"/>
    <n v="2"/>
    <x v="2"/>
    <x v="2"/>
    <x v="1"/>
    <x v="2"/>
    <x v="3"/>
    <n v="68"/>
    <x v="2"/>
    <x v="1"/>
  </r>
  <r>
    <n v="28384"/>
    <x v="1"/>
    <x v="0"/>
    <n v="95451"/>
    <n v="2"/>
    <x v="3"/>
    <x v="3"/>
    <x v="0"/>
    <x v="3"/>
    <x v="7"/>
    <n v="28"/>
    <x v="1"/>
    <x v="0"/>
  </r>
  <r>
    <n v="70100"/>
    <x v="1"/>
    <x v="0"/>
    <n v="38990"/>
    <n v="4"/>
    <x v="2"/>
    <x v="0"/>
    <x v="1"/>
    <x v="4"/>
    <x v="10"/>
    <n v="21"/>
    <x v="1"/>
    <x v="0"/>
  </r>
  <r>
    <n v="19860"/>
    <x v="0"/>
    <x v="0"/>
    <n v="110270"/>
    <n v="4"/>
    <x v="0"/>
    <x v="1"/>
    <x v="1"/>
    <x v="2"/>
    <x v="0"/>
    <n v="51"/>
    <x v="0"/>
    <x v="0"/>
  </r>
  <r>
    <n v="90642"/>
    <x v="1"/>
    <x v="1"/>
    <n v="100360"/>
    <n v="4"/>
    <x v="1"/>
    <x v="0"/>
    <x v="1"/>
    <x v="0"/>
    <x v="2"/>
    <n v="69"/>
    <x v="2"/>
    <x v="1"/>
  </r>
  <r>
    <n v="60612"/>
    <x v="1"/>
    <x v="1"/>
    <n v="56081"/>
    <n v="1"/>
    <x v="3"/>
    <x v="0"/>
    <x v="0"/>
    <x v="1"/>
    <x v="11"/>
    <n v="41"/>
    <x v="0"/>
    <x v="1"/>
  </r>
  <r>
    <n v="33574"/>
    <x v="0"/>
    <x v="1"/>
    <n v="31033"/>
    <n v="2"/>
    <x v="0"/>
    <x v="0"/>
    <x v="1"/>
    <x v="2"/>
    <x v="4"/>
    <n v="62"/>
    <x v="2"/>
    <x v="0"/>
  </r>
  <r>
    <n v="33524"/>
    <x v="1"/>
    <x v="0"/>
    <n v="36241"/>
    <n v="0"/>
    <x v="0"/>
    <x v="1"/>
    <x v="0"/>
    <x v="2"/>
    <x v="5"/>
    <n v="32"/>
    <x v="0"/>
    <x v="1"/>
  </r>
  <r>
    <n v="79172"/>
    <x v="0"/>
    <x v="1"/>
    <n v="25939"/>
    <n v="3"/>
    <x v="3"/>
    <x v="3"/>
    <x v="0"/>
    <x v="4"/>
    <x v="0"/>
    <n v="27"/>
    <x v="1"/>
    <x v="1"/>
  </r>
  <r>
    <n v="20916"/>
    <x v="0"/>
    <x v="1"/>
    <n v="67562"/>
    <n v="4"/>
    <x v="3"/>
    <x v="2"/>
    <x v="1"/>
    <x v="0"/>
    <x v="0"/>
    <n v="20"/>
    <x v="1"/>
    <x v="0"/>
  </r>
  <r>
    <n v="14809"/>
    <x v="1"/>
    <x v="0"/>
    <n v="55063"/>
    <n v="4"/>
    <x v="0"/>
    <x v="3"/>
    <x v="0"/>
    <x v="1"/>
    <x v="4"/>
    <n v="36"/>
    <x v="0"/>
    <x v="1"/>
  </r>
  <r>
    <n v="42201"/>
    <x v="0"/>
    <x v="0"/>
    <n v="96721"/>
    <n v="2"/>
    <x v="2"/>
    <x v="0"/>
    <x v="0"/>
    <x v="2"/>
    <x v="7"/>
    <n v="31"/>
    <x v="0"/>
    <x v="1"/>
  </r>
  <r>
    <n v="63330"/>
    <x v="1"/>
    <x v="0"/>
    <n v="47045"/>
    <n v="2"/>
    <x v="0"/>
    <x v="1"/>
    <x v="1"/>
    <x v="1"/>
    <x v="2"/>
    <n v="23"/>
    <x v="1"/>
    <x v="1"/>
  </r>
  <r>
    <n v="23456"/>
    <x v="1"/>
    <x v="0"/>
    <n v="64769"/>
    <n v="1"/>
    <x v="3"/>
    <x v="3"/>
    <x v="0"/>
    <x v="3"/>
    <x v="11"/>
    <n v="32"/>
    <x v="0"/>
    <x v="1"/>
  </r>
  <r>
    <n v="66397"/>
    <x v="1"/>
    <x v="1"/>
    <n v="67118"/>
    <n v="1"/>
    <x v="0"/>
    <x v="0"/>
    <x v="1"/>
    <x v="2"/>
    <x v="12"/>
    <n v="50"/>
    <x v="0"/>
    <x v="0"/>
  </r>
  <r>
    <n v="48765"/>
    <x v="0"/>
    <x v="0"/>
    <n v="104703"/>
    <n v="4"/>
    <x v="2"/>
    <x v="2"/>
    <x v="0"/>
    <x v="2"/>
    <x v="14"/>
    <n v="60"/>
    <x v="2"/>
    <x v="1"/>
  </r>
  <r>
    <n v="44816"/>
    <x v="0"/>
    <x v="0"/>
    <n v="41625"/>
    <n v="2"/>
    <x v="1"/>
    <x v="2"/>
    <x v="0"/>
    <x v="3"/>
    <x v="14"/>
    <n v="26"/>
    <x v="1"/>
    <x v="1"/>
  </r>
  <r>
    <n v="55106"/>
    <x v="1"/>
    <x v="1"/>
    <n v="47076"/>
    <n v="0"/>
    <x v="1"/>
    <x v="2"/>
    <x v="1"/>
    <x v="4"/>
    <x v="7"/>
    <n v="42"/>
    <x v="0"/>
    <x v="0"/>
  </r>
  <r>
    <n v="63932"/>
    <x v="0"/>
    <x v="1"/>
    <n v="84805"/>
    <n v="3"/>
    <x v="0"/>
    <x v="0"/>
    <x v="1"/>
    <x v="2"/>
    <x v="7"/>
    <n v="43"/>
    <x v="0"/>
    <x v="1"/>
  </r>
  <r>
    <n v="27100"/>
    <x v="0"/>
    <x v="0"/>
    <n v="64605"/>
    <n v="2"/>
    <x v="2"/>
    <x v="1"/>
    <x v="0"/>
    <x v="1"/>
    <x v="9"/>
    <n v="24"/>
    <x v="1"/>
    <x v="1"/>
  </r>
  <r>
    <n v="67091"/>
    <x v="0"/>
    <x v="1"/>
    <n v="104565"/>
    <n v="2"/>
    <x v="1"/>
    <x v="3"/>
    <x v="0"/>
    <x v="0"/>
    <x v="14"/>
    <n v="24"/>
    <x v="1"/>
    <x v="1"/>
  </r>
  <r>
    <n v="31949"/>
    <x v="1"/>
    <x v="0"/>
    <n v="108509"/>
    <n v="5"/>
    <x v="0"/>
    <x v="2"/>
    <x v="1"/>
    <x v="1"/>
    <x v="0"/>
    <n v="36"/>
    <x v="0"/>
    <x v="1"/>
  </r>
  <r>
    <n v="80080"/>
    <x v="0"/>
    <x v="0"/>
    <n v="59121"/>
    <n v="1"/>
    <x v="0"/>
    <x v="0"/>
    <x v="0"/>
    <x v="4"/>
    <x v="13"/>
    <n v="49"/>
    <x v="0"/>
    <x v="1"/>
  </r>
  <r>
    <n v="47744"/>
    <x v="1"/>
    <x v="1"/>
    <n v="85101"/>
    <n v="3"/>
    <x v="2"/>
    <x v="0"/>
    <x v="0"/>
    <x v="0"/>
    <x v="10"/>
    <n v="28"/>
    <x v="1"/>
    <x v="1"/>
  </r>
  <r>
    <n v="46187"/>
    <x v="0"/>
    <x v="0"/>
    <n v="63309"/>
    <n v="2"/>
    <x v="0"/>
    <x v="2"/>
    <x v="0"/>
    <x v="1"/>
    <x v="6"/>
    <n v="44"/>
    <x v="0"/>
    <x v="1"/>
  </r>
  <r>
    <n v="17239"/>
    <x v="0"/>
    <x v="0"/>
    <n v="87468"/>
    <n v="4"/>
    <x v="3"/>
    <x v="0"/>
    <x v="1"/>
    <x v="3"/>
    <x v="8"/>
    <n v="38"/>
    <x v="0"/>
    <x v="0"/>
  </r>
  <r>
    <n v="24489"/>
    <x v="1"/>
    <x v="0"/>
    <n v="64254"/>
    <n v="2"/>
    <x v="3"/>
    <x v="3"/>
    <x v="1"/>
    <x v="4"/>
    <x v="10"/>
    <n v="35"/>
    <x v="0"/>
    <x v="0"/>
  </r>
  <r>
    <n v="68017"/>
    <x v="1"/>
    <x v="1"/>
    <n v="87293"/>
    <n v="4"/>
    <x v="1"/>
    <x v="1"/>
    <x v="1"/>
    <x v="3"/>
    <x v="11"/>
    <n v="40"/>
    <x v="0"/>
    <x v="0"/>
  </r>
  <r>
    <n v="71877"/>
    <x v="1"/>
    <x v="0"/>
    <n v="116258"/>
    <n v="3"/>
    <x v="3"/>
    <x v="1"/>
    <x v="1"/>
    <x v="0"/>
    <x v="8"/>
    <n v="21"/>
    <x v="1"/>
    <x v="1"/>
  </r>
  <r>
    <n v="53125"/>
    <x v="1"/>
    <x v="0"/>
    <n v="57853"/>
    <n v="1"/>
    <x v="2"/>
    <x v="1"/>
    <x v="1"/>
    <x v="3"/>
    <x v="5"/>
    <n v="29"/>
    <x v="1"/>
    <x v="1"/>
  </r>
  <r>
    <n v="59922"/>
    <x v="0"/>
    <x v="0"/>
    <n v="58405"/>
    <n v="3"/>
    <x v="1"/>
    <x v="2"/>
    <x v="1"/>
    <x v="4"/>
    <x v="12"/>
    <n v="35"/>
    <x v="0"/>
    <x v="0"/>
  </r>
  <r>
    <n v="42049"/>
    <x v="0"/>
    <x v="0"/>
    <n v="86652"/>
    <n v="5"/>
    <x v="1"/>
    <x v="3"/>
    <x v="0"/>
    <x v="2"/>
    <x v="14"/>
    <n v="56"/>
    <x v="2"/>
    <x v="0"/>
  </r>
  <r>
    <n v="47131"/>
    <x v="0"/>
    <x v="0"/>
    <n v="63527"/>
    <n v="0"/>
    <x v="1"/>
    <x v="3"/>
    <x v="1"/>
    <x v="2"/>
    <x v="3"/>
    <n v="34"/>
    <x v="0"/>
    <x v="0"/>
  </r>
  <r>
    <n v="52944"/>
    <x v="0"/>
    <x v="1"/>
    <n v="97227"/>
    <n v="1"/>
    <x v="0"/>
    <x v="0"/>
    <x v="0"/>
    <x v="0"/>
    <x v="9"/>
    <n v="32"/>
    <x v="0"/>
    <x v="1"/>
  </r>
  <r>
    <n v="83963"/>
    <x v="0"/>
    <x v="0"/>
    <n v="20492"/>
    <n v="3"/>
    <x v="0"/>
    <x v="0"/>
    <x v="0"/>
    <x v="2"/>
    <x v="14"/>
    <n v="32"/>
    <x v="0"/>
    <x v="0"/>
  </r>
  <r>
    <n v="34285"/>
    <x v="0"/>
    <x v="0"/>
    <n v="113418"/>
    <n v="5"/>
    <x v="3"/>
    <x v="0"/>
    <x v="0"/>
    <x v="3"/>
    <x v="4"/>
    <n v="51"/>
    <x v="0"/>
    <x v="1"/>
  </r>
  <r>
    <n v="47626"/>
    <x v="0"/>
    <x v="0"/>
    <n v="28811"/>
    <n v="0"/>
    <x v="1"/>
    <x v="3"/>
    <x v="1"/>
    <x v="0"/>
    <x v="0"/>
    <n v="64"/>
    <x v="2"/>
    <x v="1"/>
  </r>
  <r>
    <n v="52808"/>
    <x v="1"/>
    <x v="0"/>
    <n v="113344"/>
    <n v="5"/>
    <x v="1"/>
    <x v="0"/>
    <x v="0"/>
    <x v="4"/>
    <x v="12"/>
    <n v="66"/>
    <x v="2"/>
    <x v="1"/>
  </r>
  <r>
    <n v="98464"/>
    <x v="1"/>
    <x v="1"/>
    <n v="44272"/>
    <n v="2"/>
    <x v="2"/>
    <x v="3"/>
    <x v="1"/>
    <x v="0"/>
    <x v="10"/>
    <n v="65"/>
    <x v="2"/>
    <x v="1"/>
  </r>
  <r>
    <n v="63871"/>
    <x v="0"/>
    <x v="1"/>
    <n v="113935"/>
    <n v="2"/>
    <x v="3"/>
    <x v="3"/>
    <x v="0"/>
    <x v="0"/>
    <x v="8"/>
    <n v="27"/>
    <x v="1"/>
    <x v="0"/>
  </r>
  <r>
    <n v="29198"/>
    <x v="1"/>
    <x v="1"/>
    <n v="92010"/>
    <n v="4"/>
    <x v="2"/>
    <x v="1"/>
    <x v="0"/>
    <x v="1"/>
    <x v="1"/>
    <n v="62"/>
    <x v="2"/>
    <x v="0"/>
  </r>
  <r>
    <n v="29758"/>
    <x v="0"/>
    <x v="0"/>
    <n v="112492"/>
    <n v="1"/>
    <x v="3"/>
    <x v="0"/>
    <x v="1"/>
    <x v="1"/>
    <x v="4"/>
    <n v="37"/>
    <x v="0"/>
    <x v="0"/>
  </r>
  <r>
    <n v="25254"/>
    <x v="1"/>
    <x v="0"/>
    <n v="67153"/>
    <n v="2"/>
    <x v="3"/>
    <x v="1"/>
    <x v="0"/>
    <x v="0"/>
    <x v="6"/>
    <n v="55"/>
    <x v="2"/>
    <x v="0"/>
  </r>
  <r>
    <n v="54238"/>
    <x v="0"/>
    <x v="1"/>
    <n v="74110"/>
    <n v="5"/>
    <x v="0"/>
    <x v="2"/>
    <x v="0"/>
    <x v="2"/>
    <x v="9"/>
    <n v="45"/>
    <x v="0"/>
    <x v="0"/>
  </r>
  <r>
    <n v="11252"/>
    <x v="1"/>
    <x v="1"/>
    <n v="33979"/>
    <n v="1"/>
    <x v="0"/>
    <x v="2"/>
    <x v="0"/>
    <x v="1"/>
    <x v="0"/>
    <n v="29"/>
    <x v="1"/>
    <x v="0"/>
  </r>
  <r>
    <n v="49764"/>
    <x v="1"/>
    <x v="1"/>
    <n v="48328"/>
    <n v="2"/>
    <x v="2"/>
    <x v="2"/>
    <x v="0"/>
    <x v="4"/>
    <x v="6"/>
    <n v="50"/>
    <x v="0"/>
    <x v="1"/>
  </r>
  <r>
    <n v="87709"/>
    <x v="0"/>
    <x v="0"/>
    <n v="32867"/>
    <n v="4"/>
    <x v="3"/>
    <x v="3"/>
    <x v="1"/>
    <x v="3"/>
    <x v="3"/>
    <n v="52"/>
    <x v="0"/>
    <x v="0"/>
  </r>
  <r>
    <n v="47441"/>
    <x v="0"/>
    <x v="0"/>
    <n v="79234"/>
    <n v="3"/>
    <x v="1"/>
    <x v="3"/>
    <x v="0"/>
    <x v="1"/>
    <x v="8"/>
    <n v="48"/>
    <x v="0"/>
    <x v="1"/>
  </r>
  <r>
    <n v="63682"/>
    <x v="0"/>
    <x v="1"/>
    <n v="45851"/>
    <n v="4"/>
    <x v="0"/>
    <x v="3"/>
    <x v="0"/>
    <x v="0"/>
    <x v="6"/>
    <n v="24"/>
    <x v="1"/>
    <x v="1"/>
  </r>
  <r>
    <n v="69494"/>
    <x v="0"/>
    <x v="1"/>
    <n v="51279"/>
    <n v="0"/>
    <x v="1"/>
    <x v="0"/>
    <x v="1"/>
    <x v="2"/>
    <x v="9"/>
    <n v="32"/>
    <x v="0"/>
    <x v="1"/>
  </r>
  <r>
    <n v="91317"/>
    <x v="0"/>
    <x v="1"/>
    <n v="116063"/>
    <n v="2"/>
    <x v="2"/>
    <x v="1"/>
    <x v="0"/>
    <x v="3"/>
    <x v="14"/>
    <n v="20"/>
    <x v="1"/>
    <x v="1"/>
  </r>
  <r>
    <n v="75215"/>
    <x v="1"/>
    <x v="0"/>
    <n v="93402"/>
    <n v="0"/>
    <x v="0"/>
    <x v="3"/>
    <x v="0"/>
    <x v="1"/>
    <x v="7"/>
    <n v="42"/>
    <x v="0"/>
    <x v="0"/>
  </r>
  <r>
    <n v="88587"/>
    <x v="0"/>
    <x v="0"/>
    <n v="35449"/>
    <n v="0"/>
    <x v="0"/>
    <x v="1"/>
    <x v="0"/>
    <x v="2"/>
    <x v="5"/>
    <n v="59"/>
    <x v="2"/>
    <x v="0"/>
  </r>
  <r>
    <n v="16949"/>
    <x v="1"/>
    <x v="0"/>
    <n v="96221"/>
    <n v="5"/>
    <x v="3"/>
    <x v="1"/>
    <x v="0"/>
    <x v="2"/>
    <x v="15"/>
    <n v="22"/>
    <x v="1"/>
    <x v="1"/>
  </r>
  <r>
    <n v="65393"/>
    <x v="1"/>
    <x v="1"/>
    <n v="109080"/>
    <n v="1"/>
    <x v="2"/>
    <x v="1"/>
    <x v="1"/>
    <x v="2"/>
    <x v="10"/>
    <n v="22"/>
    <x v="1"/>
    <x v="0"/>
  </r>
  <r>
    <n v="83553"/>
    <x v="0"/>
    <x v="1"/>
    <n v="25451"/>
    <n v="5"/>
    <x v="3"/>
    <x v="0"/>
    <x v="0"/>
    <x v="0"/>
    <x v="2"/>
    <n v="26"/>
    <x v="1"/>
    <x v="0"/>
  </r>
  <r>
    <n v="16941"/>
    <x v="1"/>
    <x v="0"/>
    <n v="107178"/>
    <n v="2"/>
    <x v="0"/>
    <x v="0"/>
    <x v="1"/>
    <x v="4"/>
    <x v="7"/>
    <n v="55"/>
    <x v="2"/>
    <x v="0"/>
  </r>
  <r>
    <n v="35934"/>
    <x v="0"/>
    <x v="1"/>
    <n v="61316"/>
    <n v="0"/>
    <x v="2"/>
    <x v="2"/>
    <x v="0"/>
    <x v="2"/>
    <x v="1"/>
    <n v="54"/>
    <x v="0"/>
    <x v="0"/>
  </r>
  <r>
    <n v="33386"/>
    <x v="1"/>
    <x v="0"/>
    <n v="83064"/>
    <n v="3"/>
    <x v="0"/>
    <x v="2"/>
    <x v="0"/>
    <x v="3"/>
    <x v="11"/>
    <n v="34"/>
    <x v="0"/>
    <x v="1"/>
  </r>
  <r>
    <n v="71886"/>
    <x v="0"/>
    <x v="1"/>
    <n v="83761"/>
    <n v="0"/>
    <x v="2"/>
    <x v="1"/>
    <x v="0"/>
    <x v="1"/>
    <x v="8"/>
    <n v="59"/>
    <x v="2"/>
    <x v="0"/>
  </r>
  <r>
    <n v="85745"/>
    <x v="1"/>
    <x v="1"/>
    <n v="58870"/>
    <n v="3"/>
    <x v="0"/>
    <x v="2"/>
    <x v="1"/>
    <x v="3"/>
    <x v="10"/>
    <n v="22"/>
    <x v="1"/>
    <x v="0"/>
  </r>
  <r>
    <n v="93251"/>
    <x v="1"/>
    <x v="1"/>
    <n v="116566"/>
    <n v="5"/>
    <x v="1"/>
    <x v="1"/>
    <x v="0"/>
    <x v="0"/>
    <x v="12"/>
    <n v="48"/>
    <x v="0"/>
    <x v="0"/>
  </r>
  <r>
    <n v="63413"/>
    <x v="0"/>
    <x v="1"/>
    <n v="50873"/>
    <n v="5"/>
    <x v="1"/>
    <x v="0"/>
    <x v="0"/>
    <x v="0"/>
    <x v="6"/>
    <n v="49"/>
    <x v="0"/>
    <x v="0"/>
  </r>
  <r>
    <n v="66800"/>
    <x v="0"/>
    <x v="0"/>
    <n v="78627"/>
    <n v="1"/>
    <x v="3"/>
    <x v="0"/>
    <x v="1"/>
    <x v="3"/>
    <x v="7"/>
    <n v="58"/>
    <x v="2"/>
    <x v="0"/>
  </r>
  <r>
    <n v="52318"/>
    <x v="1"/>
    <x v="1"/>
    <n v="86155"/>
    <n v="0"/>
    <x v="1"/>
    <x v="0"/>
    <x v="1"/>
    <x v="4"/>
    <x v="1"/>
    <n v="37"/>
    <x v="0"/>
    <x v="0"/>
  </r>
  <r>
    <n v="80173"/>
    <x v="1"/>
    <x v="0"/>
    <n v="119186"/>
    <n v="4"/>
    <x v="0"/>
    <x v="3"/>
    <x v="1"/>
    <x v="0"/>
    <x v="8"/>
    <n v="30"/>
    <x v="1"/>
    <x v="1"/>
  </r>
  <r>
    <n v="80390"/>
    <x v="0"/>
    <x v="0"/>
    <n v="45372"/>
    <n v="5"/>
    <x v="0"/>
    <x v="1"/>
    <x v="1"/>
    <x v="0"/>
    <x v="9"/>
    <n v="62"/>
    <x v="2"/>
    <x v="1"/>
  </r>
  <r>
    <n v="62329"/>
    <x v="0"/>
    <x v="0"/>
    <n v="23642"/>
    <n v="5"/>
    <x v="1"/>
    <x v="0"/>
    <x v="0"/>
    <x v="3"/>
    <x v="0"/>
    <n v="68"/>
    <x v="2"/>
    <x v="1"/>
  </r>
  <r>
    <n v="53088"/>
    <x v="1"/>
    <x v="1"/>
    <n v="48001"/>
    <n v="1"/>
    <x v="3"/>
    <x v="1"/>
    <x v="0"/>
    <x v="0"/>
    <x v="13"/>
    <n v="57"/>
    <x v="2"/>
    <x v="1"/>
  </r>
  <r>
    <n v="49811"/>
    <x v="0"/>
    <x v="0"/>
    <n v="54064"/>
    <n v="3"/>
    <x v="1"/>
    <x v="2"/>
    <x v="0"/>
    <x v="4"/>
    <x v="4"/>
    <n v="59"/>
    <x v="2"/>
    <x v="1"/>
  </r>
  <r>
    <n v="65479"/>
    <x v="1"/>
    <x v="0"/>
    <n v="114826"/>
    <n v="1"/>
    <x v="2"/>
    <x v="2"/>
    <x v="0"/>
    <x v="4"/>
    <x v="14"/>
    <n v="20"/>
    <x v="1"/>
    <x v="0"/>
  </r>
  <r>
    <n v="95392"/>
    <x v="0"/>
    <x v="0"/>
    <n v="34122"/>
    <n v="0"/>
    <x v="2"/>
    <x v="0"/>
    <x v="1"/>
    <x v="4"/>
    <x v="14"/>
    <n v="48"/>
    <x v="0"/>
    <x v="0"/>
  </r>
  <r>
    <n v="97369"/>
    <x v="0"/>
    <x v="1"/>
    <n v="44820"/>
    <n v="2"/>
    <x v="2"/>
    <x v="1"/>
    <x v="0"/>
    <x v="1"/>
    <x v="1"/>
    <n v="29"/>
    <x v="1"/>
    <x v="0"/>
  </r>
  <r>
    <n v="29963"/>
    <x v="1"/>
    <x v="1"/>
    <n v="88431"/>
    <n v="2"/>
    <x v="1"/>
    <x v="0"/>
    <x v="0"/>
    <x v="4"/>
    <x v="3"/>
    <n v="47"/>
    <x v="0"/>
    <x v="0"/>
  </r>
  <r>
    <n v="65123"/>
    <x v="0"/>
    <x v="0"/>
    <n v="75745"/>
    <n v="3"/>
    <x v="1"/>
    <x v="2"/>
    <x v="0"/>
    <x v="4"/>
    <x v="8"/>
    <n v="50"/>
    <x v="0"/>
    <x v="0"/>
  </r>
  <r>
    <n v="83477"/>
    <x v="0"/>
    <x v="1"/>
    <n v="70081"/>
    <n v="5"/>
    <x v="1"/>
    <x v="0"/>
    <x v="0"/>
    <x v="1"/>
    <x v="11"/>
    <n v="38"/>
    <x v="0"/>
    <x v="0"/>
  </r>
  <r>
    <n v="24388"/>
    <x v="0"/>
    <x v="0"/>
    <n v="90902"/>
    <n v="3"/>
    <x v="2"/>
    <x v="1"/>
    <x v="1"/>
    <x v="2"/>
    <x v="15"/>
    <n v="22"/>
    <x v="1"/>
    <x v="0"/>
  </r>
  <r>
    <n v="15569"/>
    <x v="0"/>
    <x v="0"/>
    <n v="28711"/>
    <n v="5"/>
    <x v="3"/>
    <x v="2"/>
    <x v="0"/>
    <x v="0"/>
    <x v="6"/>
    <n v="55"/>
    <x v="2"/>
    <x v="0"/>
  </r>
  <r>
    <n v="79836"/>
    <x v="1"/>
    <x v="1"/>
    <n v="105132"/>
    <n v="5"/>
    <x v="0"/>
    <x v="3"/>
    <x v="0"/>
    <x v="4"/>
    <x v="5"/>
    <n v="62"/>
    <x v="2"/>
    <x v="1"/>
  </r>
  <r>
    <n v="46586"/>
    <x v="0"/>
    <x v="0"/>
    <n v="38793"/>
    <n v="2"/>
    <x v="1"/>
    <x v="2"/>
    <x v="0"/>
    <x v="0"/>
    <x v="7"/>
    <n v="34"/>
    <x v="0"/>
    <x v="1"/>
  </r>
  <r>
    <n v="22015"/>
    <x v="1"/>
    <x v="1"/>
    <n v="28199"/>
    <n v="3"/>
    <x v="3"/>
    <x v="3"/>
    <x v="1"/>
    <x v="3"/>
    <x v="9"/>
    <n v="52"/>
    <x v="0"/>
    <x v="1"/>
  </r>
  <r>
    <n v="55002"/>
    <x v="1"/>
    <x v="1"/>
    <n v="96253"/>
    <n v="1"/>
    <x v="0"/>
    <x v="0"/>
    <x v="1"/>
    <x v="0"/>
    <x v="1"/>
    <n v="60"/>
    <x v="2"/>
    <x v="0"/>
  </r>
  <r>
    <n v="16254"/>
    <x v="1"/>
    <x v="0"/>
    <n v="56191"/>
    <n v="5"/>
    <x v="0"/>
    <x v="0"/>
    <x v="0"/>
    <x v="1"/>
    <x v="10"/>
    <n v="62"/>
    <x v="2"/>
    <x v="0"/>
  </r>
  <r>
    <n v="27144"/>
    <x v="0"/>
    <x v="1"/>
    <n v="30211"/>
    <n v="4"/>
    <x v="0"/>
    <x v="1"/>
    <x v="0"/>
    <x v="0"/>
    <x v="2"/>
    <n v="64"/>
    <x v="2"/>
    <x v="0"/>
  </r>
  <r>
    <n v="34214"/>
    <x v="0"/>
    <x v="1"/>
    <n v="83069"/>
    <n v="4"/>
    <x v="3"/>
    <x v="3"/>
    <x v="0"/>
    <x v="0"/>
    <x v="5"/>
    <n v="45"/>
    <x v="0"/>
    <x v="1"/>
  </r>
  <r>
    <n v="90719"/>
    <x v="1"/>
    <x v="0"/>
    <n v="108896"/>
    <n v="1"/>
    <x v="3"/>
    <x v="0"/>
    <x v="1"/>
    <x v="0"/>
    <x v="12"/>
    <n v="35"/>
    <x v="0"/>
    <x v="0"/>
  </r>
  <r>
    <n v="81774"/>
    <x v="1"/>
    <x v="0"/>
    <n v="76746"/>
    <n v="4"/>
    <x v="2"/>
    <x v="3"/>
    <x v="0"/>
    <x v="2"/>
    <x v="13"/>
    <n v="55"/>
    <x v="2"/>
    <x v="0"/>
  </r>
  <r>
    <n v="16090"/>
    <x v="1"/>
    <x v="1"/>
    <n v="41542"/>
    <n v="0"/>
    <x v="3"/>
    <x v="0"/>
    <x v="0"/>
    <x v="2"/>
    <x v="15"/>
    <n v="52"/>
    <x v="0"/>
    <x v="1"/>
  </r>
  <r>
    <n v="21637"/>
    <x v="0"/>
    <x v="1"/>
    <n v="51312"/>
    <n v="5"/>
    <x v="3"/>
    <x v="2"/>
    <x v="0"/>
    <x v="3"/>
    <x v="4"/>
    <n v="39"/>
    <x v="0"/>
    <x v="0"/>
  </r>
  <r>
    <n v="32415"/>
    <x v="0"/>
    <x v="0"/>
    <n v="65242"/>
    <n v="1"/>
    <x v="3"/>
    <x v="0"/>
    <x v="1"/>
    <x v="1"/>
    <x v="15"/>
    <n v="32"/>
    <x v="0"/>
    <x v="0"/>
  </r>
  <r>
    <n v="34071"/>
    <x v="1"/>
    <x v="1"/>
    <n v="113783"/>
    <n v="3"/>
    <x v="0"/>
    <x v="1"/>
    <x v="0"/>
    <x v="0"/>
    <x v="11"/>
    <n v="52"/>
    <x v="0"/>
    <x v="0"/>
  </r>
  <r>
    <n v="68243"/>
    <x v="1"/>
    <x v="1"/>
    <n v="107893"/>
    <n v="5"/>
    <x v="1"/>
    <x v="2"/>
    <x v="0"/>
    <x v="0"/>
    <x v="4"/>
    <n v="24"/>
    <x v="1"/>
    <x v="0"/>
  </r>
  <r>
    <n v="51240"/>
    <x v="1"/>
    <x v="1"/>
    <n v="75388"/>
    <n v="1"/>
    <x v="2"/>
    <x v="1"/>
    <x v="1"/>
    <x v="0"/>
    <x v="4"/>
    <n v="56"/>
    <x v="2"/>
    <x v="1"/>
  </r>
  <r>
    <n v="93807"/>
    <x v="1"/>
    <x v="1"/>
    <n v="47691"/>
    <n v="2"/>
    <x v="1"/>
    <x v="2"/>
    <x v="1"/>
    <x v="0"/>
    <x v="10"/>
    <n v="33"/>
    <x v="0"/>
    <x v="1"/>
  </r>
  <r>
    <n v="43434"/>
    <x v="1"/>
    <x v="1"/>
    <n v="97960"/>
    <n v="3"/>
    <x v="1"/>
    <x v="3"/>
    <x v="0"/>
    <x v="2"/>
    <x v="11"/>
    <n v="46"/>
    <x v="0"/>
    <x v="1"/>
  </r>
  <r>
    <n v="79724"/>
    <x v="0"/>
    <x v="1"/>
    <n v="104388"/>
    <n v="2"/>
    <x v="3"/>
    <x v="1"/>
    <x v="1"/>
    <x v="3"/>
    <x v="1"/>
    <n v="42"/>
    <x v="0"/>
    <x v="0"/>
  </r>
  <r>
    <n v="85697"/>
    <x v="0"/>
    <x v="1"/>
    <n v="42601"/>
    <n v="5"/>
    <x v="2"/>
    <x v="0"/>
    <x v="0"/>
    <x v="4"/>
    <x v="3"/>
    <n v="33"/>
    <x v="0"/>
    <x v="1"/>
  </r>
  <r>
    <n v="38732"/>
    <x v="0"/>
    <x v="0"/>
    <n v="38020"/>
    <n v="3"/>
    <x v="1"/>
    <x v="3"/>
    <x v="1"/>
    <x v="1"/>
    <x v="4"/>
    <n v="59"/>
    <x v="2"/>
    <x v="0"/>
  </r>
  <r>
    <n v="21314"/>
    <x v="0"/>
    <x v="0"/>
    <n v="28155"/>
    <n v="4"/>
    <x v="1"/>
    <x v="0"/>
    <x v="1"/>
    <x v="0"/>
    <x v="11"/>
    <n v="23"/>
    <x v="1"/>
    <x v="0"/>
  </r>
  <r>
    <n v="33954"/>
    <x v="1"/>
    <x v="0"/>
    <n v="89119"/>
    <n v="1"/>
    <x v="2"/>
    <x v="2"/>
    <x v="0"/>
    <x v="3"/>
    <x v="9"/>
    <n v="58"/>
    <x v="2"/>
    <x v="0"/>
  </r>
  <r>
    <n v="67108"/>
    <x v="0"/>
    <x v="0"/>
    <n v="101051"/>
    <n v="5"/>
    <x v="3"/>
    <x v="2"/>
    <x v="0"/>
    <x v="4"/>
    <x v="12"/>
    <n v="38"/>
    <x v="0"/>
    <x v="1"/>
  </r>
  <r>
    <n v="97044"/>
    <x v="0"/>
    <x v="0"/>
    <n v="56777"/>
    <n v="0"/>
    <x v="1"/>
    <x v="0"/>
    <x v="0"/>
    <x v="3"/>
    <x v="3"/>
    <n v="66"/>
    <x v="2"/>
    <x v="0"/>
  </r>
  <r>
    <n v="97505"/>
    <x v="0"/>
    <x v="1"/>
    <n v="39710"/>
    <n v="3"/>
    <x v="0"/>
    <x v="0"/>
    <x v="1"/>
    <x v="2"/>
    <x v="3"/>
    <n v="23"/>
    <x v="1"/>
    <x v="0"/>
  </r>
  <r>
    <n v="46668"/>
    <x v="0"/>
    <x v="1"/>
    <n v="44532"/>
    <n v="3"/>
    <x v="1"/>
    <x v="3"/>
    <x v="0"/>
    <x v="4"/>
    <x v="2"/>
    <n v="49"/>
    <x v="0"/>
    <x v="0"/>
  </r>
  <r>
    <n v="33061"/>
    <x v="0"/>
    <x v="1"/>
    <n v="38601"/>
    <n v="5"/>
    <x v="0"/>
    <x v="0"/>
    <x v="0"/>
    <x v="3"/>
    <x v="9"/>
    <n v="38"/>
    <x v="0"/>
    <x v="1"/>
  </r>
  <r>
    <n v="89252"/>
    <x v="0"/>
    <x v="1"/>
    <n v="83227"/>
    <n v="5"/>
    <x v="3"/>
    <x v="1"/>
    <x v="0"/>
    <x v="2"/>
    <x v="8"/>
    <n v="50"/>
    <x v="0"/>
    <x v="1"/>
  </r>
  <r>
    <n v="49749"/>
    <x v="1"/>
    <x v="0"/>
    <n v="24967"/>
    <n v="2"/>
    <x v="1"/>
    <x v="1"/>
    <x v="0"/>
    <x v="3"/>
    <x v="3"/>
    <n v="50"/>
    <x v="0"/>
    <x v="0"/>
  </r>
  <r>
    <n v="26907"/>
    <x v="0"/>
    <x v="1"/>
    <n v="104289"/>
    <n v="4"/>
    <x v="2"/>
    <x v="0"/>
    <x v="0"/>
    <x v="3"/>
    <x v="15"/>
    <n v="28"/>
    <x v="1"/>
    <x v="1"/>
  </r>
  <r>
    <n v="28777"/>
    <x v="1"/>
    <x v="1"/>
    <n v="40022"/>
    <n v="2"/>
    <x v="2"/>
    <x v="1"/>
    <x v="1"/>
    <x v="4"/>
    <x v="0"/>
    <n v="32"/>
    <x v="0"/>
    <x v="1"/>
  </r>
  <r>
    <n v="61745"/>
    <x v="0"/>
    <x v="0"/>
    <n v="63463"/>
    <n v="2"/>
    <x v="1"/>
    <x v="0"/>
    <x v="0"/>
    <x v="2"/>
    <x v="6"/>
    <n v="33"/>
    <x v="0"/>
    <x v="1"/>
  </r>
  <r>
    <n v="91818"/>
    <x v="0"/>
    <x v="1"/>
    <n v="94671"/>
    <n v="4"/>
    <x v="3"/>
    <x v="3"/>
    <x v="0"/>
    <x v="0"/>
    <x v="9"/>
    <n v="65"/>
    <x v="2"/>
    <x v="0"/>
  </r>
  <r>
    <n v="33624"/>
    <x v="0"/>
    <x v="1"/>
    <n v="25722"/>
    <n v="0"/>
    <x v="3"/>
    <x v="1"/>
    <x v="1"/>
    <x v="1"/>
    <x v="8"/>
    <n v="29"/>
    <x v="1"/>
    <x v="0"/>
  </r>
  <r>
    <n v="33321"/>
    <x v="1"/>
    <x v="0"/>
    <n v="47413"/>
    <n v="2"/>
    <x v="2"/>
    <x v="1"/>
    <x v="0"/>
    <x v="4"/>
    <x v="6"/>
    <n v="67"/>
    <x v="2"/>
    <x v="1"/>
  </r>
  <r>
    <n v="20488"/>
    <x v="1"/>
    <x v="1"/>
    <n v="112772"/>
    <n v="2"/>
    <x v="1"/>
    <x v="0"/>
    <x v="0"/>
    <x v="2"/>
    <x v="15"/>
    <n v="50"/>
    <x v="0"/>
    <x v="1"/>
  </r>
  <r>
    <n v="32574"/>
    <x v="0"/>
    <x v="1"/>
    <n v="101050"/>
    <n v="3"/>
    <x v="3"/>
    <x v="1"/>
    <x v="0"/>
    <x v="3"/>
    <x v="15"/>
    <n v="56"/>
    <x v="2"/>
    <x v="0"/>
  </r>
  <r>
    <n v="15240"/>
    <x v="0"/>
    <x v="1"/>
    <n v="105867"/>
    <n v="4"/>
    <x v="2"/>
    <x v="2"/>
    <x v="0"/>
    <x v="2"/>
    <x v="13"/>
    <n v="42"/>
    <x v="0"/>
    <x v="0"/>
  </r>
  <r>
    <n v="53221"/>
    <x v="1"/>
    <x v="1"/>
    <n v="103596"/>
    <n v="1"/>
    <x v="0"/>
    <x v="3"/>
    <x v="0"/>
    <x v="1"/>
    <x v="4"/>
    <n v="46"/>
    <x v="0"/>
    <x v="1"/>
  </r>
  <r>
    <n v="20478"/>
    <x v="0"/>
    <x v="1"/>
    <n v="86732"/>
    <n v="0"/>
    <x v="1"/>
    <x v="3"/>
    <x v="1"/>
    <x v="1"/>
    <x v="2"/>
    <n v="25"/>
    <x v="1"/>
    <x v="1"/>
  </r>
  <r>
    <n v="65645"/>
    <x v="0"/>
    <x v="0"/>
    <n v="32297"/>
    <n v="0"/>
    <x v="0"/>
    <x v="1"/>
    <x v="1"/>
    <x v="0"/>
    <x v="1"/>
    <n v="45"/>
    <x v="0"/>
    <x v="0"/>
  </r>
  <r>
    <n v="29262"/>
    <x v="1"/>
    <x v="0"/>
    <n v="88323"/>
    <n v="4"/>
    <x v="0"/>
    <x v="1"/>
    <x v="1"/>
    <x v="0"/>
    <x v="14"/>
    <n v="21"/>
    <x v="1"/>
    <x v="0"/>
  </r>
  <r>
    <n v="62796"/>
    <x v="1"/>
    <x v="0"/>
    <n v="43816"/>
    <n v="5"/>
    <x v="3"/>
    <x v="2"/>
    <x v="0"/>
    <x v="1"/>
    <x v="11"/>
    <n v="64"/>
    <x v="2"/>
    <x v="0"/>
  </r>
  <r>
    <n v="14432"/>
    <x v="0"/>
    <x v="0"/>
    <n v="60695"/>
    <n v="5"/>
    <x v="3"/>
    <x v="2"/>
    <x v="1"/>
    <x v="4"/>
    <x v="3"/>
    <n v="32"/>
    <x v="0"/>
    <x v="0"/>
  </r>
  <r>
    <n v="74291"/>
    <x v="1"/>
    <x v="0"/>
    <n v="39702"/>
    <n v="3"/>
    <x v="3"/>
    <x v="1"/>
    <x v="0"/>
    <x v="4"/>
    <x v="13"/>
    <n v="69"/>
    <x v="2"/>
    <x v="1"/>
  </r>
  <r>
    <n v="89104"/>
    <x v="1"/>
    <x v="0"/>
    <n v="45242"/>
    <n v="3"/>
    <x v="1"/>
    <x v="1"/>
    <x v="0"/>
    <x v="3"/>
    <x v="0"/>
    <n v="38"/>
    <x v="0"/>
    <x v="0"/>
  </r>
  <r>
    <n v="69399"/>
    <x v="0"/>
    <x v="1"/>
    <n v="75841"/>
    <n v="4"/>
    <x v="0"/>
    <x v="2"/>
    <x v="0"/>
    <x v="0"/>
    <x v="5"/>
    <n v="20"/>
    <x v="1"/>
    <x v="1"/>
  </r>
  <r>
    <n v="89714"/>
    <x v="1"/>
    <x v="0"/>
    <n v="87712"/>
    <n v="3"/>
    <x v="1"/>
    <x v="0"/>
    <x v="1"/>
    <x v="3"/>
    <x v="2"/>
    <n v="59"/>
    <x v="2"/>
    <x v="0"/>
  </r>
  <r>
    <n v="60428"/>
    <x v="1"/>
    <x v="0"/>
    <n v="105663"/>
    <n v="0"/>
    <x v="3"/>
    <x v="2"/>
    <x v="1"/>
    <x v="0"/>
    <x v="13"/>
    <n v="51"/>
    <x v="0"/>
    <x v="1"/>
  </r>
  <r>
    <n v="97731"/>
    <x v="0"/>
    <x v="1"/>
    <n v="112764"/>
    <n v="0"/>
    <x v="0"/>
    <x v="0"/>
    <x v="1"/>
    <x v="1"/>
    <x v="7"/>
    <n v="41"/>
    <x v="0"/>
    <x v="0"/>
  </r>
  <r>
    <n v="10302"/>
    <x v="0"/>
    <x v="1"/>
    <n v="73574"/>
    <n v="1"/>
    <x v="1"/>
    <x v="3"/>
    <x v="0"/>
    <x v="4"/>
    <x v="15"/>
    <n v="67"/>
    <x v="2"/>
    <x v="0"/>
  </r>
  <r>
    <n v="92558"/>
    <x v="0"/>
    <x v="0"/>
    <n v="105744"/>
    <n v="5"/>
    <x v="1"/>
    <x v="3"/>
    <x v="1"/>
    <x v="4"/>
    <x v="8"/>
    <n v="48"/>
    <x v="0"/>
    <x v="1"/>
  </r>
  <r>
    <n v="10055"/>
    <x v="1"/>
    <x v="1"/>
    <n v="48482"/>
    <n v="4"/>
    <x v="2"/>
    <x v="2"/>
    <x v="0"/>
    <x v="1"/>
    <x v="6"/>
    <n v="21"/>
    <x v="1"/>
    <x v="0"/>
  </r>
  <r>
    <n v="18717"/>
    <x v="0"/>
    <x v="0"/>
    <n v="29171"/>
    <n v="2"/>
    <x v="1"/>
    <x v="0"/>
    <x v="1"/>
    <x v="3"/>
    <x v="2"/>
    <n v="59"/>
    <x v="2"/>
    <x v="1"/>
  </r>
  <r>
    <n v="38699"/>
    <x v="1"/>
    <x v="1"/>
    <n v="118932"/>
    <n v="5"/>
    <x v="3"/>
    <x v="2"/>
    <x v="1"/>
    <x v="3"/>
    <x v="3"/>
    <n v="57"/>
    <x v="2"/>
    <x v="1"/>
  </r>
  <r>
    <n v="83686"/>
    <x v="1"/>
    <x v="0"/>
    <n v="23696"/>
    <n v="2"/>
    <x v="1"/>
    <x v="2"/>
    <x v="0"/>
    <x v="2"/>
    <x v="14"/>
    <n v="67"/>
    <x v="2"/>
    <x v="1"/>
  </r>
  <r>
    <n v="77661"/>
    <x v="0"/>
    <x v="1"/>
    <n v="40058"/>
    <n v="1"/>
    <x v="0"/>
    <x v="0"/>
    <x v="0"/>
    <x v="0"/>
    <x v="6"/>
    <n v="30"/>
    <x v="1"/>
    <x v="1"/>
  </r>
  <r>
    <n v="54247"/>
    <x v="1"/>
    <x v="1"/>
    <n v="40313"/>
    <n v="1"/>
    <x v="1"/>
    <x v="2"/>
    <x v="1"/>
    <x v="3"/>
    <x v="12"/>
    <n v="36"/>
    <x v="0"/>
    <x v="1"/>
  </r>
  <r>
    <n v="26748"/>
    <x v="0"/>
    <x v="0"/>
    <n v="39149"/>
    <n v="3"/>
    <x v="2"/>
    <x v="3"/>
    <x v="1"/>
    <x v="1"/>
    <x v="12"/>
    <n v="62"/>
    <x v="2"/>
    <x v="0"/>
  </r>
  <r>
    <n v="14621"/>
    <x v="1"/>
    <x v="0"/>
    <n v="73521"/>
    <n v="1"/>
    <x v="0"/>
    <x v="1"/>
    <x v="1"/>
    <x v="3"/>
    <x v="4"/>
    <n v="27"/>
    <x v="1"/>
    <x v="1"/>
  </r>
  <r>
    <n v="25034"/>
    <x v="1"/>
    <x v="0"/>
    <n v="65740"/>
    <n v="1"/>
    <x v="0"/>
    <x v="1"/>
    <x v="0"/>
    <x v="4"/>
    <x v="8"/>
    <n v="41"/>
    <x v="0"/>
    <x v="1"/>
  </r>
  <r>
    <n v="15126"/>
    <x v="0"/>
    <x v="0"/>
    <n v="24956"/>
    <n v="2"/>
    <x v="2"/>
    <x v="2"/>
    <x v="0"/>
    <x v="0"/>
    <x v="13"/>
    <n v="23"/>
    <x v="1"/>
    <x v="1"/>
  </r>
  <r>
    <n v="15122"/>
    <x v="0"/>
    <x v="0"/>
    <n v="95731"/>
    <n v="3"/>
    <x v="3"/>
    <x v="0"/>
    <x v="1"/>
    <x v="2"/>
    <x v="13"/>
    <n v="30"/>
    <x v="1"/>
    <x v="0"/>
  </r>
  <r>
    <n v="28030"/>
    <x v="0"/>
    <x v="1"/>
    <n v="102612"/>
    <n v="1"/>
    <x v="0"/>
    <x v="0"/>
    <x v="1"/>
    <x v="0"/>
    <x v="9"/>
    <n v="27"/>
    <x v="1"/>
    <x v="0"/>
  </r>
  <r>
    <n v="92838"/>
    <x v="0"/>
    <x v="0"/>
    <n v="86641"/>
    <n v="5"/>
    <x v="3"/>
    <x v="3"/>
    <x v="0"/>
    <x v="4"/>
    <x v="9"/>
    <n v="28"/>
    <x v="1"/>
    <x v="0"/>
  </r>
  <r>
    <n v="94717"/>
    <x v="0"/>
    <x v="0"/>
    <n v="83811"/>
    <n v="1"/>
    <x v="0"/>
    <x v="0"/>
    <x v="1"/>
    <x v="4"/>
    <x v="14"/>
    <n v="45"/>
    <x v="0"/>
    <x v="0"/>
  </r>
  <r>
    <n v="65658"/>
    <x v="0"/>
    <x v="1"/>
    <n v="72160"/>
    <n v="3"/>
    <x v="0"/>
    <x v="0"/>
    <x v="0"/>
    <x v="4"/>
    <x v="2"/>
    <n v="21"/>
    <x v="1"/>
    <x v="0"/>
  </r>
  <r>
    <n v="48638"/>
    <x v="1"/>
    <x v="1"/>
    <n v="71313"/>
    <n v="4"/>
    <x v="3"/>
    <x v="3"/>
    <x v="0"/>
    <x v="4"/>
    <x v="10"/>
    <n v="35"/>
    <x v="0"/>
    <x v="0"/>
  </r>
  <r>
    <n v="77067"/>
    <x v="0"/>
    <x v="0"/>
    <n v="83232"/>
    <n v="3"/>
    <x v="0"/>
    <x v="2"/>
    <x v="0"/>
    <x v="1"/>
    <x v="15"/>
    <n v="50"/>
    <x v="0"/>
    <x v="0"/>
  </r>
  <r>
    <n v="98869"/>
    <x v="0"/>
    <x v="1"/>
    <n v="35417"/>
    <n v="2"/>
    <x v="3"/>
    <x v="1"/>
    <x v="0"/>
    <x v="2"/>
    <x v="8"/>
    <n v="25"/>
    <x v="1"/>
    <x v="1"/>
  </r>
  <r>
    <n v="44674"/>
    <x v="1"/>
    <x v="1"/>
    <n v="44729"/>
    <n v="4"/>
    <x v="2"/>
    <x v="3"/>
    <x v="0"/>
    <x v="4"/>
    <x v="11"/>
    <n v="40"/>
    <x v="0"/>
    <x v="0"/>
  </r>
  <r>
    <n v="45854"/>
    <x v="0"/>
    <x v="0"/>
    <n v="50099"/>
    <n v="5"/>
    <x v="3"/>
    <x v="2"/>
    <x v="0"/>
    <x v="4"/>
    <x v="10"/>
    <n v="45"/>
    <x v="0"/>
    <x v="0"/>
  </r>
  <r>
    <n v="56271"/>
    <x v="1"/>
    <x v="1"/>
    <n v="118134"/>
    <n v="0"/>
    <x v="2"/>
    <x v="3"/>
    <x v="1"/>
    <x v="3"/>
    <x v="14"/>
    <n v="38"/>
    <x v="0"/>
    <x v="0"/>
  </r>
  <r>
    <n v="83688"/>
    <x v="1"/>
    <x v="1"/>
    <n v="49961"/>
    <n v="3"/>
    <x v="0"/>
    <x v="2"/>
    <x v="0"/>
    <x v="2"/>
    <x v="9"/>
    <n v="47"/>
    <x v="0"/>
    <x v="0"/>
  </r>
  <r>
    <n v="48518"/>
    <x v="1"/>
    <x v="0"/>
    <n v="32602"/>
    <n v="2"/>
    <x v="3"/>
    <x v="3"/>
    <x v="0"/>
    <x v="0"/>
    <x v="15"/>
    <n v="27"/>
    <x v="1"/>
    <x v="0"/>
  </r>
  <r>
    <n v="20267"/>
    <x v="0"/>
    <x v="0"/>
    <n v="29256"/>
    <n v="5"/>
    <x v="0"/>
    <x v="2"/>
    <x v="1"/>
    <x v="2"/>
    <x v="14"/>
    <n v="33"/>
    <x v="0"/>
    <x v="0"/>
  </r>
  <r>
    <n v="60448"/>
    <x v="0"/>
    <x v="1"/>
    <n v="54681"/>
    <n v="5"/>
    <x v="2"/>
    <x v="2"/>
    <x v="1"/>
    <x v="2"/>
    <x v="14"/>
    <n v="67"/>
    <x v="2"/>
    <x v="1"/>
  </r>
  <r>
    <n v="16229"/>
    <x v="1"/>
    <x v="0"/>
    <n v="111328"/>
    <n v="3"/>
    <x v="2"/>
    <x v="3"/>
    <x v="0"/>
    <x v="4"/>
    <x v="11"/>
    <n v="63"/>
    <x v="2"/>
    <x v="1"/>
  </r>
  <r>
    <n v="66793"/>
    <x v="0"/>
    <x v="1"/>
    <n v="107440"/>
    <n v="1"/>
    <x v="3"/>
    <x v="1"/>
    <x v="1"/>
    <x v="4"/>
    <x v="10"/>
    <n v="56"/>
    <x v="2"/>
    <x v="0"/>
  </r>
  <r>
    <n v="57915"/>
    <x v="0"/>
    <x v="1"/>
    <n v="84789"/>
    <n v="3"/>
    <x v="2"/>
    <x v="1"/>
    <x v="1"/>
    <x v="1"/>
    <x v="1"/>
    <n v="45"/>
    <x v="0"/>
    <x v="0"/>
  </r>
  <r>
    <n v="14632"/>
    <x v="1"/>
    <x v="1"/>
    <n v="63361"/>
    <n v="0"/>
    <x v="0"/>
    <x v="0"/>
    <x v="0"/>
    <x v="0"/>
    <x v="3"/>
    <n v="50"/>
    <x v="0"/>
    <x v="0"/>
  </r>
  <r>
    <n v="13596"/>
    <x v="0"/>
    <x v="0"/>
    <n v="84503"/>
    <n v="3"/>
    <x v="0"/>
    <x v="2"/>
    <x v="0"/>
    <x v="3"/>
    <x v="13"/>
    <n v="51"/>
    <x v="0"/>
    <x v="0"/>
  </r>
  <r>
    <n v="16168"/>
    <x v="0"/>
    <x v="1"/>
    <n v="54540"/>
    <n v="4"/>
    <x v="1"/>
    <x v="3"/>
    <x v="0"/>
    <x v="2"/>
    <x v="9"/>
    <n v="69"/>
    <x v="2"/>
    <x v="0"/>
  </r>
  <r>
    <n v="17561"/>
    <x v="0"/>
    <x v="1"/>
    <n v="46536"/>
    <n v="4"/>
    <x v="2"/>
    <x v="2"/>
    <x v="0"/>
    <x v="0"/>
    <x v="2"/>
    <n v="60"/>
    <x v="2"/>
    <x v="0"/>
  </r>
  <r>
    <n v="83794"/>
    <x v="1"/>
    <x v="0"/>
    <n v="104700"/>
    <n v="3"/>
    <x v="0"/>
    <x v="1"/>
    <x v="1"/>
    <x v="0"/>
    <x v="9"/>
    <n v="21"/>
    <x v="1"/>
    <x v="0"/>
  </r>
  <r>
    <n v="92152"/>
    <x v="0"/>
    <x v="1"/>
    <n v="83043"/>
    <n v="4"/>
    <x v="3"/>
    <x v="2"/>
    <x v="1"/>
    <x v="1"/>
    <x v="9"/>
    <n v="44"/>
    <x v="0"/>
    <x v="0"/>
  </r>
  <r>
    <n v="36734"/>
    <x v="1"/>
    <x v="1"/>
    <n v="98532"/>
    <n v="1"/>
    <x v="2"/>
    <x v="3"/>
    <x v="1"/>
    <x v="3"/>
    <x v="14"/>
    <n v="63"/>
    <x v="2"/>
    <x v="0"/>
  </r>
  <r>
    <n v="16371"/>
    <x v="1"/>
    <x v="0"/>
    <n v="76575"/>
    <n v="5"/>
    <x v="0"/>
    <x v="2"/>
    <x v="0"/>
    <x v="2"/>
    <x v="5"/>
    <n v="21"/>
    <x v="1"/>
    <x v="1"/>
  </r>
  <r>
    <n v="36069"/>
    <x v="0"/>
    <x v="0"/>
    <n v="22871"/>
    <n v="3"/>
    <x v="2"/>
    <x v="3"/>
    <x v="1"/>
    <x v="3"/>
    <x v="7"/>
    <n v="61"/>
    <x v="2"/>
    <x v="0"/>
  </r>
  <r>
    <n v="89905"/>
    <x v="1"/>
    <x v="0"/>
    <n v="66002"/>
    <n v="1"/>
    <x v="3"/>
    <x v="1"/>
    <x v="0"/>
    <x v="1"/>
    <x v="14"/>
    <n v="20"/>
    <x v="1"/>
    <x v="1"/>
  </r>
  <r>
    <n v="22910"/>
    <x v="0"/>
    <x v="0"/>
    <n v="69812"/>
    <n v="5"/>
    <x v="0"/>
    <x v="1"/>
    <x v="0"/>
    <x v="4"/>
    <x v="2"/>
    <n v="55"/>
    <x v="2"/>
    <x v="1"/>
  </r>
  <r>
    <n v="83479"/>
    <x v="0"/>
    <x v="1"/>
    <n v="42626"/>
    <n v="5"/>
    <x v="1"/>
    <x v="1"/>
    <x v="1"/>
    <x v="0"/>
    <x v="2"/>
    <n v="31"/>
    <x v="0"/>
    <x v="0"/>
  </r>
  <r>
    <n v="87735"/>
    <x v="1"/>
    <x v="1"/>
    <n v="79979"/>
    <n v="1"/>
    <x v="1"/>
    <x v="0"/>
    <x v="0"/>
    <x v="2"/>
    <x v="11"/>
    <n v="28"/>
    <x v="1"/>
    <x v="0"/>
  </r>
  <r>
    <n v="91264"/>
    <x v="1"/>
    <x v="0"/>
    <n v="96057"/>
    <n v="2"/>
    <x v="2"/>
    <x v="1"/>
    <x v="1"/>
    <x v="4"/>
    <x v="5"/>
    <n v="55"/>
    <x v="2"/>
    <x v="0"/>
  </r>
  <r>
    <n v="33275"/>
    <x v="1"/>
    <x v="0"/>
    <n v="86668"/>
    <n v="3"/>
    <x v="3"/>
    <x v="2"/>
    <x v="0"/>
    <x v="1"/>
    <x v="0"/>
    <n v="60"/>
    <x v="2"/>
    <x v="1"/>
  </r>
  <r>
    <n v="82274"/>
    <x v="0"/>
    <x v="1"/>
    <n v="119003"/>
    <n v="5"/>
    <x v="0"/>
    <x v="0"/>
    <x v="1"/>
    <x v="3"/>
    <x v="10"/>
    <n v="47"/>
    <x v="0"/>
    <x v="0"/>
  </r>
  <r>
    <n v="91449"/>
    <x v="0"/>
    <x v="0"/>
    <n v="100070"/>
    <n v="5"/>
    <x v="3"/>
    <x v="1"/>
    <x v="0"/>
    <x v="0"/>
    <x v="2"/>
    <n v="57"/>
    <x v="2"/>
    <x v="1"/>
  </r>
  <r>
    <n v="70004"/>
    <x v="0"/>
    <x v="1"/>
    <n v="109390"/>
    <n v="4"/>
    <x v="0"/>
    <x v="2"/>
    <x v="1"/>
    <x v="2"/>
    <x v="1"/>
    <n v="52"/>
    <x v="0"/>
    <x v="1"/>
  </r>
  <r>
    <n v="72981"/>
    <x v="0"/>
    <x v="0"/>
    <n v="62998"/>
    <n v="5"/>
    <x v="2"/>
    <x v="2"/>
    <x v="1"/>
    <x v="4"/>
    <x v="10"/>
    <n v="61"/>
    <x v="2"/>
    <x v="1"/>
  </r>
  <r>
    <n v="94659"/>
    <x v="0"/>
    <x v="1"/>
    <n v="83814"/>
    <n v="1"/>
    <x v="0"/>
    <x v="2"/>
    <x v="0"/>
    <x v="4"/>
    <x v="3"/>
    <n v="65"/>
    <x v="2"/>
    <x v="1"/>
  </r>
  <r>
    <n v="64553"/>
    <x v="0"/>
    <x v="0"/>
    <n v="65607"/>
    <n v="5"/>
    <x v="3"/>
    <x v="3"/>
    <x v="0"/>
    <x v="0"/>
    <x v="2"/>
    <n v="41"/>
    <x v="0"/>
    <x v="1"/>
  </r>
  <r>
    <n v="58447"/>
    <x v="0"/>
    <x v="0"/>
    <n v="27812"/>
    <n v="2"/>
    <x v="3"/>
    <x v="0"/>
    <x v="1"/>
    <x v="3"/>
    <x v="3"/>
    <n v="44"/>
    <x v="0"/>
    <x v="1"/>
  </r>
  <r>
    <n v="44529"/>
    <x v="0"/>
    <x v="1"/>
    <n v="81844"/>
    <n v="3"/>
    <x v="2"/>
    <x v="2"/>
    <x v="0"/>
    <x v="1"/>
    <x v="1"/>
    <n v="37"/>
    <x v="0"/>
    <x v="1"/>
  </r>
  <r>
    <n v="85703"/>
    <x v="0"/>
    <x v="0"/>
    <n v="90093"/>
    <n v="3"/>
    <x v="3"/>
    <x v="3"/>
    <x v="0"/>
    <x v="3"/>
    <x v="8"/>
    <n v="25"/>
    <x v="1"/>
    <x v="0"/>
  </r>
  <r>
    <n v="86090"/>
    <x v="0"/>
    <x v="1"/>
    <n v="22179"/>
    <n v="5"/>
    <x v="0"/>
    <x v="1"/>
    <x v="0"/>
    <x v="3"/>
    <x v="2"/>
    <n v="37"/>
    <x v="0"/>
    <x v="1"/>
  </r>
  <r>
    <n v="27260"/>
    <x v="1"/>
    <x v="1"/>
    <n v="63798"/>
    <n v="0"/>
    <x v="2"/>
    <x v="2"/>
    <x v="1"/>
    <x v="3"/>
    <x v="6"/>
    <n v="35"/>
    <x v="0"/>
    <x v="0"/>
  </r>
  <r>
    <n v="13812"/>
    <x v="0"/>
    <x v="1"/>
    <n v="94601"/>
    <n v="0"/>
    <x v="0"/>
    <x v="3"/>
    <x v="1"/>
    <x v="0"/>
    <x v="8"/>
    <n v="34"/>
    <x v="0"/>
    <x v="0"/>
  </r>
  <r>
    <n v="38024"/>
    <x v="1"/>
    <x v="1"/>
    <n v="28275"/>
    <n v="1"/>
    <x v="3"/>
    <x v="2"/>
    <x v="0"/>
    <x v="0"/>
    <x v="10"/>
    <n v="67"/>
    <x v="2"/>
    <x v="0"/>
  </r>
  <r>
    <n v="68656"/>
    <x v="1"/>
    <x v="1"/>
    <n v="70574"/>
    <n v="0"/>
    <x v="2"/>
    <x v="0"/>
    <x v="0"/>
    <x v="1"/>
    <x v="7"/>
    <n v="27"/>
    <x v="1"/>
    <x v="0"/>
  </r>
  <r>
    <n v="37285"/>
    <x v="0"/>
    <x v="0"/>
    <n v="67857"/>
    <n v="1"/>
    <x v="0"/>
    <x v="0"/>
    <x v="1"/>
    <x v="3"/>
    <x v="15"/>
    <n v="32"/>
    <x v="0"/>
    <x v="0"/>
  </r>
  <r>
    <n v="11605"/>
    <x v="1"/>
    <x v="0"/>
    <n v="40700"/>
    <n v="4"/>
    <x v="3"/>
    <x v="1"/>
    <x v="0"/>
    <x v="0"/>
    <x v="11"/>
    <n v="62"/>
    <x v="2"/>
    <x v="0"/>
  </r>
  <r>
    <n v="81158"/>
    <x v="1"/>
    <x v="1"/>
    <n v="59464"/>
    <n v="1"/>
    <x v="3"/>
    <x v="2"/>
    <x v="1"/>
    <x v="1"/>
    <x v="1"/>
    <n v="26"/>
    <x v="1"/>
    <x v="1"/>
  </r>
  <r>
    <n v="82303"/>
    <x v="1"/>
    <x v="0"/>
    <n v="62351"/>
    <n v="0"/>
    <x v="1"/>
    <x v="3"/>
    <x v="0"/>
    <x v="1"/>
    <x v="14"/>
    <n v="36"/>
    <x v="0"/>
    <x v="0"/>
  </r>
  <r>
    <n v="37139"/>
    <x v="0"/>
    <x v="1"/>
    <n v="113330"/>
    <n v="5"/>
    <x v="3"/>
    <x v="1"/>
    <x v="0"/>
    <x v="3"/>
    <x v="8"/>
    <n v="69"/>
    <x v="2"/>
    <x v="0"/>
  </r>
  <r>
    <n v="87149"/>
    <x v="0"/>
    <x v="0"/>
    <n v="114319"/>
    <n v="4"/>
    <x v="0"/>
    <x v="2"/>
    <x v="0"/>
    <x v="2"/>
    <x v="3"/>
    <n v="51"/>
    <x v="0"/>
    <x v="1"/>
  </r>
  <r>
    <n v="66138"/>
    <x v="0"/>
    <x v="0"/>
    <n v="102534"/>
    <n v="0"/>
    <x v="2"/>
    <x v="1"/>
    <x v="1"/>
    <x v="3"/>
    <x v="4"/>
    <n v="41"/>
    <x v="0"/>
    <x v="1"/>
  </r>
  <r>
    <n v="86125"/>
    <x v="0"/>
    <x v="0"/>
    <n v="33869"/>
    <n v="1"/>
    <x v="1"/>
    <x v="3"/>
    <x v="1"/>
    <x v="2"/>
    <x v="13"/>
    <n v="32"/>
    <x v="0"/>
    <x v="1"/>
  </r>
  <r>
    <n v="23918"/>
    <x v="1"/>
    <x v="0"/>
    <n v="80315"/>
    <n v="2"/>
    <x v="3"/>
    <x v="1"/>
    <x v="1"/>
    <x v="1"/>
    <x v="5"/>
    <n v="66"/>
    <x v="2"/>
    <x v="0"/>
  </r>
  <r>
    <n v="95655"/>
    <x v="1"/>
    <x v="1"/>
    <n v="113688"/>
    <n v="3"/>
    <x v="3"/>
    <x v="1"/>
    <x v="1"/>
    <x v="0"/>
    <x v="5"/>
    <n v="42"/>
    <x v="0"/>
    <x v="1"/>
  </r>
  <r>
    <n v="37446"/>
    <x v="0"/>
    <x v="1"/>
    <n v="40954"/>
    <n v="0"/>
    <x v="3"/>
    <x v="1"/>
    <x v="0"/>
    <x v="4"/>
    <x v="5"/>
    <n v="48"/>
    <x v="0"/>
    <x v="0"/>
  </r>
  <r>
    <n v="23046"/>
    <x v="1"/>
    <x v="0"/>
    <n v="51555"/>
    <n v="1"/>
    <x v="0"/>
    <x v="2"/>
    <x v="0"/>
    <x v="1"/>
    <x v="8"/>
    <n v="41"/>
    <x v="0"/>
    <x v="1"/>
  </r>
  <r>
    <n v="34818"/>
    <x v="0"/>
    <x v="0"/>
    <n v="83353"/>
    <n v="4"/>
    <x v="1"/>
    <x v="3"/>
    <x v="1"/>
    <x v="0"/>
    <x v="12"/>
    <n v="20"/>
    <x v="1"/>
    <x v="0"/>
  </r>
  <r>
    <n v="14324"/>
    <x v="0"/>
    <x v="1"/>
    <n v="102190"/>
    <n v="0"/>
    <x v="0"/>
    <x v="0"/>
    <x v="0"/>
    <x v="1"/>
    <x v="12"/>
    <n v="48"/>
    <x v="0"/>
    <x v="1"/>
  </r>
  <r>
    <n v="86323"/>
    <x v="1"/>
    <x v="0"/>
    <n v="65026"/>
    <n v="0"/>
    <x v="1"/>
    <x v="2"/>
    <x v="0"/>
    <x v="3"/>
    <x v="15"/>
    <n v="67"/>
    <x v="2"/>
    <x v="1"/>
  </r>
  <r>
    <n v="19111"/>
    <x v="0"/>
    <x v="1"/>
    <n v="66976"/>
    <n v="3"/>
    <x v="2"/>
    <x v="0"/>
    <x v="1"/>
    <x v="2"/>
    <x v="6"/>
    <n v="24"/>
    <x v="1"/>
    <x v="0"/>
  </r>
  <r>
    <n v="48110"/>
    <x v="0"/>
    <x v="1"/>
    <n v="100578"/>
    <n v="1"/>
    <x v="0"/>
    <x v="0"/>
    <x v="0"/>
    <x v="1"/>
    <x v="2"/>
    <n v="54"/>
    <x v="0"/>
    <x v="1"/>
  </r>
  <r>
    <n v="26389"/>
    <x v="0"/>
    <x v="1"/>
    <n v="111502"/>
    <n v="2"/>
    <x v="0"/>
    <x v="2"/>
    <x v="0"/>
    <x v="0"/>
    <x v="10"/>
    <n v="29"/>
    <x v="1"/>
    <x v="1"/>
  </r>
  <r>
    <n v="51427"/>
    <x v="0"/>
    <x v="0"/>
    <n v="65095"/>
    <n v="4"/>
    <x v="2"/>
    <x v="2"/>
    <x v="1"/>
    <x v="3"/>
    <x v="11"/>
    <n v="38"/>
    <x v="0"/>
    <x v="1"/>
  </r>
  <r>
    <n v="89579"/>
    <x v="1"/>
    <x v="1"/>
    <n v="34270"/>
    <n v="1"/>
    <x v="1"/>
    <x v="3"/>
    <x v="0"/>
    <x v="4"/>
    <x v="3"/>
    <n v="56"/>
    <x v="2"/>
    <x v="0"/>
  </r>
  <r>
    <n v="38746"/>
    <x v="1"/>
    <x v="0"/>
    <n v="50908"/>
    <n v="4"/>
    <x v="3"/>
    <x v="3"/>
    <x v="0"/>
    <x v="3"/>
    <x v="5"/>
    <n v="26"/>
    <x v="1"/>
    <x v="0"/>
  </r>
  <r>
    <n v="97886"/>
    <x v="1"/>
    <x v="1"/>
    <n v="35523"/>
    <n v="0"/>
    <x v="2"/>
    <x v="1"/>
    <x v="0"/>
    <x v="2"/>
    <x v="13"/>
    <n v="65"/>
    <x v="2"/>
    <x v="0"/>
  </r>
  <r>
    <n v="10117"/>
    <x v="1"/>
    <x v="0"/>
    <n v="82433"/>
    <n v="3"/>
    <x v="3"/>
    <x v="0"/>
    <x v="1"/>
    <x v="3"/>
    <x v="7"/>
    <n v="54"/>
    <x v="0"/>
    <x v="0"/>
  </r>
  <r>
    <n v="94471"/>
    <x v="0"/>
    <x v="0"/>
    <n v="67068"/>
    <n v="3"/>
    <x v="3"/>
    <x v="3"/>
    <x v="1"/>
    <x v="4"/>
    <x v="4"/>
    <n v="64"/>
    <x v="2"/>
    <x v="1"/>
  </r>
  <r>
    <n v="23234"/>
    <x v="0"/>
    <x v="0"/>
    <n v="39991"/>
    <n v="5"/>
    <x v="2"/>
    <x v="1"/>
    <x v="0"/>
    <x v="0"/>
    <x v="11"/>
    <n v="32"/>
    <x v="0"/>
    <x v="0"/>
  </r>
  <r>
    <n v="63441"/>
    <x v="1"/>
    <x v="1"/>
    <n v="30775"/>
    <n v="2"/>
    <x v="1"/>
    <x v="3"/>
    <x v="0"/>
    <x v="1"/>
    <x v="6"/>
    <n v="29"/>
    <x v="1"/>
    <x v="0"/>
  </r>
  <r>
    <n v="10846"/>
    <x v="0"/>
    <x v="1"/>
    <n v="97801"/>
    <n v="3"/>
    <x v="3"/>
    <x v="2"/>
    <x v="0"/>
    <x v="2"/>
    <x v="9"/>
    <n v="21"/>
    <x v="1"/>
    <x v="1"/>
  </r>
  <r>
    <n v="20954"/>
    <x v="1"/>
    <x v="0"/>
    <n v="104995"/>
    <n v="0"/>
    <x v="2"/>
    <x v="3"/>
    <x v="1"/>
    <x v="4"/>
    <x v="9"/>
    <n v="25"/>
    <x v="1"/>
    <x v="1"/>
  </r>
  <r>
    <n v="89239"/>
    <x v="1"/>
    <x v="0"/>
    <n v="81250"/>
    <n v="2"/>
    <x v="0"/>
    <x v="0"/>
    <x v="1"/>
    <x v="2"/>
    <x v="4"/>
    <n v="27"/>
    <x v="1"/>
    <x v="1"/>
  </r>
  <r>
    <n v="56514"/>
    <x v="0"/>
    <x v="0"/>
    <n v="36673"/>
    <n v="1"/>
    <x v="0"/>
    <x v="3"/>
    <x v="1"/>
    <x v="3"/>
    <x v="1"/>
    <n v="55"/>
    <x v="2"/>
    <x v="0"/>
  </r>
  <r>
    <n v="98236"/>
    <x v="1"/>
    <x v="1"/>
    <n v="47056"/>
    <n v="3"/>
    <x v="0"/>
    <x v="0"/>
    <x v="0"/>
    <x v="2"/>
    <x v="3"/>
    <n v="44"/>
    <x v="0"/>
    <x v="1"/>
  </r>
  <r>
    <n v="16469"/>
    <x v="1"/>
    <x v="1"/>
    <n v="26614"/>
    <n v="2"/>
    <x v="2"/>
    <x v="2"/>
    <x v="0"/>
    <x v="4"/>
    <x v="8"/>
    <n v="63"/>
    <x v="2"/>
    <x v="0"/>
  </r>
  <r>
    <n v="40105"/>
    <x v="1"/>
    <x v="1"/>
    <n v="27415"/>
    <n v="0"/>
    <x v="0"/>
    <x v="0"/>
    <x v="0"/>
    <x v="1"/>
    <x v="9"/>
    <n v="66"/>
    <x v="2"/>
    <x v="1"/>
  </r>
  <r>
    <n v="52101"/>
    <x v="0"/>
    <x v="1"/>
    <n v="108691"/>
    <n v="5"/>
    <x v="3"/>
    <x v="3"/>
    <x v="0"/>
    <x v="1"/>
    <x v="10"/>
    <n v="59"/>
    <x v="2"/>
    <x v="1"/>
  </r>
  <r>
    <n v="74323"/>
    <x v="0"/>
    <x v="0"/>
    <n v="63884"/>
    <n v="4"/>
    <x v="0"/>
    <x v="1"/>
    <x v="0"/>
    <x v="2"/>
    <x v="13"/>
    <n v="26"/>
    <x v="1"/>
    <x v="1"/>
  </r>
  <r>
    <n v="68067"/>
    <x v="0"/>
    <x v="0"/>
    <n v="36964"/>
    <n v="4"/>
    <x v="0"/>
    <x v="2"/>
    <x v="1"/>
    <x v="0"/>
    <x v="11"/>
    <n v="65"/>
    <x v="2"/>
    <x v="1"/>
  </r>
  <r>
    <n v="59376"/>
    <x v="0"/>
    <x v="1"/>
    <n v="57726"/>
    <n v="0"/>
    <x v="3"/>
    <x v="3"/>
    <x v="0"/>
    <x v="2"/>
    <x v="11"/>
    <n v="42"/>
    <x v="0"/>
    <x v="1"/>
  </r>
  <r>
    <n v="55587"/>
    <x v="0"/>
    <x v="1"/>
    <n v="57044"/>
    <n v="0"/>
    <x v="0"/>
    <x v="2"/>
    <x v="0"/>
    <x v="3"/>
    <x v="14"/>
    <n v="38"/>
    <x v="0"/>
    <x v="1"/>
  </r>
  <r>
    <n v="46976"/>
    <x v="1"/>
    <x v="0"/>
    <n v="77149"/>
    <n v="4"/>
    <x v="3"/>
    <x v="2"/>
    <x v="0"/>
    <x v="1"/>
    <x v="13"/>
    <n v="65"/>
    <x v="2"/>
    <x v="1"/>
  </r>
  <r>
    <n v="77584"/>
    <x v="0"/>
    <x v="1"/>
    <n v="57544"/>
    <n v="5"/>
    <x v="0"/>
    <x v="3"/>
    <x v="1"/>
    <x v="1"/>
    <x v="9"/>
    <n v="41"/>
    <x v="0"/>
    <x v="1"/>
  </r>
  <r>
    <n v="88477"/>
    <x v="1"/>
    <x v="1"/>
    <n v="69976"/>
    <n v="2"/>
    <x v="3"/>
    <x v="3"/>
    <x v="0"/>
    <x v="1"/>
    <x v="15"/>
    <n v="32"/>
    <x v="0"/>
    <x v="1"/>
  </r>
  <r>
    <n v="52533"/>
    <x v="1"/>
    <x v="1"/>
    <n v="52252"/>
    <n v="4"/>
    <x v="0"/>
    <x v="1"/>
    <x v="1"/>
    <x v="0"/>
    <x v="6"/>
    <n v="40"/>
    <x v="0"/>
    <x v="0"/>
  </r>
  <r>
    <n v="11828"/>
    <x v="1"/>
    <x v="1"/>
    <n v="23832"/>
    <n v="0"/>
    <x v="3"/>
    <x v="2"/>
    <x v="1"/>
    <x v="0"/>
    <x v="0"/>
    <n v="20"/>
    <x v="1"/>
    <x v="0"/>
  </r>
  <r>
    <n v="11917"/>
    <x v="0"/>
    <x v="1"/>
    <n v="110811"/>
    <n v="3"/>
    <x v="2"/>
    <x v="2"/>
    <x v="1"/>
    <x v="4"/>
    <x v="13"/>
    <n v="38"/>
    <x v="0"/>
    <x v="0"/>
  </r>
  <r>
    <n v="30618"/>
    <x v="1"/>
    <x v="1"/>
    <n v="100437"/>
    <n v="1"/>
    <x v="3"/>
    <x v="3"/>
    <x v="1"/>
    <x v="2"/>
    <x v="9"/>
    <n v="52"/>
    <x v="0"/>
    <x v="1"/>
  </r>
  <r>
    <n v="42254"/>
    <x v="0"/>
    <x v="0"/>
    <n v="54148"/>
    <n v="5"/>
    <x v="0"/>
    <x v="0"/>
    <x v="1"/>
    <x v="2"/>
    <x v="3"/>
    <n v="23"/>
    <x v="1"/>
    <x v="1"/>
  </r>
  <r>
    <n v="57362"/>
    <x v="0"/>
    <x v="1"/>
    <n v="81240"/>
    <n v="5"/>
    <x v="0"/>
    <x v="3"/>
    <x v="0"/>
    <x v="3"/>
    <x v="12"/>
    <n v="61"/>
    <x v="2"/>
    <x v="1"/>
  </r>
  <r>
    <n v="30128"/>
    <x v="1"/>
    <x v="1"/>
    <n v="108454"/>
    <n v="3"/>
    <x v="1"/>
    <x v="2"/>
    <x v="0"/>
    <x v="1"/>
    <x v="0"/>
    <n v="22"/>
    <x v="1"/>
    <x v="0"/>
  </r>
  <r>
    <n v="69383"/>
    <x v="0"/>
    <x v="0"/>
    <n v="105076"/>
    <n v="3"/>
    <x v="3"/>
    <x v="3"/>
    <x v="1"/>
    <x v="0"/>
    <x v="11"/>
    <n v="46"/>
    <x v="0"/>
    <x v="0"/>
  </r>
  <r>
    <n v="92180"/>
    <x v="1"/>
    <x v="0"/>
    <n v="73459"/>
    <n v="4"/>
    <x v="3"/>
    <x v="0"/>
    <x v="1"/>
    <x v="3"/>
    <x v="14"/>
    <n v="54"/>
    <x v="0"/>
    <x v="0"/>
  </r>
  <r>
    <n v="97958"/>
    <x v="0"/>
    <x v="1"/>
    <n v="58402"/>
    <n v="2"/>
    <x v="3"/>
    <x v="3"/>
    <x v="0"/>
    <x v="0"/>
    <x v="4"/>
    <n v="47"/>
    <x v="0"/>
    <x v="0"/>
  </r>
  <r>
    <n v="19865"/>
    <x v="0"/>
    <x v="0"/>
    <n v="77727"/>
    <n v="5"/>
    <x v="2"/>
    <x v="1"/>
    <x v="0"/>
    <x v="2"/>
    <x v="8"/>
    <n v="25"/>
    <x v="1"/>
    <x v="1"/>
  </r>
  <r>
    <n v="12219"/>
    <x v="0"/>
    <x v="1"/>
    <n v="58578"/>
    <n v="5"/>
    <x v="3"/>
    <x v="2"/>
    <x v="1"/>
    <x v="1"/>
    <x v="11"/>
    <n v="25"/>
    <x v="1"/>
    <x v="1"/>
  </r>
  <r>
    <n v="49809"/>
    <x v="1"/>
    <x v="1"/>
    <n v="110453"/>
    <n v="3"/>
    <x v="2"/>
    <x v="3"/>
    <x v="0"/>
    <x v="2"/>
    <x v="1"/>
    <n v="63"/>
    <x v="2"/>
    <x v="0"/>
  </r>
  <r>
    <n v="15287"/>
    <x v="1"/>
    <x v="1"/>
    <n v="42318"/>
    <n v="4"/>
    <x v="2"/>
    <x v="2"/>
    <x v="0"/>
    <x v="3"/>
    <x v="4"/>
    <n v="42"/>
    <x v="0"/>
    <x v="0"/>
  </r>
  <r>
    <n v="44387"/>
    <x v="0"/>
    <x v="0"/>
    <n v="95715"/>
    <n v="5"/>
    <x v="3"/>
    <x v="1"/>
    <x v="1"/>
    <x v="1"/>
    <x v="6"/>
    <n v="52"/>
    <x v="0"/>
    <x v="1"/>
  </r>
  <r>
    <n v="18512"/>
    <x v="0"/>
    <x v="0"/>
    <n v="97787"/>
    <n v="2"/>
    <x v="3"/>
    <x v="2"/>
    <x v="1"/>
    <x v="4"/>
    <x v="8"/>
    <n v="35"/>
    <x v="0"/>
    <x v="1"/>
  </r>
  <r>
    <n v="11342"/>
    <x v="0"/>
    <x v="0"/>
    <n v="105029"/>
    <n v="3"/>
    <x v="0"/>
    <x v="1"/>
    <x v="0"/>
    <x v="3"/>
    <x v="8"/>
    <n v="43"/>
    <x v="0"/>
    <x v="0"/>
  </r>
  <r>
    <n v="73076"/>
    <x v="0"/>
    <x v="0"/>
    <n v="40466"/>
    <n v="2"/>
    <x v="0"/>
    <x v="1"/>
    <x v="0"/>
    <x v="2"/>
    <x v="10"/>
    <n v="24"/>
    <x v="1"/>
    <x v="1"/>
  </r>
  <r>
    <n v="29216"/>
    <x v="1"/>
    <x v="0"/>
    <n v="115742"/>
    <n v="4"/>
    <x v="1"/>
    <x v="1"/>
    <x v="0"/>
    <x v="2"/>
    <x v="9"/>
    <n v="60"/>
    <x v="2"/>
    <x v="0"/>
  </r>
  <r>
    <n v="89767"/>
    <x v="0"/>
    <x v="1"/>
    <n v="65475"/>
    <n v="5"/>
    <x v="1"/>
    <x v="3"/>
    <x v="1"/>
    <x v="2"/>
    <x v="14"/>
    <n v="61"/>
    <x v="2"/>
    <x v="0"/>
  </r>
  <r>
    <n v="36614"/>
    <x v="0"/>
    <x v="1"/>
    <n v="80142"/>
    <n v="1"/>
    <x v="3"/>
    <x v="2"/>
    <x v="1"/>
    <x v="0"/>
    <x v="6"/>
    <n v="32"/>
    <x v="0"/>
    <x v="1"/>
  </r>
  <r>
    <n v="46258"/>
    <x v="1"/>
    <x v="1"/>
    <n v="105160"/>
    <n v="5"/>
    <x v="2"/>
    <x v="2"/>
    <x v="1"/>
    <x v="3"/>
    <x v="5"/>
    <n v="66"/>
    <x v="2"/>
    <x v="1"/>
  </r>
  <r>
    <n v="52078"/>
    <x v="1"/>
    <x v="1"/>
    <n v="46564"/>
    <n v="4"/>
    <x v="1"/>
    <x v="0"/>
    <x v="0"/>
    <x v="1"/>
    <x v="2"/>
    <n v="31"/>
    <x v="0"/>
    <x v="0"/>
  </r>
  <r>
    <n v="93524"/>
    <x v="1"/>
    <x v="0"/>
    <n v="42412"/>
    <n v="5"/>
    <x v="3"/>
    <x v="0"/>
    <x v="0"/>
    <x v="2"/>
    <x v="11"/>
    <n v="24"/>
    <x v="1"/>
    <x v="1"/>
  </r>
  <r>
    <n v="22219"/>
    <x v="0"/>
    <x v="0"/>
    <n v="113526"/>
    <n v="5"/>
    <x v="1"/>
    <x v="0"/>
    <x v="1"/>
    <x v="2"/>
    <x v="12"/>
    <n v="56"/>
    <x v="2"/>
    <x v="1"/>
  </r>
  <r>
    <n v="10235"/>
    <x v="0"/>
    <x v="1"/>
    <n v="71001"/>
    <n v="0"/>
    <x v="2"/>
    <x v="0"/>
    <x v="0"/>
    <x v="0"/>
    <x v="10"/>
    <n v="50"/>
    <x v="0"/>
    <x v="0"/>
  </r>
  <r>
    <n v="52929"/>
    <x v="0"/>
    <x v="0"/>
    <n v="77649"/>
    <n v="5"/>
    <x v="3"/>
    <x v="2"/>
    <x v="1"/>
    <x v="1"/>
    <x v="11"/>
    <n v="47"/>
    <x v="0"/>
    <x v="1"/>
  </r>
  <r>
    <n v="77444"/>
    <x v="0"/>
    <x v="0"/>
    <n v="80957"/>
    <n v="5"/>
    <x v="2"/>
    <x v="1"/>
    <x v="0"/>
    <x v="3"/>
    <x v="2"/>
    <n v="47"/>
    <x v="0"/>
    <x v="1"/>
  </r>
  <r>
    <n v="18567"/>
    <x v="1"/>
    <x v="1"/>
    <n v="55517"/>
    <n v="2"/>
    <x v="3"/>
    <x v="1"/>
    <x v="1"/>
    <x v="4"/>
    <x v="8"/>
    <n v="49"/>
    <x v="0"/>
    <x v="1"/>
  </r>
  <r>
    <n v="80792"/>
    <x v="1"/>
    <x v="1"/>
    <n v="33156"/>
    <n v="1"/>
    <x v="1"/>
    <x v="3"/>
    <x v="0"/>
    <x v="0"/>
    <x v="6"/>
    <n v="37"/>
    <x v="0"/>
    <x v="0"/>
  </r>
  <r>
    <n v="75441"/>
    <x v="1"/>
    <x v="0"/>
    <n v="43064"/>
    <n v="2"/>
    <x v="0"/>
    <x v="1"/>
    <x v="0"/>
    <x v="3"/>
    <x v="0"/>
    <n v="63"/>
    <x v="2"/>
    <x v="1"/>
  </r>
  <r>
    <n v="94555"/>
    <x v="1"/>
    <x v="0"/>
    <n v="45711"/>
    <n v="2"/>
    <x v="1"/>
    <x v="2"/>
    <x v="1"/>
    <x v="4"/>
    <x v="14"/>
    <n v="46"/>
    <x v="0"/>
    <x v="0"/>
  </r>
  <r>
    <n v="83698"/>
    <x v="0"/>
    <x v="1"/>
    <n v="50106"/>
    <n v="3"/>
    <x v="1"/>
    <x v="2"/>
    <x v="1"/>
    <x v="2"/>
    <x v="8"/>
    <n v="54"/>
    <x v="0"/>
    <x v="0"/>
  </r>
  <r>
    <n v="15415"/>
    <x v="1"/>
    <x v="1"/>
    <n v="85458"/>
    <n v="0"/>
    <x v="0"/>
    <x v="2"/>
    <x v="1"/>
    <x v="2"/>
    <x v="8"/>
    <n v="45"/>
    <x v="0"/>
    <x v="1"/>
  </r>
  <r>
    <n v="46159"/>
    <x v="0"/>
    <x v="1"/>
    <n v="36589"/>
    <n v="2"/>
    <x v="0"/>
    <x v="3"/>
    <x v="1"/>
    <x v="1"/>
    <x v="1"/>
    <n v="58"/>
    <x v="2"/>
    <x v="1"/>
  </r>
  <r>
    <n v="53925"/>
    <x v="0"/>
    <x v="0"/>
    <n v="109272"/>
    <n v="4"/>
    <x v="3"/>
    <x v="0"/>
    <x v="1"/>
    <x v="4"/>
    <x v="3"/>
    <n v="68"/>
    <x v="2"/>
    <x v="1"/>
  </r>
  <r>
    <n v="15951"/>
    <x v="0"/>
    <x v="1"/>
    <n v="106511"/>
    <n v="4"/>
    <x v="3"/>
    <x v="1"/>
    <x v="0"/>
    <x v="2"/>
    <x v="4"/>
    <n v="37"/>
    <x v="0"/>
    <x v="0"/>
  </r>
  <r>
    <n v="97388"/>
    <x v="0"/>
    <x v="1"/>
    <n v="27214"/>
    <n v="5"/>
    <x v="2"/>
    <x v="2"/>
    <x v="1"/>
    <x v="2"/>
    <x v="4"/>
    <n v="52"/>
    <x v="0"/>
    <x v="0"/>
  </r>
  <r>
    <n v="18007"/>
    <x v="0"/>
    <x v="0"/>
    <n v="116117"/>
    <n v="3"/>
    <x v="2"/>
    <x v="2"/>
    <x v="1"/>
    <x v="1"/>
    <x v="14"/>
    <n v="44"/>
    <x v="0"/>
    <x v="0"/>
  </r>
  <r>
    <n v="51832"/>
    <x v="1"/>
    <x v="0"/>
    <n v="105731"/>
    <n v="0"/>
    <x v="1"/>
    <x v="0"/>
    <x v="1"/>
    <x v="3"/>
    <x v="15"/>
    <n v="50"/>
    <x v="0"/>
    <x v="1"/>
  </r>
  <r>
    <n v="68596"/>
    <x v="0"/>
    <x v="0"/>
    <n v="47127"/>
    <n v="0"/>
    <x v="0"/>
    <x v="2"/>
    <x v="1"/>
    <x v="2"/>
    <x v="0"/>
    <n v="56"/>
    <x v="2"/>
    <x v="0"/>
  </r>
  <r>
    <n v="40523"/>
    <x v="0"/>
    <x v="0"/>
    <n v="25141"/>
    <n v="5"/>
    <x v="2"/>
    <x v="1"/>
    <x v="1"/>
    <x v="0"/>
    <x v="0"/>
    <n v="21"/>
    <x v="1"/>
    <x v="1"/>
  </r>
  <r>
    <n v="98861"/>
    <x v="0"/>
    <x v="0"/>
    <n v="48884"/>
    <n v="4"/>
    <x v="1"/>
    <x v="3"/>
    <x v="0"/>
    <x v="0"/>
    <x v="4"/>
    <n v="52"/>
    <x v="0"/>
    <x v="0"/>
  </r>
  <r>
    <n v="96740"/>
    <x v="1"/>
    <x v="1"/>
    <n v="110421"/>
    <n v="1"/>
    <x v="0"/>
    <x v="2"/>
    <x v="1"/>
    <x v="3"/>
    <x v="8"/>
    <n v="58"/>
    <x v="2"/>
    <x v="0"/>
  </r>
  <r>
    <n v="25524"/>
    <x v="1"/>
    <x v="1"/>
    <n v="22708"/>
    <n v="3"/>
    <x v="3"/>
    <x v="1"/>
    <x v="1"/>
    <x v="4"/>
    <x v="2"/>
    <n v="62"/>
    <x v="2"/>
    <x v="1"/>
  </r>
  <r>
    <n v="29282"/>
    <x v="1"/>
    <x v="0"/>
    <n v="38375"/>
    <n v="5"/>
    <x v="1"/>
    <x v="2"/>
    <x v="1"/>
    <x v="1"/>
    <x v="14"/>
    <n v="62"/>
    <x v="2"/>
    <x v="1"/>
  </r>
  <r>
    <n v="33930"/>
    <x v="0"/>
    <x v="0"/>
    <n v="35088"/>
    <n v="3"/>
    <x v="3"/>
    <x v="0"/>
    <x v="0"/>
    <x v="0"/>
    <x v="14"/>
    <n v="51"/>
    <x v="0"/>
    <x v="0"/>
  </r>
  <r>
    <n v="10077"/>
    <x v="1"/>
    <x v="0"/>
    <n v="77615"/>
    <n v="4"/>
    <x v="2"/>
    <x v="2"/>
    <x v="0"/>
    <x v="0"/>
    <x v="6"/>
    <n v="37"/>
    <x v="0"/>
    <x v="0"/>
  </r>
  <r>
    <n v="30611"/>
    <x v="0"/>
    <x v="0"/>
    <n v="65046"/>
    <n v="4"/>
    <x v="2"/>
    <x v="2"/>
    <x v="1"/>
    <x v="3"/>
    <x v="13"/>
    <n v="36"/>
    <x v="0"/>
    <x v="1"/>
  </r>
  <r>
    <n v="26984"/>
    <x v="1"/>
    <x v="0"/>
    <n v="30014"/>
    <n v="1"/>
    <x v="0"/>
    <x v="3"/>
    <x v="1"/>
    <x v="4"/>
    <x v="13"/>
    <n v="53"/>
    <x v="0"/>
    <x v="1"/>
  </r>
  <r>
    <n v="24060"/>
    <x v="1"/>
    <x v="1"/>
    <n v="84425"/>
    <n v="1"/>
    <x v="1"/>
    <x v="0"/>
    <x v="0"/>
    <x v="4"/>
    <x v="6"/>
    <n v="58"/>
    <x v="2"/>
    <x v="0"/>
  </r>
  <r>
    <n v="92985"/>
    <x v="0"/>
    <x v="1"/>
    <n v="23273"/>
    <n v="0"/>
    <x v="3"/>
    <x v="0"/>
    <x v="0"/>
    <x v="3"/>
    <x v="7"/>
    <n v="26"/>
    <x v="1"/>
    <x v="1"/>
  </r>
  <r>
    <n v="94056"/>
    <x v="0"/>
    <x v="1"/>
    <n v="67135"/>
    <n v="3"/>
    <x v="0"/>
    <x v="3"/>
    <x v="0"/>
    <x v="0"/>
    <x v="6"/>
    <n v="61"/>
    <x v="2"/>
    <x v="1"/>
  </r>
  <r>
    <n v="53303"/>
    <x v="0"/>
    <x v="1"/>
    <n v="50881"/>
    <n v="3"/>
    <x v="2"/>
    <x v="2"/>
    <x v="1"/>
    <x v="1"/>
    <x v="9"/>
    <n v="54"/>
    <x v="0"/>
    <x v="1"/>
  </r>
  <r>
    <n v="69207"/>
    <x v="0"/>
    <x v="0"/>
    <n v="117022"/>
    <n v="4"/>
    <x v="2"/>
    <x v="1"/>
    <x v="1"/>
    <x v="0"/>
    <x v="13"/>
    <n v="49"/>
    <x v="0"/>
    <x v="1"/>
  </r>
  <r>
    <n v="85046"/>
    <x v="0"/>
    <x v="1"/>
    <n v="98077"/>
    <n v="0"/>
    <x v="1"/>
    <x v="0"/>
    <x v="0"/>
    <x v="4"/>
    <x v="15"/>
    <n v="31"/>
    <x v="0"/>
    <x v="0"/>
  </r>
  <r>
    <n v="39287"/>
    <x v="1"/>
    <x v="0"/>
    <n v="28712"/>
    <n v="5"/>
    <x v="3"/>
    <x v="0"/>
    <x v="1"/>
    <x v="0"/>
    <x v="14"/>
    <n v="54"/>
    <x v="0"/>
    <x v="0"/>
  </r>
  <r>
    <n v="49711"/>
    <x v="0"/>
    <x v="0"/>
    <n v="94704"/>
    <n v="3"/>
    <x v="1"/>
    <x v="2"/>
    <x v="0"/>
    <x v="1"/>
    <x v="12"/>
    <n v="30"/>
    <x v="1"/>
    <x v="0"/>
  </r>
  <r>
    <n v="21954"/>
    <x v="0"/>
    <x v="0"/>
    <n v="72874"/>
    <n v="0"/>
    <x v="3"/>
    <x v="2"/>
    <x v="0"/>
    <x v="2"/>
    <x v="15"/>
    <n v="63"/>
    <x v="2"/>
    <x v="1"/>
  </r>
  <r>
    <n v="83340"/>
    <x v="0"/>
    <x v="1"/>
    <n v="89087"/>
    <n v="0"/>
    <x v="3"/>
    <x v="0"/>
    <x v="0"/>
    <x v="0"/>
    <x v="10"/>
    <n v="23"/>
    <x v="1"/>
    <x v="0"/>
  </r>
  <r>
    <n v="82101"/>
    <x v="0"/>
    <x v="0"/>
    <n v="32297"/>
    <n v="4"/>
    <x v="1"/>
    <x v="2"/>
    <x v="1"/>
    <x v="3"/>
    <x v="14"/>
    <n v="44"/>
    <x v="0"/>
    <x v="0"/>
  </r>
  <r>
    <n v="81520"/>
    <x v="1"/>
    <x v="1"/>
    <n v="47128"/>
    <n v="0"/>
    <x v="0"/>
    <x v="1"/>
    <x v="0"/>
    <x v="2"/>
    <x v="8"/>
    <n v="67"/>
    <x v="2"/>
    <x v="1"/>
  </r>
  <r>
    <n v="97062"/>
    <x v="0"/>
    <x v="1"/>
    <n v="88368"/>
    <n v="1"/>
    <x v="1"/>
    <x v="0"/>
    <x v="0"/>
    <x v="3"/>
    <x v="12"/>
    <n v="51"/>
    <x v="0"/>
    <x v="0"/>
  </r>
  <r>
    <n v="28574"/>
    <x v="1"/>
    <x v="0"/>
    <n v="114019"/>
    <n v="1"/>
    <x v="1"/>
    <x v="1"/>
    <x v="1"/>
    <x v="3"/>
    <x v="6"/>
    <n v="39"/>
    <x v="0"/>
    <x v="1"/>
  </r>
  <r>
    <n v="19184"/>
    <x v="1"/>
    <x v="0"/>
    <n v="107599"/>
    <n v="2"/>
    <x v="2"/>
    <x v="1"/>
    <x v="0"/>
    <x v="3"/>
    <x v="9"/>
    <n v="69"/>
    <x v="2"/>
    <x v="0"/>
  </r>
  <r>
    <n v="29096"/>
    <x v="1"/>
    <x v="0"/>
    <n v="108499"/>
    <n v="4"/>
    <x v="2"/>
    <x v="2"/>
    <x v="1"/>
    <x v="0"/>
    <x v="2"/>
    <n v="50"/>
    <x v="0"/>
    <x v="1"/>
  </r>
  <r>
    <n v="77728"/>
    <x v="1"/>
    <x v="1"/>
    <n v="98958"/>
    <n v="5"/>
    <x v="1"/>
    <x v="1"/>
    <x v="0"/>
    <x v="4"/>
    <x v="12"/>
    <n v="23"/>
    <x v="1"/>
    <x v="0"/>
  </r>
  <r>
    <n v="44016"/>
    <x v="0"/>
    <x v="0"/>
    <n v="52920"/>
    <n v="2"/>
    <x v="1"/>
    <x v="2"/>
    <x v="1"/>
    <x v="2"/>
    <x v="3"/>
    <n v="57"/>
    <x v="2"/>
    <x v="1"/>
  </r>
  <r>
    <m/>
    <x v="2"/>
    <x v="2"/>
    <m/>
    <m/>
    <x v="4"/>
    <x v="4"/>
    <x v="2"/>
    <x v="5"/>
    <x v="16"/>
    <m/>
    <x v="3"/>
    <x v="2"/>
  </r>
  <r>
    <m/>
    <x v="2"/>
    <x v="2"/>
    <m/>
    <m/>
    <x v="4"/>
    <x v="4"/>
    <x v="2"/>
    <x v="5"/>
    <x v="16"/>
    <m/>
    <x v="3"/>
    <x v="2"/>
  </r>
  <r>
    <m/>
    <x v="2"/>
    <x v="2"/>
    <m/>
    <m/>
    <x v="4"/>
    <x v="4"/>
    <x v="2"/>
    <x v="5"/>
    <x v="16"/>
    <m/>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2"/>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0"/>
    <x v="0"/>
  </r>
  <r>
    <n v="27184"/>
    <x v="1"/>
    <x v="1"/>
    <n v="40000"/>
    <n v="2"/>
    <x v="1"/>
    <s v="Clerical"/>
    <s v="No"/>
    <n v="1"/>
    <x v="0"/>
    <x v="0"/>
    <x v="17"/>
    <x v="2"/>
    <x v="0"/>
  </r>
  <r>
    <n v="12590"/>
    <x v="1"/>
    <x v="1"/>
    <n v="30000"/>
    <n v="1"/>
    <x v="0"/>
    <s v="Clerical"/>
    <s v="Yes"/>
    <n v="0"/>
    <x v="0"/>
    <x v="0"/>
    <x v="18"/>
    <x v="2"/>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1"/>
    <x v="0"/>
  </r>
  <r>
    <n v="16466"/>
    <x v="1"/>
    <x v="0"/>
    <n v="20000"/>
    <n v="0"/>
    <x v="3"/>
    <s v="Manual"/>
    <s v="No"/>
    <n v="2"/>
    <x v="0"/>
    <x v="0"/>
    <x v="21"/>
    <x v="0"/>
    <x v="1"/>
  </r>
  <r>
    <n v="19273"/>
    <x v="0"/>
    <x v="0"/>
    <n v="20000"/>
    <n v="2"/>
    <x v="1"/>
    <s v="Manual"/>
    <s v="Yes"/>
    <n v="0"/>
    <x v="0"/>
    <x v="0"/>
    <x v="18"/>
    <x v="0"/>
    <x v="0"/>
  </r>
  <r>
    <n v="22400"/>
    <x v="0"/>
    <x v="1"/>
    <n v="10000"/>
    <n v="0"/>
    <x v="1"/>
    <s v="Manual"/>
    <s v="No"/>
    <n v="1"/>
    <x v="0"/>
    <x v="1"/>
    <x v="22"/>
    <x v="0"/>
    <x v="1"/>
  </r>
  <r>
    <n v="20942"/>
    <x v="1"/>
    <x v="0"/>
    <n v="20000"/>
    <n v="0"/>
    <x v="2"/>
    <s v="Manual"/>
    <s v="No"/>
    <n v="1"/>
    <x v="2"/>
    <x v="0"/>
    <x v="23"/>
    <x v="1"/>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3"/>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2"/>
    <x v="0"/>
  </r>
  <r>
    <n v="14927"/>
    <x v="0"/>
    <x v="0"/>
    <n v="30000"/>
    <n v="1"/>
    <x v="0"/>
    <s v="Clerical"/>
    <s v="Yes"/>
    <n v="0"/>
    <x v="0"/>
    <x v="0"/>
    <x v="34"/>
    <x v="2"/>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2"/>
    <x v="0"/>
  </r>
  <r>
    <n v="26956"/>
    <x v="1"/>
    <x v="0"/>
    <n v="20000"/>
    <n v="0"/>
    <x v="1"/>
    <s v="Manual"/>
    <s v="No"/>
    <n v="1"/>
    <x v="1"/>
    <x v="0"/>
    <x v="4"/>
    <x v="0"/>
    <x v="1"/>
  </r>
  <r>
    <n v="14517"/>
    <x v="0"/>
    <x v="0"/>
    <n v="20000"/>
    <n v="3"/>
    <x v="2"/>
    <s v="Skilled Manual"/>
    <s v="No"/>
    <n v="2"/>
    <x v="3"/>
    <x v="1"/>
    <x v="24"/>
    <x v="0"/>
    <x v="0"/>
  </r>
  <r>
    <n v="12678"/>
    <x v="1"/>
    <x v="0"/>
    <n v="130000"/>
    <n v="4"/>
    <x v="2"/>
    <s v="Management"/>
    <s v="Yes"/>
    <n v="4"/>
    <x v="0"/>
    <x v="1"/>
    <x v="23"/>
    <x v="2"/>
    <x v="0"/>
  </r>
  <r>
    <n v="16188"/>
    <x v="1"/>
    <x v="0"/>
    <n v="20000"/>
    <n v="0"/>
    <x v="3"/>
    <s v="Manual"/>
    <s v="No"/>
    <n v="2"/>
    <x v="3"/>
    <x v="0"/>
    <x v="22"/>
    <x v="0"/>
    <x v="0"/>
  </r>
  <r>
    <n v="27969"/>
    <x v="0"/>
    <x v="1"/>
    <n v="80000"/>
    <n v="0"/>
    <x v="0"/>
    <s v="Professional"/>
    <s v="Yes"/>
    <n v="2"/>
    <x v="4"/>
    <x v="1"/>
    <x v="19"/>
    <x v="3"/>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0"/>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0"/>
    <x v="1"/>
  </r>
  <r>
    <n v="16514"/>
    <x v="1"/>
    <x v="1"/>
    <n v="10000"/>
    <n v="0"/>
    <x v="1"/>
    <s v="Manual"/>
    <s v="Yes"/>
    <n v="1"/>
    <x v="3"/>
    <x v="1"/>
    <x v="22"/>
    <x v="3"/>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2"/>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2"/>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1"/>
    <x v="0"/>
  </r>
  <r>
    <n v="12716"/>
    <x v="1"/>
    <x v="1"/>
    <n v="30000"/>
    <n v="0"/>
    <x v="1"/>
    <s v="Clerical"/>
    <s v="Yes"/>
    <n v="1"/>
    <x v="1"/>
    <x v="0"/>
    <x v="21"/>
    <x v="1"/>
    <x v="0"/>
  </r>
  <r>
    <n v="12472"/>
    <x v="0"/>
    <x v="1"/>
    <n v="30000"/>
    <n v="1"/>
    <x v="0"/>
    <s v="Clerical"/>
    <s v="Yes"/>
    <n v="1"/>
    <x v="1"/>
    <x v="0"/>
    <x v="32"/>
    <x v="0"/>
    <x v="0"/>
  </r>
  <r>
    <n v="20970"/>
    <x v="1"/>
    <x v="1"/>
    <n v="10000"/>
    <n v="2"/>
    <x v="1"/>
    <s v="Manual"/>
    <s v="Yes"/>
    <n v="1"/>
    <x v="0"/>
    <x v="0"/>
    <x v="31"/>
    <x v="2"/>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1"/>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2"/>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0"/>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1"/>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1"/>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2"/>
    <x v="0"/>
  </r>
  <r>
    <n v="15657"/>
    <x v="0"/>
    <x v="1"/>
    <n v="30000"/>
    <n v="3"/>
    <x v="4"/>
    <s v="Clerical"/>
    <s v="Yes"/>
    <n v="0"/>
    <x v="0"/>
    <x v="0"/>
    <x v="30"/>
    <x v="0"/>
    <x v="1"/>
  </r>
  <r>
    <n v="11415"/>
    <x v="1"/>
    <x v="1"/>
    <n v="90000"/>
    <n v="5"/>
    <x v="1"/>
    <s v="Professional"/>
    <s v="No"/>
    <n v="2"/>
    <x v="4"/>
    <x v="0"/>
    <x v="24"/>
    <x v="2"/>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1"/>
    <x v="0"/>
  </r>
  <r>
    <n v="13673"/>
    <x v="1"/>
    <x v="0"/>
    <n v="20000"/>
    <n v="0"/>
    <x v="3"/>
    <s v="Manual"/>
    <s v="No"/>
    <n v="2"/>
    <x v="0"/>
    <x v="0"/>
    <x v="37"/>
    <x v="1"/>
    <x v="0"/>
  </r>
  <r>
    <n v="16043"/>
    <x v="1"/>
    <x v="1"/>
    <n v="10000"/>
    <n v="1"/>
    <x v="0"/>
    <s v="Manual"/>
    <s v="Yes"/>
    <n v="0"/>
    <x v="0"/>
    <x v="0"/>
    <x v="28"/>
    <x v="0"/>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1"/>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2"/>
    <x v="0"/>
  </r>
  <r>
    <n v="28915"/>
    <x v="1"/>
    <x v="1"/>
    <n v="80000"/>
    <n v="5"/>
    <x v="2"/>
    <s v="Management"/>
    <s v="Yes"/>
    <n v="3"/>
    <x v="4"/>
    <x v="0"/>
    <x v="42"/>
    <x v="0"/>
    <x v="0"/>
  </r>
  <r>
    <n v="22830"/>
    <x v="0"/>
    <x v="1"/>
    <n v="120000"/>
    <n v="4"/>
    <x v="1"/>
    <s v="Management"/>
    <s v="Yes"/>
    <n v="3"/>
    <x v="4"/>
    <x v="0"/>
    <x v="16"/>
    <x v="2"/>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1"/>
    <x v="1"/>
  </r>
  <r>
    <n v="22006"/>
    <x v="0"/>
    <x v="1"/>
    <n v="70000"/>
    <n v="5"/>
    <x v="1"/>
    <s v="Skilled Manual"/>
    <s v="Yes"/>
    <n v="3"/>
    <x v="2"/>
    <x v="1"/>
    <x v="30"/>
    <x v="1"/>
    <x v="0"/>
  </r>
  <r>
    <n v="20060"/>
    <x v="1"/>
    <x v="0"/>
    <n v="30000"/>
    <n v="0"/>
    <x v="2"/>
    <s v="Manual"/>
    <s v="No"/>
    <n v="1"/>
    <x v="1"/>
    <x v="0"/>
    <x v="17"/>
    <x v="0"/>
    <x v="1"/>
  </r>
  <r>
    <n v="17702"/>
    <x v="0"/>
    <x v="1"/>
    <n v="10000"/>
    <n v="1"/>
    <x v="4"/>
    <s v="Manual"/>
    <s v="Yes"/>
    <n v="0"/>
    <x v="0"/>
    <x v="0"/>
    <x v="34"/>
    <x v="1"/>
    <x v="0"/>
  </r>
  <r>
    <n v="12503"/>
    <x v="1"/>
    <x v="0"/>
    <n v="30000"/>
    <n v="3"/>
    <x v="1"/>
    <s v="Clerical"/>
    <s v="Yes"/>
    <n v="2"/>
    <x v="0"/>
    <x v="0"/>
    <x v="40"/>
    <x v="1"/>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1"/>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2"/>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2"/>
    <x v="0"/>
  </r>
  <r>
    <n v="12705"/>
    <x v="0"/>
    <x v="1"/>
    <n v="150000"/>
    <n v="0"/>
    <x v="0"/>
    <s v="Management"/>
    <s v="Yes"/>
    <n v="4"/>
    <x v="0"/>
    <x v="1"/>
    <x v="34"/>
    <x v="0"/>
    <x v="1"/>
  </r>
  <r>
    <n v="22672"/>
    <x v="1"/>
    <x v="0"/>
    <n v="30000"/>
    <n v="2"/>
    <x v="1"/>
    <s v="Clerical"/>
    <s v="Yes"/>
    <n v="0"/>
    <x v="0"/>
    <x v="0"/>
    <x v="1"/>
    <x v="2"/>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1"/>
    <x v="1"/>
  </r>
  <r>
    <n v="11378"/>
    <x v="1"/>
    <x v="0"/>
    <n v="10000"/>
    <n v="1"/>
    <x v="2"/>
    <s v="Manual"/>
    <s v="No"/>
    <n v="1"/>
    <x v="1"/>
    <x v="0"/>
    <x v="30"/>
    <x v="0"/>
    <x v="1"/>
  </r>
  <r>
    <n v="20851"/>
    <x v="1"/>
    <x v="1"/>
    <n v="20000"/>
    <n v="0"/>
    <x v="1"/>
    <s v="Manual"/>
    <s v="No"/>
    <n v="1"/>
    <x v="1"/>
    <x v="0"/>
    <x v="4"/>
    <x v="1"/>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0"/>
    <x v="0"/>
  </r>
  <r>
    <n v="17926"/>
    <x v="1"/>
    <x v="0"/>
    <n v="40000"/>
    <n v="0"/>
    <x v="0"/>
    <s v="Clerical"/>
    <s v="No"/>
    <n v="0"/>
    <x v="0"/>
    <x v="1"/>
    <x v="26"/>
    <x v="0"/>
    <x v="1"/>
  </r>
  <r>
    <n v="26928"/>
    <x v="1"/>
    <x v="1"/>
    <n v="30000"/>
    <n v="1"/>
    <x v="0"/>
    <s v="Clerical"/>
    <s v="Yes"/>
    <n v="0"/>
    <x v="0"/>
    <x v="0"/>
    <x v="24"/>
    <x v="0"/>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2"/>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2"/>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0"/>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2"/>
    <x v="1"/>
  </r>
  <r>
    <n v="22936"/>
    <x v="1"/>
    <x v="0"/>
    <n v="60000"/>
    <n v="1"/>
    <x v="1"/>
    <s v="Skilled Manual"/>
    <s v="No"/>
    <n v="1"/>
    <x v="0"/>
    <x v="1"/>
    <x v="12"/>
    <x v="0"/>
    <x v="1"/>
  </r>
  <r>
    <n v="23915"/>
    <x v="0"/>
    <x v="1"/>
    <n v="20000"/>
    <n v="2"/>
    <x v="2"/>
    <s v="Manual"/>
    <s v="Yes"/>
    <n v="2"/>
    <x v="0"/>
    <x v="0"/>
    <x v="0"/>
    <x v="2"/>
    <x v="0"/>
  </r>
  <r>
    <n v="24121"/>
    <x v="1"/>
    <x v="0"/>
    <n v="30000"/>
    <n v="0"/>
    <x v="1"/>
    <s v="Clerical"/>
    <s v="No"/>
    <n v="1"/>
    <x v="0"/>
    <x v="0"/>
    <x v="19"/>
    <x v="0"/>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0"/>
    <x v="1"/>
  </r>
  <r>
    <n v="22636"/>
    <x v="1"/>
    <x v="0"/>
    <n v="40000"/>
    <n v="0"/>
    <x v="0"/>
    <s v="Clerical"/>
    <s v="No"/>
    <n v="0"/>
    <x v="0"/>
    <x v="0"/>
    <x v="13"/>
    <x v="1"/>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1"/>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2"/>
    <x v="1"/>
  </r>
  <r>
    <n v="19255"/>
    <x v="1"/>
    <x v="1"/>
    <n v="10000"/>
    <n v="2"/>
    <x v="1"/>
    <s v="Manual"/>
    <s v="Yes"/>
    <n v="1"/>
    <x v="0"/>
    <x v="0"/>
    <x v="36"/>
    <x v="0"/>
    <x v="1"/>
  </r>
  <r>
    <n v="18153"/>
    <x v="0"/>
    <x v="0"/>
    <n v="100000"/>
    <n v="2"/>
    <x v="0"/>
    <s v="Management"/>
    <s v="Yes"/>
    <n v="4"/>
    <x v="4"/>
    <x v="0"/>
    <x v="14"/>
    <x v="2"/>
    <x v="0"/>
  </r>
  <r>
    <n v="14547"/>
    <x v="0"/>
    <x v="1"/>
    <n v="10000"/>
    <n v="2"/>
    <x v="1"/>
    <s v="Manual"/>
    <s v="Yes"/>
    <n v="0"/>
    <x v="3"/>
    <x v="0"/>
    <x v="36"/>
    <x v="0"/>
    <x v="0"/>
  </r>
  <r>
    <n v="24901"/>
    <x v="1"/>
    <x v="1"/>
    <n v="110000"/>
    <n v="0"/>
    <x v="1"/>
    <s v="Management"/>
    <s v="No"/>
    <n v="3"/>
    <x v="4"/>
    <x v="1"/>
    <x v="21"/>
    <x v="1"/>
    <x v="1"/>
  </r>
  <r>
    <n v="27169"/>
    <x v="1"/>
    <x v="1"/>
    <n v="30000"/>
    <n v="0"/>
    <x v="2"/>
    <s v="Manual"/>
    <s v="Yes"/>
    <n v="1"/>
    <x v="1"/>
    <x v="0"/>
    <x v="17"/>
    <x v="0"/>
    <x v="1"/>
  </r>
  <r>
    <n v="14805"/>
    <x v="1"/>
    <x v="0"/>
    <n v="10000"/>
    <n v="3"/>
    <x v="3"/>
    <s v="Manual"/>
    <s v="Yes"/>
    <n v="2"/>
    <x v="0"/>
    <x v="0"/>
    <x v="1"/>
    <x v="2"/>
    <x v="0"/>
  </r>
  <r>
    <n v="15822"/>
    <x v="0"/>
    <x v="1"/>
    <n v="40000"/>
    <n v="2"/>
    <x v="0"/>
    <s v="Management"/>
    <s v="Yes"/>
    <n v="2"/>
    <x v="0"/>
    <x v="1"/>
    <x v="41"/>
    <x v="0"/>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1"/>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1"/>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1"/>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2"/>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1"/>
    <x v="1"/>
  </r>
  <r>
    <n v="26575"/>
    <x v="1"/>
    <x v="0"/>
    <n v="40000"/>
    <n v="0"/>
    <x v="2"/>
    <s v="Skilled Manual"/>
    <s v="No"/>
    <n v="2"/>
    <x v="3"/>
    <x v="2"/>
    <x v="23"/>
    <x v="0"/>
    <x v="1"/>
  </r>
  <r>
    <n v="15559"/>
    <x v="0"/>
    <x v="1"/>
    <n v="60000"/>
    <n v="5"/>
    <x v="0"/>
    <s v="Professional"/>
    <s v="Yes"/>
    <n v="1"/>
    <x v="1"/>
    <x v="2"/>
    <x v="15"/>
    <x v="1"/>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1"/>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1"/>
    <x v="0"/>
  </r>
  <r>
    <n v="17269"/>
    <x v="1"/>
    <x v="1"/>
    <n v="60000"/>
    <n v="3"/>
    <x v="0"/>
    <s v="Professional"/>
    <s v="No"/>
    <n v="0"/>
    <x v="0"/>
    <x v="2"/>
    <x v="15"/>
    <x v="2"/>
    <x v="1"/>
  </r>
  <r>
    <n v="23586"/>
    <x v="0"/>
    <x v="0"/>
    <n v="80000"/>
    <n v="0"/>
    <x v="0"/>
    <s v="Management"/>
    <s v="Yes"/>
    <n v="1"/>
    <x v="3"/>
    <x v="2"/>
    <x v="17"/>
    <x v="2"/>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1"/>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2"/>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1"/>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2"/>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2"/>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1"/>
    <x v="0"/>
  </r>
  <r>
    <n v="22994"/>
    <x v="0"/>
    <x v="0"/>
    <n v="80000"/>
    <n v="0"/>
    <x v="0"/>
    <s v="Management"/>
    <s v="Yes"/>
    <n v="1"/>
    <x v="3"/>
    <x v="2"/>
    <x v="17"/>
    <x v="2"/>
    <x v="1"/>
  </r>
  <r>
    <n v="22983"/>
    <x v="1"/>
    <x v="0"/>
    <n v="30000"/>
    <n v="0"/>
    <x v="3"/>
    <s v="Clerical"/>
    <s v="Yes"/>
    <n v="2"/>
    <x v="2"/>
    <x v="2"/>
    <x v="40"/>
    <x v="1"/>
    <x v="0"/>
  </r>
  <r>
    <n v="25184"/>
    <x v="1"/>
    <x v="1"/>
    <n v="110000"/>
    <n v="1"/>
    <x v="1"/>
    <s v="Professional"/>
    <s v="Yes"/>
    <n v="4"/>
    <x v="2"/>
    <x v="2"/>
    <x v="12"/>
    <x v="2"/>
    <x v="1"/>
  </r>
  <r>
    <n v="14469"/>
    <x v="0"/>
    <x v="0"/>
    <n v="100000"/>
    <n v="3"/>
    <x v="1"/>
    <s v="Professional"/>
    <s v="Yes"/>
    <n v="4"/>
    <x v="3"/>
    <x v="2"/>
    <x v="12"/>
    <x v="1"/>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3"/>
    <x v="1"/>
  </r>
  <r>
    <n v="22127"/>
    <x v="0"/>
    <x v="1"/>
    <n v="60000"/>
    <n v="3"/>
    <x v="4"/>
    <s v="Management"/>
    <s v="Yes"/>
    <n v="2"/>
    <x v="3"/>
    <x v="2"/>
    <x v="41"/>
    <x v="1"/>
    <x v="0"/>
  </r>
  <r>
    <n v="20414"/>
    <x v="0"/>
    <x v="0"/>
    <n v="60000"/>
    <n v="0"/>
    <x v="1"/>
    <s v="Skilled Manual"/>
    <s v="Yes"/>
    <n v="2"/>
    <x v="2"/>
    <x v="2"/>
    <x v="19"/>
    <x v="1"/>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0"/>
    <x v="0"/>
  </r>
  <r>
    <n v="25872"/>
    <x v="1"/>
    <x v="0"/>
    <n v="70000"/>
    <n v="2"/>
    <x v="0"/>
    <s v="Management"/>
    <s v="No"/>
    <n v="1"/>
    <x v="1"/>
    <x v="2"/>
    <x v="7"/>
    <x v="2"/>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1"/>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1"/>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2"/>
    <x v="0"/>
  </r>
  <r>
    <n v="21717"/>
    <x v="0"/>
    <x v="1"/>
    <n v="40000"/>
    <n v="2"/>
    <x v="1"/>
    <s v="Clerical"/>
    <s v="Yes"/>
    <n v="1"/>
    <x v="0"/>
    <x v="2"/>
    <x v="15"/>
    <x v="2"/>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2"/>
    <x v="0"/>
  </r>
  <r>
    <n v="29133"/>
    <x v="1"/>
    <x v="0"/>
    <n v="60000"/>
    <n v="4"/>
    <x v="0"/>
    <s v="Skilled Manual"/>
    <s v="No"/>
    <n v="2"/>
    <x v="0"/>
    <x v="2"/>
    <x v="0"/>
    <x v="2"/>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3"/>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1"/>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3"/>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2"/>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1"/>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3"/>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3"/>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1"/>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1"/>
    <x v="0"/>
  </r>
  <r>
    <n v="20076"/>
    <x v="1"/>
    <x v="0"/>
    <n v="10000"/>
    <n v="2"/>
    <x v="2"/>
    <s v="Manual"/>
    <s v="Yes"/>
    <n v="2"/>
    <x v="3"/>
    <x v="2"/>
    <x v="39"/>
    <x v="2"/>
    <x v="1"/>
  </r>
  <r>
    <n v="24496"/>
    <x v="1"/>
    <x v="0"/>
    <n v="40000"/>
    <n v="0"/>
    <x v="2"/>
    <s v="Skilled Manual"/>
    <s v="No"/>
    <n v="2"/>
    <x v="0"/>
    <x v="2"/>
    <x v="26"/>
    <x v="3"/>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1"/>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3"/>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3"/>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2"/>
    <x v="0"/>
  </r>
  <r>
    <n v="23248"/>
    <x v="0"/>
    <x v="0"/>
    <n v="10000"/>
    <n v="2"/>
    <x v="2"/>
    <s v="Manual"/>
    <s v="Yes"/>
    <n v="2"/>
    <x v="3"/>
    <x v="2"/>
    <x v="39"/>
    <x v="2"/>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3"/>
    <x v="0"/>
  </r>
  <r>
    <n v="21660"/>
    <x v="0"/>
    <x v="0"/>
    <n v="60000"/>
    <n v="3"/>
    <x v="4"/>
    <s v="Professional"/>
    <s v="Yes"/>
    <n v="0"/>
    <x v="1"/>
    <x v="2"/>
    <x v="1"/>
    <x v="1"/>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1"/>
    <x v="1"/>
  </r>
  <r>
    <n v="18572"/>
    <x v="0"/>
    <x v="0"/>
    <n v="60000"/>
    <n v="0"/>
    <x v="4"/>
    <s v="Professional"/>
    <s v="Yes"/>
    <n v="0"/>
    <x v="0"/>
    <x v="2"/>
    <x v="32"/>
    <x v="0"/>
    <x v="0"/>
  </r>
  <r>
    <n v="27540"/>
    <x v="1"/>
    <x v="0"/>
    <n v="70000"/>
    <n v="0"/>
    <x v="0"/>
    <s v="Professional"/>
    <s v="No"/>
    <n v="1"/>
    <x v="0"/>
    <x v="2"/>
    <x v="34"/>
    <x v="1"/>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2"/>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0"/>
    <x v="0"/>
  </r>
  <r>
    <n v="18347"/>
    <x v="1"/>
    <x v="0"/>
    <n v="30000"/>
    <n v="0"/>
    <x v="1"/>
    <s v="Skilled Manual"/>
    <s v="No"/>
    <n v="1"/>
    <x v="3"/>
    <x v="2"/>
    <x v="23"/>
    <x v="1"/>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1"/>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2"/>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0"/>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1"/>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1"/>
    <x v="1"/>
  </r>
  <r>
    <n v="16895"/>
    <x v="0"/>
    <x v="0"/>
    <n v="40000"/>
    <n v="3"/>
    <x v="1"/>
    <s v="Professional"/>
    <s v="No"/>
    <n v="2"/>
    <x v="3"/>
    <x v="2"/>
    <x v="9"/>
    <x v="0"/>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2"/>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2"/>
    <x v="0"/>
  </r>
  <r>
    <n v="14332"/>
    <x v="1"/>
    <x v="0"/>
    <n v="30000"/>
    <n v="0"/>
    <x v="2"/>
    <s v="Skilled Manual"/>
    <s v="No"/>
    <n v="2"/>
    <x v="2"/>
    <x v="2"/>
    <x v="22"/>
    <x v="3"/>
    <x v="0"/>
  </r>
  <r>
    <n v="19117"/>
    <x v="1"/>
    <x v="0"/>
    <n v="60000"/>
    <n v="1"/>
    <x v="4"/>
    <s v="Professional"/>
    <s v="Yes"/>
    <n v="0"/>
    <x v="1"/>
    <x v="2"/>
    <x v="4"/>
    <x v="2"/>
    <x v="1"/>
  </r>
  <r>
    <n v="22864"/>
    <x v="0"/>
    <x v="1"/>
    <n v="90000"/>
    <n v="2"/>
    <x v="1"/>
    <s v="Professional"/>
    <s v="No"/>
    <n v="0"/>
    <x v="2"/>
    <x v="2"/>
    <x v="38"/>
    <x v="2"/>
    <x v="1"/>
  </r>
  <r>
    <n v="11292"/>
    <x v="1"/>
    <x v="1"/>
    <n v="150000"/>
    <n v="1"/>
    <x v="1"/>
    <s v="Professional"/>
    <s v="No"/>
    <n v="3"/>
    <x v="0"/>
    <x v="2"/>
    <x v="20"/>
    <x v="2"/>
    <x v="1"/>
  </r>
  <r>
    <n v="13466"/>
    <x v="0"/>
    <x v="1"/>
    <n v="80000"/>
    <n v="5"/>
    <x v="1"/>
    <s v="Professional"/>
    <s v="Yes"/>
    <n v="3"/>
    <x v="3"/>
    <x v="2"/>
    <x v="30"/>
    <x v="2"/>
    <x v="0"/>
  </r>
  <r>
    <n v="23731"/>
    <x v="0"/>
    <x v="1"/>
    <n v="60000"/>
    <n v="2"/>
    <x v="2"/>
    <s v="Professional"/>
    <s v="Yes"/>
    <n v="2"/>
    <x v="1"/>
    <x v="2"/>
    <x v="9"/>
    <x v="2"/>
    <x v="1"/>
  </r>
  <r>
    <n v="28672"/>
    <x v="1"/>
    <x v="1"/>
    <n v="70000"/>
    <n v="4"/>
    <x v="4"/>
    <s v="Professional"/>
    <s v="Yes"/>
    <n v="0"/>
    <x v="1"/>
    <x v="2"/>
    <x v="11"/>
    <x v="2"/>
    <x v="1"/>
  </r>
  <r>
    <n v="11809"/>
    <x v="0"/>
    <x v="1"/>
    <n v="60000"/>
    <n v="2"/>
    <x v="0"/>
    <s v="Skilled Manual"/>
    <s v="Yes"/>
    <n v="0"/>
    <x v="0"/>
    <x v="2"/>
    <x v="13"/>
    <x v="2"/>
    <x v="1"/>
  </r>
  <r>
    <n v="19664"/>
    <x v="1"/>
    <x v="1"/>
    <n v="100000"/>
    <n v="3"/>
    <x v="0"/>
    <s v="Management"/>
    <s v="No"/>
    <n v="3"/>
    <x v="3"/>
    <x v="2"/>
    <x v="13"/>
    <x v="2"/>
    <x v="0"/>
  </r>
  <r>
    <n v="12121"/>
    <x v="1"/>
    <x v="1"/>
    <n v="60000"/>
    <n v="3"/>
    <x v="2"/>
    <s v="Professional"/>
    <s v="Yes"/>
    <n v="2"/>
    <x v="4"/>
    <x v="2"/>
    <x v="39"/>
    <x v="2"/>
    <x v="1"/>
  </r>
  <r>
    <m/>
    <x v="2"/>
    <x v="2"/>
    <m/>
    <m/>
    <x v="5"/>
    <m/>
    <m/>
    <m/>
    <x v="5"/>
    <x v="3"/>
    <x v="53"/>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70E7A-F192-4FE4-A1CF-F2D8EC733D29}" name="PivotTable19" cacheId="38"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7">
  <location ref="A23:D30" firstHeaderRow="1" firstDataRow="2" firstDataCol="1"/>
  <pivotFields count="13">
    <pivotField compact="0" showAll="0"/>
    <pivotField compact="0" showAll="0">
      <items count="4">
        <item x="0"/>
        <item x="1"/>
        <item x="2"/>
        <item t="default"/>
      </items>
    </pivotField>
    <pivotField compact="0" showAll="0">
      <items count="4">
        <item x="0"/>
        <item x="1"/>
        <item h="1" x="2"/>
        <item t="default"/>
      </items>
    </pivotField>
    <pivotField compact="0" showAll="0"/>
    <pivotField compact="0" showAll="0"/>
    <pivotField compact="0" showAll="0">
      <items count="6">
        <item x="1"/>
        <item x="3"/>
        <item x="2"/>
        <item x="0"/>
        <item x="4"/>
        <item t="default"/>
      </items>
    </pivotField>
    <pivotField compact="0" showAll="0"/>
    <pivotField compact="0" showAll="0"/>
    <pivotField axis="axisRow" compact="0" showAll="0">
      <items count="7">
        <item x="0"/>
        <item x="1"/>
        <item x="2"/>
        <item x="3"/>
        <item x="4"/>
        <item h="1" x="5"/>
        <item t="default"/>
      </items>
    </pivotField>
    <pivotField compact="0" showAll="0">
      <items count="18">
        <item x="8"/>
        <item x="1"/>
        <item x="4"/>
        <item x="14"/>
        <item x="5"/>
        <item x="2"/>
        <item x="15"/>
        <item x="7"/>
        <item x="10"/>
        <item x="11"/>
        <item x="0"/>
        <item x="3"/>
        <item x="13"/>
        <item x="6"/>
        <item x="9"/>
        <item x="12"/>
        <item x="16"/>
        <item t="default"/>
      </items>
    </pivotField>
    <pivotField compact="0" showAll="0"/>
    <pivotField compact="0" showAll="0">
      <items count="5">
        <item x="1"/>
        <item x="0"/>
        <item x="2"/>
        <item h="1" x="3"/>
        <item t="default"/>
      </items>
    </pivotField>
    <pivotField axis="axisCol" dataField="1" compact="0" showAll="0">
      <items count="4">
        <item x="0"/>
        <item x="1"/>
        <item h="1" x="2"/>
        <item t="default"/>
      </items>
    </pivotField>
  </pivotFields>
  <rowFields count="1">
    <field x="8"/>
  </rowFields>
  <rowItems count="6">
    <i>
      <x/>
    </i>
    <i>
      <x v="1"/>
    </i>
    <i>
      <x v="2"/>
    </i>
    <i>
      <x v="3"/>
    </i>
    <i>
      <x v="4"/>
    </i>
    <i t="grand">
      <x/>
    </i>
  </rowItems>
  <colFields count="1">
    <field x="12"/>
  </colFields>
  <colItems count="3">
    <i>
      <x/>
    </i>
    <i>
      <x v="1"/>
    </i>
    <i t="grand">
      <x/>
    </i>
  </colItems>
  <dataFields count="1">
    <dataField name="Count of Purchased Cars" fld="12" subtotal="count" baseField="0" baseItem="0"/>
  </dataFields>
  <formats count="3">
    <format dxfId="92">
      <pivotArea outline="0" collapsedLevelsAreSubtotals="1" fieldPosition="0"/>
    </format>
    <format dxfId="91">
      <pivotArea type="all" dataOnly="0" outline="0" fieldPosition="0"/>
    </format>
    <format dxfId="90">
      <pivotArea type="all" dataOnly="0" outline="0" fieldPosition="0"/>
    </format>
  </formats>
  <conditionalFormats count="1">
    <conditionalFormat priority="3">
      <pivotAreas count="1">
        <pivotArea type="data" grandCol="1" collapsedLevelsAreSubtotals="1" fieldPosition="0">
          <references count="2">
            <reference field="4294967294" count="1" selected="0">
              <x v="0"/>
            </reference>
            <reference field="8" count="5">
              <x v="0"/>
              <x v="1"/>
              <x v="2"/>
              <x v="3"/>
              <x v="4"/>
            </reference>
          </references>
        </pivotArea>
      </pivotAreas>
    </conditionalFormat>
  </conditionalFormats>
  <chartFormats count="4">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3E397-092D-414D-BF96-2226149EEED1}" name="PivotTable17" cacheId="38"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6">
  <location ref="A1:D5" firstHeaderRow="1" firstDataRow="2" firstDataCol="1"/>
  <pivotFields count="13">
    <pivotField compact="0" showAll="0"/>
    <pivotField compact="0" showAll="0">
      <items count="4">
        <item x="0"/>
        <item x="1"/>
        <item x="2"/>
        <item t="default"/>
      </items>
    </pivotField>
    <pivotField axis="axisRow" compact="0" showAll="0">
      <items count="4">
        <item x="0"/>
        <item x="1"/>
        <item h="1" x="2"/>
        <item t="default"/>
      </items>
    </pivotField>
    <pivotField dataField="1" compact="0" showAll="0"/>
    <pivotField compact="0" showAll="0"/>
    <pivotField compact="0" showAll="0">
      <items count="6">
        <item x="1"/>
        <item x="3"/>
        <item x="2"/>
        <item x="0"/>
        <item x="4"/>
        <item t="default"/>
      </items>
    </pivotField>
    <pivotField compact="0" showAll="0"/>
    <pivotField compact="0" showAll="0"/>
    <pivotField compact="0" showAll="0">
      <items count="7">
        <item x="0"/>
        <item x="1"/>
        <item x="2"/>
        <item x="3"/>
        <item x="4"/>
        <item h="1" x="5"/>
        <item t="default"/>
      </items>
    </pivotField>
    <pivotField compact="0" showAll="0">
      <items count="18">
        <item x="8"/>
        <item x="1"/>
        <item x="4"/>
        <item x="14"/>
        <item x="5"/>
        <item x="2"/>
        <item x="15"/>
        <item x="7"/>
        <item x="10"/>
        <item x="11"/>
        <item x="0"/>
        <item x="3"/>
        <item x="13"/>
        <item x="6"/>
        <item x="9"/>
        <item x="12"/>
        <item x="16"/>
        <item t="default"/>
      </items>
    </pivotField>
    <pivotField compact="0" showAll="0"/>
    <pivotField compact="0" showAll="0">
      <items count="5">
        <item x="1"/>
        <item x="0"/>
        <item x="2"/>
        <item h="1" x="3"/>
        <item t="default"/>
      </items>
    </pivotField>
    <pivotField axis="axisCol" compact="0" showAll="0">
      <items count="4">
        <item x="0"/>
        <item x="1"/>
        <item h="1" x="2"/>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
  </dataFields>
  <formats count="3">
    <format dxfId="95">
      <pivotArea outline="0" collapsedLevelsAreSubtotals="1" fieldPosition="0"/>
    </format>
    <format dxfId="94">
      <pivotArea type="all" dataOnly="0" outline="0" fieldPosition="0"/>
    </format>
    <format dxfId="93">
      <pivotArea type="all" dataOnly="0" outline="0" fieldPosition="0"/>
    </format>
  </formats>
  <conditionalFormats count="1">
    <conditionalFormat priority="2">
      <pivotAreas count="1">
        <pivotArea type="data" grandCol="1" collapsedLevelsAreSubtotals="1" fieldPosition="0">
          <references count="2">
            <reference field="4294967294" count="1" selected="0">
              <x v="0"/>
            </reference>
            <reference field="2" count="2">
              <x v="0"/>
              <x v="1"/>
            </reference>
          </references>
        </pivotArea>
      </pivotAreas>
    </conditionalFormat>
  </conditionalFormat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5ACD5E-AAFA-4080-8300-C678F68258A8}" name="PivotTable21" cacheId="38"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5">
  <location ref="A68:D72" firstHeaderRow="1" firstDataRow="2" firstDataCol="1"/>
  <pivotFields count="13">
    <pivotField compact="0" showAll="0"/>
    <pivotField compact="0" showAll="0">
      <items count="4">
        <item x="0"/>
        <item x="1"/>
        <item x="2"/>
        <item t="default"/>
      </items>
    </pivotField>
    <pivotField compact="0" showAll="0">
      <items count="4">
        <item x="0"/>
        <item x="1"/>
        <item h="1" x="2"/>
        <item t="default"/>
      </items>
    </pivotField>
    <pivotField compact="0" showAll="0"/>
    <pivotField compact="0" showAll="0"/>
    <pivotField compact="0" showAll="0">
      <items count="6">
        <item x="1"/>
        <item x="3"/>
        <item x="2"/>
        <item x="0"/>
        <item x="4"/>
        <item t="default"/>
      </items>
    </pivotField>
    <pivotField compact="0" showAll="0"/>
    <pivotField axis="axisRow" compact="0" showAll="0">
      <items count="4">
        <item x="0"/>
        <item x="1"/>
        <item x="2"/>
        <item t="default"/>
      </items>
    </pivotField>
    <pivotField compact="0" showAll="0">
      <items count="7">
        <item x="0"/>
        <item x="1"/>
        <item x="2"/>
        <item x="3"/>
        <item x="4"/>
        <item h="1" x="5"/>
        <item t="default"/>
      </items>
    </pivotField>
    <pivotField compact="0" showAll="0">
      <items count="18">
        <item x="8"/>
        <item x="1"/>
        <item x="4"/>
        <item x="14"/>
        <item x="5"/>
        <item x="2"/>
        <item x="15"/>
        <item x="7"/>
        <item x="10"/>
        <item x="11"/>
        <item x="0"/>
        <item x="3"/>
        <item x="13"/>
        <item x="6"/>
        <item x="9"/>
        <item x="12"/>
        <item x="16"/>
        <item t="default"/>
      </items>
    </pivotField>
    <pivotField compact="0" showAll="0"/>
    <pivotField compact="0" showAll="0">
      <items count="5">
        <item x="1"/>
        <item x="0"/>
        <item x="2"/>
        <item h="1" x="3"/>
        <item t="default"/>
      </items>
    </pivotField>
    <pivotField axis="axisCol" dataField="1" compact="0" showAll="0">
      <items count="4">
        <item x="0"/>
        <item x="1"/>
        <item h="1" x="2"/>
        <item t="default"/>
      </items>
    </pivotField>
  </pivotFields>
  <rowFields count="1">
    <field x="7"/>
  </rowFields>
  <rowItems count="3">
    <i>
      <x/>
    </i>
    <i>
      <x v="1"/>
    </i>
    <i t="grand">
      <x/>
    </i>
  </rowItems>
  <colFields count="1">
    <field x="12"/>
  </colFields>
  <colItems count="3">
    <i>
      <x/>
    </i>
    <i>
      <x v="1"/>
    </i>
    <i t="grand">
      <x/>
    </i>
  </colItems>
  <dataFields count="1">
    <dataField name="Count of Purchased Cars" fld="12" subtotal="count" baseField="0" baseItem="0"/>
  </dataFields>
  <formats count="3">
    <format dxfId="98">
      <pivotArea outline="0" collapsedLevelsAreSubtotals="1" fieldPosition="0"/>
    </format>
    <format dxfId="97">
      <pivotArea type="all" dataOnly="0" outline="0" fieldPosition="0"/>
    </format>
    <format dxfId="96">
      <pivotArea type="all" dataOnly="0" outline="0" fieldPosition="0"/>
    </format>
  </formats>
  <chartFormats count="8">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0"/>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C3FBE2-73A4-4D67-BFAD-1C2BB0C49A03}" name="PivotTable20" cacheId="38"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4">
  <location ref="A45:D50" firstHeaderRow="1" firstDataRow="2" firstDataCol="1"/>
  <pivotFields count="13">
    <pivotField compact="0" showAll="0"/>
    <pivotField compact="0" showAll="0">
      <items count="4">
        <item x="0"/>
        <item x="1"/>
        <item x="2"/>
        <item t="default"/>
      </items>
    </pivotField>
    <pivotField compact="0" showAll="0">
      <items count="4">
        <item x="0"/>
        <item x="1"/>
        <item h="1" x="2"/>
        <item t="default"/>
      </items>
    </pivotField>
    <pivotField compact="0" showAll="0"/>
    <pivotField compact="0" showAll="0"/>
    <pivotField compact="0" showAll="0">
      <items count="6">
        <item x="1"/>
        <item x="3"/>
        <item x="2"/>
        <item x="0"/>
        <item x="4"/>
        <item t="default"/>
      </items>
    </pivotField>
    <pivotField compact="0" showAll="0"/>
    <pivotField compact="0" showAll="0"/>
    <pivotField compact="0" showAll="0">
      <items count="7">
        <item x="0"/>
        <item x="1"/>
        <item x="2"/>
        <item x="3"/>
        <item x="4"/>
        <item h="1" x="5"/>
        <item t="default"/>
      </items>
    </pivotField>
    <pivotField compact="0" showAll="0">
      <items count="18">
        <item x="8"/>
        <item x="1"/>
        <item x="4"/>
        <item x="14"/>
        <item x="5"/>
        <item x="2"/>
        <item x="15"/>
        <item x="7"/>
        <item x="10"/>
        <item x="11"/>
        <item x="0"/>
        <item x="3"/>
        <item x="13"/>
        <item x="6"/>
        <item x="9"/>
        <item x="12"/>
        <item x="16"/>
        <item t="default"/>
      </items>
    </pivotField>
    <pivotField compact="0" showAll="0"/>
    <pivotField axis="axisRow" compact="0" showAll="0">
      <items count="5">
        <item x="1"/>
        <item x="0"/>
        <item x="2"/>
        <item h="1" x="3"/>
        <item t="default"/>
      </items>
    </pivotField>
    <pivotField axis="axisCol" dataField="1" compact="0" showAll="0">
      <items count="4">
        <item x="0"/>
        <item x="1"/>
        <item h="1" x="2"/>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Cars" fld="12" subtotal="count" baseField="0" baseItem="0"/>
  </dataFields>
  <formats count="3">
    <format dxfId="101">
      <pivotArea outline="0" collapsedLevelsAreSubtotals="1" fieldPosition="0"/>
    </format>
    <format dxfId="100">
      <pivotArea type="all" dataOnly="0" outline="0" fieldPosition="0"/>
    </format>
    <format dxfId="99">
      <pivotArea type="all" dataOnly="0" outline="0" fieldPosition="0"/>
    </format>
  </formats>
  <conditionalFormats count="1">
    <conditionalFormat priority="4">
      <pivotAreas count="1">
        <pivotArea type="data" grandCol="1" collapsedLevelsAreSubtotals="1" fieldPosition="0">
          <references count="2">
            <reference field="4294967294" count="1" selected="0">
              <x v="0"/>
            </reference>
            <reference field="11" count="3">
              <x v="0"/>
              <x v="1"/>
              <x v="2"/>
            </reference>
          </references>
        </pivotArea>
      </pivotAreas>
    </conditionalFormat>
  </conditional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160BB-76B2-4ADD-9415-DF136C39B428}" name="PivotTable24" cacheId="38"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26">
  <location ref="A5:D26" firstHeaderRow="0" firstDataRow="1" firstDataCol="2" rowPageCount="1" colPageCount="1"/>
  <pivotFields count="13">
    <pivotField compact="0" showAll="0"/>
    <pivotField compact="0" showAll="0"/>
    <pivotField compact="0" showAll="0"/>
    <pivotField dataField="1" compact="0" showAll="0" avgSubtotal="1"/>
    <pivotField compact="0" showAll="0"/>
    <pivotField axis="axisRow" compact="0" showAll="0">
      <items count="6">
        <item x="1"/>
        <item x="3"/>
        <item x="2"/>
        <item x="0"/>
        <item x="4"/>
        <item t="default"/>
      </items>
    </pivotField>
    <pivotField axis="axisRow" compact="0" showAll="0">
      <items count="6">
        <item x="0"/>
        <item x="1"/>
        <item x="2"/>
        <item x="3"/>
        <item x="4"/>
        <item t="default"/>
      </items>
    </pivotField>
    <pivotField compact="0" showAll="0"/>
    <pivotField compact="0" showAll="0"/>
    <pivotField compact="0" showAll="0"/>
    <pivotField compact="0" showAll="0"/>
    <pivotField compact="0" showAll="0">
      <items count="5">
        <item x="1"/>
        <item x="0"/>
        <item x="2"/>
        <item h="1" x="3"/>
        <item t="default"/>
      </items>
    </pivotField>
    <pivotField axis="axisPage" dataField="1" compact="0" multipleItemSelectionAllowed="1" showAll="0">
      <items count="4">
        <item h="1" x="0"/>
        <item x="1"/>
        <item h="1" x="2"/>
        <item t="default"/>
      </items>
    </pivotField>
  </pivotFields>
  <rowFields count="2">
    <field x="6"/>
    <field x="5"/>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pageFields count="1">
    <pageField fld="12" hier="-1"/>
  </pageFields>
  <dataFields count="2">
    <dataField name="Count of Purchased Cars" fld="12" subtotal="count" baseField="6" baseItem="0"/>
    <dataField name="Average of Income" fld="3" subtotal="average" baseField="5" baseItem="2" numFmtId="168"/>
  </dataFields>
  <formats count="1">
    <format dxfId="89">
      <pivotArea outline="0" fieldPosition="0">
        <references count="1">
          <reference field="4294967294" count="1" selected="0">
            <x v="1"/>
          </reference>
        </references>
      </pivotArea>
    </format>
  </formats>
  <conditionalFormats count="1">
    <conditionalFormat priority="1">
      <pivotAreas count="4">
        <pivotArea type="data" collapsedLevelsAreSubtotals="1" fieldPosition="0">
          <references count="3">
            <reference field="4294967294" count="1" selected="0">
              <x v="0"/>
            </reference>
            <reference field="5" count="4">
              <x v="0"/>
              <x v="1"/>
              <x v="2"/>
              <x v="3"/>
            </reference>
            <reference field="6" count="1" selected="0">
              <x v="0"/>
            </reference>
          </references>
        </pivotArea>
        <pivotArea type="data" collapsedLevelsAreSubtotals="1" fieldPosition="0">
          <references count="3">
            <reference field="4294967294" count="1" selected="0">
              <x v="0"/>
            </reference>
            <reference field="5" count="4">
              <x v="0"/>
              <x v="1"/>
              <x v="2"/>
              <x v="3"/>
            </reference>
            <reference field="6" count="1" selected="0">
              <x v="1"/>
            </reference>
          </references>
        </pivotArea>
        <pivotArea type="data" collapsedLevelsAreSubtotals="1" fieldPosition="0">
          <references count="3">
            <reference field="4294967294" count="1" selected="0">
              <x v="0"/>
            </reference>
            <reference field="5" count="4">
              <x v="0"/>
              <x v="1"/>
              <x v="2"/>
              <x v="3"/>
            </reference>
            <reference field="6" count="1" selected="0">
              <x v="2"/>
            </reference>
          </references>
        </pivotArea>
        <pivotArea type="data" collapsedLevelsAreSubtotals="1" fieldPosition="0">
          <references count="3">
            <reference field="4294967294" count="1" selected="0">
              <x v="0"/>
            </reference>
            <reference field="5" count="4">
              <x v="0"/>
              <x v="1"/>
              <x v="2"/>
              <x v="3"/>
            </reference>
            <reference field="6" count="1" selected="0">
              <x v="3"/>
            </reference>
          </references>
        </pivotArea>
      </pivotAreas>
    </conditionalFormat>
  </conditionalFormats>
  <chartFormats count="33">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3">
          <reference field="4294967294" count="1" selected="0">
            <x v="0"/>
          </reference>
          <reference field="5" count="1" selected="0">
            <x v="0"/>
          </reference>
          <reference field="6" count="1" selected="0">
            <x v="0"/>
          </reference>
        </references>
      </pivotArea>
    </chartFormat>
    <chartFormat chart="25" format="7">
      <pivotArea type="data" outline="0" fieldPosition="0">
        <references count="3">
          <reference field="4294967294" count="1" selected="0">
            <x v="0"/>
          </reference>
          <reference field="5" count="1" selected="0">
            <x v="1"/>
          </reference>
          <reference field="6" count="1" selected="0">
            <x v="0"/>
          </reference>
        </references>
      </pivotArea>
    </chartFormat>
    <chartFormat chart="25" format="8">
      <pivotArea type="data" outline="0" fieldPosition="0">
        <references count="3">
          <reference field="4294967294" count="1" selected="0">
            <x v="0"/>
          </reference>
          <reference field="5" count="1" selected="0">
            <x v="2"/>
          </reference>
          <reference field="6" count="1" selected="0">
            <x v="0"/>
          </reference>
        </references>
      </pivotArea>
    </chartFormat>
    <chartFormat chart="25" format="9">
      <pivotArea type="data" outline="0" fieldPosition="0">
        <references count="3">
          <reference field="4294967294" count="1" selected="0">
            <x v="0"/>
          </reference>
          <reference field="5" count="1" selected="0">
            <x v="3"/>
          </reference>
          <reference field="6" count="1" selected="0">
            <x v="0"/>
          </reference>
        </references>
      </pivotArea>
    </chartFormat>
    <chartFormat chart="25" format="10">
      <pivotArea type="data" outline="0" fieldPosition="0">
        <references count="3">
          <reference field="4294967294" count="1" selected="0">
            <x v="0"/>
          </reference>
          <reference field="5" count="1" selected="0">
            <x v="0"/>
          </reference>
          <reference field="6" count="1" selected="0">
            <x v="1"/>
          </reference>
        </references>
      </pivotArea>
    </chartFormat>
    <chartFormat chart="25" format="11">
      <pivotArea type="data" outline="0" fieldPosition="0">
        <references count="3">
          <reference field="4294967294" count="1" selected="0">
            <x v="0"/>
          </reference>
          <reference field="5" count="1" selected="0">
            <x v="1"/>
          </reference>
          <reference field="6" count="1" selected="0">
            <x v="1"/>
          </reference>
        </references>
      </pivotArea>
    </chartFormat>
    <chartFormat chart="25" format="12">
      <pivotArea type="data" outline="0" fieldPosition="0">
        <references count="3">
          <reference field="4294967294" count="1" selected="0">
            <x v="0"/>
          </reference>
          <reference field="5" count="1" selected="0">
            <x v="2"/>
          </reference>
          <reference field="6" count="1" selected="0">
            <x v="1"/>
          </reference>
        </references>
      </pivotArea>
    </chartFormat>
    <chartFormat chart="25" format="13">
      <pivotArea type="data" outline="0" fieldPosition="0">
        <references count="3">
          <reference field="4294967294" count="1" selected="0">
            <x v="0"/>
          </reference>
          <reference field="5" count="1" selected="0">
            <x v="3"/>
          </reference>
          <reference field="6" count="1" selected="0">
            <x v="1"/>
          </reference>
        </references>
      </pivotArea>
    </chartFormat>
    <chartFormat chart="25" format="14">
      <pivotArea type="data" outline="0" fieldPosition="0">
        <references count="3">
          <reference field="4294967294" count="1" selected="0">
            <x v="0"/>
          </reference>
          <reference field="5" count="1" selected="0">
            <x v="0"/>
          </reference>
          <reference field="6" count="1" selected="0">
            <x v="3"/>
          </reference>
        </references>
      </pivotArea>
    </chartFormat>
    <chartFormat chart="25" format="15">
      <pivotArea type="data" outline="0" fieldPosition="0">
        <references count="3">
          <reference field="4294967294" count="1" selected="0">
            <x v="0"/>
          </reference>
          <reference field="5" count="1" selected="0">
            <x v="1"/>
          </reference>
          <reference field="6" count="1" selected="0">
            <x v="3"/>
          </reference>
        </references>
      </pivotArea>
    </chartFormat>
    <chartFormat chart="25" format="16">
      <pivotArea type="data" outline="0" fieldPosition="0">
        <references count="3">
          <reference field="4294967294" count="1" selected="0">
            <x v="0"/>
          </reference>
          <reference field="5" count="1" selected="0">
            <x v="2"/>
          </reference>
          <reference field="6" count="1" selected="0">
            <x v="3"/>
          </reference>
        </references>
      </pivotArea>
    </chartFormat>
    <chartFormat chart="25" format="17">
      <pivotArea type="data" outline="0" fieldPosition="0">
        <references count="3">
          <reference field="4294967294" count="1" selected="0">
            <x v="0"/>
          </reference>
          <reference field="5" count="1" selected="0">
            <x v="3"/>
          </reference>
          <reference field="6" count="1" selected="0">
            <x v="3"/>
          </reference>
        </references>
      </pivotArea>
    </chartFormat>
    <chartFormat chart="25" format="18">
      <pivotArea type="data" outline="0" fieldPosition="0">
        <references count="3">
          <reference field="4294967294" count="1" selected="0">
            <x v="0"/>
          </reference>
          <reference field="5" count="1" selected="0">
            <x v="0"/>
          </reference>
          <reference field="6" count="1" selected="0">
            <x v="2"/>
          </reference>
        </references>
      </pivotArea>
    </chartFormat>
    <chartFormat chart="25" format="19">
      <pivotArea type="data" outline="0" fieldPosition="0">
        <references count="3">
          <reference field="4294967294" count="1" selected="0">
            <x v="0"/>
          </reference>
          <reference field="5" count="1" selected="0">
            <x v="1"/>
          </reference>
          <reference field="6" count="1" selected="0">
            <x v="2"/>
          </reference>
        </references>
      </pivotArea>
    </chartFormat>
    <chartFormat chart="25" format="20">
      <pivotArea type="data" outline="0" fieldPosition="0">
        <references count="3">
          <reference field="4294967294" count="1" selected="0">
            <x v="0"/>
          </reference>
          <reference field="5" count="1" selected="0">
            <x v="2"/>
          </reference>
          <reference field="6" count="1" selected="0">
            <x v="2"/>
          </reference>
        </references>
      </pivotArea>
    </chartFormat>
    <chartFormat chart="25" format="21">
      <pivotArea type="data" outline="0" fieldPosition="0">
        <references count="3">
          <reference field="4294967294" count="1" selected="0">
            <x v="0"/>
          </reference>
          <reference field="5" count="1" selected="0">
            <x v="3"/>
          </reference>
          <reference field="6" count="1" selected="0">
            <x v="2"/>
          </reference>
        </references>
      </pivotArea>
    </chartFormat>
    <chartFormat chart="25" format="22">
      <pivotArea type="data" outline="0" fieldPosition="0">
        <references count="3">
          <reference field="4294967294" count="1" selected="0">
            <x v="1"/>
          </reference>
          <reference field="5" count="1" selected="0">
            <x v="0"/>
          </reference>
          <reference field="6" count="1" selected="0">
            <x v="0"/>
          </reference>
        </references>
      </pivotArea>
    </chartFormat>
    <chartFormat chart="25" format="23">
      <pivotArea type="data" outline="0" fieldPosition="0">
        <references count="3">
          <reference field="4294967294" count="1" selected="0">
            <x v="1"/>
          </reference>
          <reference field="5" count="1" selected="0">
            <x v="1"/>
          </reference>
          <reference field="6" count="1" selected="0">
            <x v="0"/>
          </reference>
        </references>
      </pivotArea>
    </chartFormat>
    <chartFormat chart="25" format="24">
      <pivotArea type="data" outline="0" fieldPosition="0">
        <references count="3">
          <reference field="4294967294" count="1" selected="0">
            <x v="1"/>
          </reference>
          <reference field="5" count="1" selected="0">
            <x v="0"/>
          </reference>
          <reference field="6" count="1" selected="0">
            <x v="1"/>
          </reference>
        </references>
      </pivotArea>
    </chartFormat>
    <chartFormat chart="25" format="25">
      <pivotArea type="data" outline="0" fieldPosition="0">
        <references count="3">
          <reference field="4294967294" count="1" selected="0">
            <x v="1"/>
          </reference>
          <reference field="5" count="1" selected="0">
            <x v="1"/>
          </reference>
          <reference field="6" count="1" selected="0">
            <x v="1"/>
          </reference>
        </references>
      </pivotArea>
    </chartFormat>
    <chartFormat chart="25" format="26">
      <pivotArea type="data" outline="0" fieldPosition="0">
        <references count="3">
          <reference field="4294967294" count="1" selected="0">
            <x v="1"/>
          </reference>
          <reference field="5" count="1" selected="0">
            <x v="2"/>
          </reference>
          <reference field="6" count="1" selected="0">
            <x v="1"/>
          </reference>
        </references>
      </pivotArea>
    </chartFormat>
    <chartFormat chart="25" format="27">
      <pivotArea type="data" outline="0" fieldPosition="0">
        <references count="3">
          <reference field="4294967294" count="1" selected="0">
            <x v="1"/>
          </reference>
          <reference field="5" count="1" selected="0">
            <x v="0"/>
          </reference>
          <reference field="6" count="1" selected="0">
            <x v="2"/>
          </reference>
        </references>
      </pivotArea>
    </chartFormat>
    <chartFormat chart="25" format="28">
      <pivotArea type="data" outline="0" fieldPosition="0">
        <references count="3">
          <reference field="4294967294" count="1" selected="0">
            <x v="1"/>
          </reference>
          <reference field="5" count="1" selected="0">
            <x v="1"/>
          </reference>
          <reference field="6" count="1" selected="0">
            <x v="2"/>
          </reference>
        </references>
      </pivotArea>
    </chartFormat>
    <chartFormat chart="25" format="29">
      <pivotArea type="data" outline="0" fieldPosition="0">
        <references count="3">
          <reference field="4294967294" count="1" selected="0">
            <x v="1"/>
          </reference>
          <reference field="5" count="1" selected="0">
            <x v="2"/>
          </reference>
          <reference field="6" count="1" selected="0">
            <x v="2"/>
          </reference>
        </references>
      </pivotArea>
    </chartFormat>
    <chartFormat chart="25" format="30">
      <pivotArea type="data" outline="0" fieldPosition="0">
        <references count="3">
          <reference field="4294967294" count="1" selected="0">
            <x v="1"/>
          </reference>
          <reference field="5" count="1" selected="0">
            <x v="3"/>
          </reference>
          <reference field="6" count="1" selected="0">
            <x v="2"/>
          </reference>
        </references>
      </pivotArea>
    </chartFormat>
    <chartFormat chart="25" format="31">
      <pivotArea type="data" outline="0" fieldPosition="0">
        <references count="3">
          <reference field="4294967294" count="1" selected="0">
            <x v="1"/>
          </reference>
          <reference field="5" count="1" selected="0">
            <x v="0"/>
          </reference>
          <reference field="6" count="1" selected="0">
            <x v="3"/>
          </reference>
        </references>
      </pivotArea>
    </chartFormat>
    <chartFormat chart="25" format="32">
      <pivotArea type="data" outline="0" fieldPosition="0">
        <references count="3">
          <reference field="4294967294" count="1" selected="0">
            <x v="1"/>
          </reference>
          <reference field="5" count="1" selected="0">
            <x v="1"/>
          </reference>
          <reference field="6" count="1" selected="0">
            <x v="3"/>
          </reference>
        </references>
      </pivotArea>
    </chartFormat>
    <chartFormat chart="25" format="33">
      <pivotArea type="data" outline="0" fieldPosition="0">
        <references count="3">
          <reference field="4294967294" count="1" selected="0">
            <x v="1"/>
          </reference>
          <reference field="5" count="1" selected="0">
            <x v="2"/>
          </reference>
          <reference field="6" count="1" selected="0">
            <x v="3"/>
          </reference>
        </references>
      </pivotArea>
    </chartFormat>
    <chartFormat chart="25" format="34">
      <pivotArea type="data" outline="0" fieldPosition="0">
        <references count="3">
          <reference field="4294967294" count="1" selected="0">
            <x v="1"/>
          </reference>
          <reference field="5" count="1" selected="0">
            <x v="3"/>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9B12AF-0FAD-B343-A9CA-D08CE66D4A75}" sourceName="Marital Status">
  <data>
    <tabular pivotCacheId="1556054605">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211031-D422-A748-9B52-377734D8E31D}" sourceName="Education">
  <data>
    <tabular pivotCacheId="1556054605">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3E7678-C001-8442-8B2C-8836E7FD8500}" sourceName="Region">
  <data>
    <tabular pivotCacheId="1556054605">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B77ADB81-E2CD-44D6-B730-7DDCFDA6503B}" sourceName="Marital Status">
  <pivotTables>
    <pivotTable tabId="17" name="PivotTable17"/>
    <pivotTable tabId="17" name="PivotTable19"/>
    <pivotTable tabId="17" name="PivotTable20"/>
    <pivotTable tabId="17" name="PivotTable21"/>
  </pivotTables>
  <data>
    <tabular pivotCacheId="1253753791">
      <items count="3">
        <i x="0" s="1"/>
        <i x="1" s="1"/>
        <i x="2"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E977A2-E65B-48D7-ABCF-704074EA3C03}" sourceName="Gender">
  <pivotTables>
    <pivotTable tabId="17" name="PivotTable17"/>
    <pivotTable tabId="17" name="PivotTable19"/>
    <pivotTable tabId="17" name="PivotTable20"/>
    <pivotTable tabId="17" name="PivotTable21"/>
  </pivotTables>
  <data>
    <tabular pivotCacheId="1253753791">
      <items count="3">
        <i x="0" s="1"/>
        <i x="1" s="1"/>
        <i x="2"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94FF7BEF-4087-431C-8C59-7FF4F73E0CEC}" sourceName="Education">
  <pivotTables>
    <pivotTable tabId="17" name="PivotTable17"/>
    <pivotTable tabId="17" name="PivotTable19"/>
    <pivotTable tabId="17" name="PivotTable20"/>
    <pivotTable tabId="17" name="PivotTable21"/>
  </pivotTables>
  <data>
    <tabular pivotCacheId="1253753791">
      <items count="5">
        <i x="1" s="1"/>
        <i x="3" s="1"/>
        <i x="2" s="1"/>
        <i x="0" s="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66110824-4450-4944-9D06-41AB52E55F0B}" sourceName="Commute Distance">
  <pivotTables>
    <pivotTable tabId="17" name="PivotTable17"/>
    <pivotTable tabId="17" name="PivotTable19"/>
    <pivotTable tabId="17" name="PivotTable20"/>
    <pivotTable tabId="17" name="PivotTable21"/>
  </pivotTables>
  <data>
    <tabular pivotCacheId="1253753791">
      <items count="6">
        <i x="0" s="1"/>
        <i x="1" s="1"/>
        <i x="2" s="1"/>
        <i x="3" s="1"/>
        <i x="4" s="1"/>
        <i x="5"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2CB87B3-7693-4E9C-AEFB-59D8A0FF4C81}" sourceName="State">
  <pivotTables>
    <pivotTable tabId="17" name="PivotTable17"/>
    <pivotTable tabId="17" name="PivotTable19"/>
    <pivotTable tabId="17" name="PivotTable20"/>
    <pivotTable tabId="17" name="PivotTable21"/>
  </pivotTables>
  <data>
    <tabular pivotCacheId="1253753791">
      <items count="17">
        <i x="8" s="1"/>
        <i x="1" s="1"/>
        <i x="4" s="1"/>
        <i x="14" s="1"/>
        <i x="5" s="1"/>
        <i x="2" s="1"/>
        <i x="15" s="1"/>
        <i x="7" s="1"/>
        <i x="10" s="1"/>
        <i x="11" s="1"/>
        <i x="0" s="1"/>
        <i x="3" s="1"/>
        <i x="13" s="1"/>
        <i x="6" s="1"/>
        <i x="9" s="1"/>
        <i x="12" s="1"/>
        <i x="16"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7701199C-3136-46C9-A8C7-074D07AD6841}" sourceName="Age Brackets">
  <pivotTables>
    <pivotTable tabId="17" name="PivotTable17"/>
    <pivotTable tabId="17" name="PivotTable19"/>
    <pivotTable tabId="17" name="PivotTable20"/>
    <pivotTable tabId="17" name="PivotTable21"/>
  </pivotTables>
  <data>
    <tabular pivotCacheId="1253753791">
      <items count="4">
        <i x="1" s="1"/>
        <i x="0" s="1"/>
        <i x="2" s="1"/>
        <i x="3"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1" xr10:uid="{538935E1-FBE7-4084-B5AF-C9F284072555}" sourceName="Age Brackets">
  <pivotTables>
    <pivotTable tabId="19" name="PivotTable24"/>
  </pivotTables>
  <data>
    <tabular pivotCacheId="1253753791">
      <items count="4">
        <i x="1" s="1"/>
        <i x="0"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1BC1318E-1C41-4C82-8935-EBFCE7A4E97F}" cache="Slicer_Marital_Status1" caption="Marital Status" rowHeight="241300"/>
  <slicer name="Gender" xr10:uid="{0C2E3372-0D2F-4C2C-83A1-D86E180BA0E2}" cache="Slicer_Gender" caption="Gender" rowHeight="241300"/>
  <slicer name="Education 1" xr10:uid="{FA74F71F-DE59-45D1-9B21-B5B643ED70C2}" cache="Slicer_Education1" caption="Education" rowHeight="241300"/>
  <slicer name="Commute Distance" xr10:uid="{3C26155E-5CA6-48FA-AA3F-84A9551FC7F8}" cache="Slicer_Commute_Distance" caption="Commute Distance" rowHeight="241300"/>
  <slicer name="State" xr10:uid="{77FABA9F-E781-4ED6-B8A7-B9BCE95E6790}" cache="Slicer_State" caption="State" rowHeight="241300"/>
  <slicer name="Age Brackets" xr10:uid="{4A4F035D-CF4E-4B44-8C75-ECC5269CF383}" cache="Slicer_Age_Brackets" caption="Age Bracke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1" xr10:uid="{A7467232-EDCD-4A54-BC10-F806C2B1479C}" cache="Slicer_Age_Brackets1" caption="Age Bracket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6FB41A-B139-7540-9E5D-4C340611F6F8}" cache="Slicer_Marital_Status" caption="Marital Status" rowHeight="230716"/>
  <slicer name="Education" xr10:uid="{A363C0AD-4302-EB49-BD85-4B93615C3FDC}" cache="Slicer_Education" caption="Education" rowHeight="230716"/>
  <slicer name="Region" xr10:uid="{1CB0D3BE-2641-A847-A063-0FF4409B33D9}"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DCB54A-8161-46E8-BE88-71D25C2F6C8C}" name="Table7" displayName="Table7" ref="A1:M1021" totalsRowShown="0" headerRowDxfId="86" dataDxfId="85">
  <autoFilter ref="A1:M1021" xr:uid="{15DCB54A-8161-46E8-BE88-71D25C2F6C8C}"/>
  <tableColumns count="13">
    <tableColumn id="1" xr3:uid="{5DF7E1EA-B32B-491C-B62B-AEB1DBA25039}" name="ID" dataDxfId="84"/>
    <tableColumn id="2" xr3:uid="{D07D87A7-0052-4927-86E3-76D0DE818508}" name="Marital Status" dataDxfId="83">
      <calculatedColumnFormula>IF(_xlfn.XLOOKUP($A2,'RAWDATA Cars Buyers DB'!$A:$A,'RAWDATA Cars Buyers DB'!B:B)="S","Single","Married")</calculatedColumnFormula>
    </tableColumn>
    <tableColumn id="3" xr3:uid="{7E5CCB18-5836-4B9A-B9D3-E94ABDAC4BA0}" name="Gender" dataDxfId="82">
      <calculatedColumnFormula>IF(_xlfn.XLOOKUP($A2,'RAWDATA Cars Buyers DB'!$A:$A,'RAWDATA Cars Buyers DB'!C:C)="F","Female","Male")</calculatedColumnFormula>
    </tableColumn>
    <tableColumn id="4" xr3:uid="{4628A862-8E25-4C28-A79E-9988C7C100D5}" name="Income" dataDxfId="81" dataCellStyle="Currency">
      <calculatedColumnFormula>_xlfn.XLOOKUP($A2,'RAWDATA Cars Buyers DB'!$A:$A,'RAWDATA Cars Buyers DB'!D:D)</calculatedColumnFormula>
    </tableColumn>
    <tableColumn id="5" xr3:uid="{9E57271A-62CA-4B4E-88C1-7757D1958BFA}" name="Children" dataDxfId="80">
      <calculatedColumnFormula>_xlfn.XLOOKUP($A2,'RAWDATA Cars Buyers DB'!$A:$A,'RAWDATA Cars Buyers DB'!E:E)</calculatedColumnFormula>
    </tableColumn>
    <tableColumn id="6" xr3:uid="{7FF5ACB0-B494-408C-9983-2623BC425B80}" name="Education" dataDxfId="79">
      <calculatedColumnFormula>_xlfn.XLOOKUP($A2,'RAWDATA Cars Buyers DB'!$A:$A,'RAWDATA Cars Buyers DB'!F:F)</calculatedColumnFormula>
    </tableColumn>
    <tableColumn id="7" xr3:uid="{5A8FC8B3-80A5-442E-9C8C-6E0CE952B401}" name="Occupation" dataDxfId="78">
      <calculatedColumnFormula>_xlfn.XLOOKUP($A2,'RAWDATA Cars Buyers DB'!$A:$A,'RAWDATA Cars Buyers DB'!G:G)</calculatedColumnFormula>
    </tableColumn>
    <tableColumn id="8" xr3:uid="{52F1BA49-8FC6-4065-A52C-151E05450F9A}" name="Home Owners" dataDxfId="77">
      <calculatedColumnFormula>_xlfn.XLOOKUP($A2,'RAWDATA Cars Buyers DB'!$A:$A,'RAWDATA Cars Buyers DB'!H:H)</calculatedColumnFormula>
    </tableColumn>
    <tableColumn id="10" xr3:uid="{4358885C-AA70-4E38-868B-1CC445A843EC}" name="Commute Distance" dataDxfId="76">
      <calculatedColumnFormula>_xlfn.XLOOKUP($A2,'RAWDATA Cars Buyers DB'!$A:$A,'RAWDATA Cars Buyers DB'!I:I)</calculatedColumnFormula>
    </tableColumn>
    <tableColumn id="11" xr3:uid="{F260902A-F2AE-4D5D-9E9B-8FC1518114F8}" name="State" dataDxfId="75">
      <calculatedColumnFormula>_xlfn.XLOOKUP($A2,'RAWDATA Cars Buyers DB'!$A:$A,'RAWDATA Cars Buyers DB'!J:J)</calculatedColumnFormula>
    </tableColumn>
    <tableColumn id="12" xr3:uid="{276EED01-91DE-4932-9297-108568C659EC}" name="Age" dataDxfId="74">
      <calculatedColumnFormula>_xlfn.XLOOKUP($A2,'RAWDATA Cars Buyers DB'!$A:$A,'RAWDATA Cars Buyers DB'!K:K)</calculatedColumnFormula>
    </tableColumn>
    <tableColumn id="13" xr3:uid="{9EADED25-28FE-4320-8B93-BF7C2130295C}" name="Age Brackets" dataDxfId="73">
      <calculatedColumnFormula>IF(_xlfn.XLOOKUP($A2,'RAWDATA Cars Buyers DB'!$A:$A,'RAWDATA Cars Buyers DB'!K:K)&gt;54,"Old ",IF(_xlfn.XLOOKUP($A2,'RAWDATA Cars Buyers DB'!$A:$A,'RAWDATA Cars Buyers DB'!K:K)&gt;=31,"Middle Age ",IF(_xlfn.XLOOKUP($A2,'RAWDATA Cars Buyers DB'!$A:$A,'RAWDATA Cars Buyers DB'!K:K)&lt;31,"Adolescent","Invalid")))</calculatedColumnFormula>
    </tableColumn>
    <tableColumn id="14" xr3:uid="{DD9AEEC7-1F31-4737-A438-001F2C6D1099}" name="Purchased Cars" dataDxfId="72">
      <calculatedColumnFormula>_xlfn.XLOOKUP($A2,'RAWDATA Cars Buyers DB'!$A:$A,'RAWDATA Cars Buyers DB'!L:L)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F75CB-905A-4F2F-947F-E12B03709566}">
  <sheetPr>
    <tabColor theme="4" tint="-0.249977111117893"/>
  </sheetPr>
  <dimension ref="A1:U30"/>
  <sheetViews>
    <sheetView showGridLines="0" tabSelected="1" zoomScale="90" zoomScaleNormal="90" workbookViewId="0">
      <selection sqref="A1:Q2"/>
    </sheetView>
  </sheetViews>
  <sheetFormatPr defaultColWidth="0" defaultRowHeight="15" zeroHeight="1"/>
  <cols>
    <col min="1" max="17" width="11.5703125" style="19" customWidth="1"/>
    <col min="18" max="21" width="11.5703125" style="19" hidden="1" customWidth="1"/>
    <col min="22" max="16384" width="9.140625" style="19" hidden="1"/>
  </cols>
  <sheetData>
    <row r="1" spans="1:17" customFormat="1">
      <c r="A1" s="36" t="s">
        <v>84</v>
      </c>
      <c r="B1" s="36"/>
      <c r="C1" s="36"/>
      <c r="D1" s="36"/>
      <c r="E1" s="36"/>
      <c r="F1" s="36"/>
      <c r="G1" s="36"/>
      <c r="H1" s="36"/>
      <c r="I1" s="36"/>
      <c r="J1" s="36"/>
      <c r="K1" s="36"/>
      <c r="L1" s="36"/>
      <c r="M1" s="36"/>
      <c r="N1" s="36"/>
      <c r="O1" s="36"/>
      <c r="P1" s="36"/>
      <c r="Q1" s="36"/>
    </row>
    <row r="2" spans="1:17" customFormat="1">
      <c r="A2" s="36"/>
      <c r="B2" s="36"/>
      <c r="C2" s="36"/>
      <c r="D2" s="36"/>
      <c r="E2" s="36"/>
      <c r="F2" s="36"/>
      <c r="G2" s="36"/>
      <c r="H2" s="36"/>
      <c r="I2" s="36"/>
      <c r="J2" s="36"/>
      <c r="K2" s="36"/>
      <c r="L2" s="36"/>
      <c r="M2" s="36"/>
      <c r="N2" s="36"/>
      <c r="O2" s="36"/>
      <c r="P2" s="36"/>
      <c r="Q2" s="36"/>
    </row>
    <row r="3" spans="1:17"/>
    <row r="4" spans="1:17"/>
    <row r="5" spans="1:17"/>
    <row r="6" spans="1:17"/>
    <row r="7" spans="1:17"/>
    <row r="8" spans="1:17"/>
    <row r="9" spans="1:17"/>
    <row r="10" spans="1:17"/>
    <row r="11" spans="1:17"/>
    <row r="12" spans="1:17"/>
    <row r="13" spans="1:17"/>
    <row r="14" spans="1:17"/>
    <row r="15" spans="1:17"/>
    <row r="16" spans="1:17"/>
    <row r="17"/>
    <row r="18"/>
    <row r="19"/>
    <row r="20"/>
    <row r="21"/>
    <row r="22"/>
    <row r="23"/>
    <row r="24"/>
    <row r="25"/>
    <row r="26"/>
    <row r="27"/>
    <row r="28"/>
    <row r="29"/>
    <row r="30"/>
  </sheetData>
  <mergeCells count="1">
    <mergeCell ref="A1:Q2"/>
  </mergeCells>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2AF0-BD73-4826-8BE9-15FDF6C4EB04}">
  <sheetPr>
    <tabColor theme="4" tint="-0.249977111117893"/>
  </sheetPr>
  <dimension ref="A1:Q27"/>
  <sheetViews>
    <sheetView zoomScale="110" zoomScaleNormal="110" workbookViewId="0">
      <selection sqref="A1:Q2"/>
    </sheetView>
  </sheetViews>
  <sheetFormatPr defaultColWidth="0" defaultRowHeight="15" zeroHeight="1"/>
  <cols>
    <col min="1" max="17" width="9.140625" style="20" customWidth="1"/>
    <col min="18" max="16384" width="9.140625" style="20" hidden="1"/>
  </cols>
  <sheetData>
    <row r="1" spans="1:17" customFormat="1">
      <c r="A1" s="36" t="s">
        <v>85</v>
      </c>
      <c r="B1" s="36"/>
      <c r="C1" s="36"/>
      <c r="D1" s="36"/>
      <c r="E1" s="36"/>
      <c r="F1" s="36"/>
      <c r="G1" s="36"/>
      <c r="H1" s="36"/>
      <c r="I1" s="36"/>
      <c r="J1" s="36"/>
      <c r="K1" s="36"/>
      <c r="L1" s="36"/>
      <c r="M1" s="36"/>
      <c r="N1" s="36"/>
      <c r="O1" s="36"/>
      <c r="P1" s="36"/>
      <c r="Q1" s="36"/>
    </row>
    <row r="2" spans="1:17" customFormat="1">
      <c r="A2" s="36"/>
      <c r="B2" s="36"/>
      <c r="C2" s="36"/>
      <c r="D2" s="36"/>
      <c r="E2" s="36"/>
      <c r="F2" s="36"/>
      <c r="G2" s="36"/>
      <c r="H2" s="36"/>
      <c r="I2" s="36"/>
      <c r="J2" s="36"/>
      <c r="K2" s="36"/>
      <c r="L2" s="36"/>
      <c r="M2" s="36"/>
      <c r="N2" s="36"/>
      <c r="O2" s="36"/>
      <c r="P2" s="36"/>
      <c r="Q2" s="36"/>
    </row>
    <row r="3" spans="1:17"/>
    <row r="4" spans="1:17"/>
    <row r="5" spans="1:17"/>
    <row r="6" spans="1:17"/>
    <row r="7" spans="1:17"/>
    <row r="8" spans="1:17"/>
    <row r="9" spans="1:17"/>
    <row r="10" spans="1:17"/>
    <row r="11" spans="1:17"/>
    <row r="12" spans="1:17"/>
    <row r="13" spans="1:17"/>
    <row r="14" spans="1:17"/>
    <row r="15" spans="1:17"/>
    <row r="16" spans="1:17"/>
    <row r="17"/>
    <row r="18"/>
    <row r="19"/>
    <row r="20"/>
    <row r="21"/>
    <row r="22"/>
    <row r="23"/>
    <row r="24"/>
    <row r="25"/>
    <row r="26"/>
    <row r="27"/>
  </sheetData>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E3B6-E036-46B3-85CB-F55994FFB7F4}">
  <sheetPr>
    <tabColor rgb="FF00B050"/>
  </sheetPr>
  <dimension ref="A1:D72"/>
  <sheetViews>
    <sheetView zoomScale="80" zoomScaleNormal="80" workbookViewId="0"/>
  </sheetViews>
  <sheetFormatPr defaultRowHeight="15"/>
  <cols>
    <col min="1" max="1" width="22.7109375" bestFit="1" customWidth="1"/>
    <col min="2" max="3" width="20.28515625" bestFit="1" customWidth="1"/>
    <col min="4" max="4" width="11.5703125" bestFit="1" customWidth="1"/>
    <col min="5" max="5" width="11.28515625" bestFit="1" customWidth="1"/>
  </cols>
  <sheetData>
    <row r="1" spans="1:4">
      <c r="A1" s="18" t="s">
        <v>27</v>
      </c>
      <c r="B1" s="18" t="s">
        <v>82</v>
      </c>
      <c r="C1" s="5"/>
      <c r="D1" s="5"/>
    </row>
    <row r="2" spans="1:4">
      <c r="A2" s="18" t="s">
        <v>2</v>
      </c>
      <c r="B2" s="5" t="s">
        <v>13</v>
      </c>
      <c r="C2" s="5" t="s">
        <v>12</v>
      </c>
      <c r="D2" s="5" t="s">
        <v>26</v>
      </c>
    </row>
    <row r="3" spans="1:4">
      <c r="A3" s="5" t="s">
        <v>24</v>
      </c>
      <c r="B3" s="14">
        <v>67697.399267399262</v>
      </c>
      <c r="C3" s="14">
        <v>71140.585271317832</v>
      </c>
      <c r="D3" s="14">
        <v>69370.359698681728</v>
      </c>
    </row>
    <row r="4" spans="1:4">
      <c r="A4" s="5" t="s">
        <v>23</v>
      </c>
      <c r="B4" s="14">
        <v>69398.1484375</v>
      </c>
      <c r="C4" s="14">
        <v>71052.484978540771</v>
      </c>
      <c r="D4" s="14">
        <v>70186.41104294479</v>
      </c>
    </row>
    <row r="5" spans="1:4">
      <c r="A5" s="5" t="s">
        <v>26</v>
      </c>
      <c r="B5" s="14">
        <v>68520.446124763708</v>
      </c>
      <c r="C5" s="14">
        <v>71098.77800407332</v>
      </c>
      <c r="D5" s="14">
        <v>69761.584313725485</v>
      </c>
    </row>
    <row r="23" spans="1:4">
      <c r="A23" s="18" t="s">
        <v>83</v>
      </c>
      <c r="B23" s="18" t="s">
        <v>82</v>
      </c>
      <c r="C23" s="5"/>
      <c r="D23" s="5"/>
    </row>
    <row r="24" spans="1:4">
      <c r="A24" s="18" t="s">
        <v>8</v>
      </c>
      <c r="B24" s="5" t="s">
        <v>13</v>
      </c>
      <c r="C24" s="5" t="s">
        <v>12</v>
      </c>
      <c r="D24" s="5" t="s">
        <v>26</v>
      </c>
    </row>
    <row r="25" spans="1:4">
      <c r="A25" s="5" t="s">
        <v>77</v>
      </c>
      <c r="B25" s="14">
        <v>100</v>
      </c>
      <c r="C25" s="14">
        <v>100</v>
      </c>
      <c r="D25" s="14">
        <v>200</v>
      </c>
    </row>
    <row r="26" spans="1:4">
      <c r="A26" s="5" t="s">
        <v>78</v>
      </c>
      <c r="B26" s="14">
        <v>117</v>
      </c>
      <c r="C26" s="14">
        <v>112</v>
      </c>
      <c r="D26" s="14">
        <v>229</v>
      </c>
    </row>
    <row r="27" spans="1:4">
      <c r="A27" s="5" t="s">
        <v>79</v>
      </c>
      <c r="B27" s="14">
        <v>99</v>
      </c>
      <c r="C27" s="14">
        <v>106</v>
      </c>
      <c r="D27" s="14">
        <v>205</v>
      </c>
    </row>
    <row r="28" spans="1:4">
      <c r="A28" s="5" t="s">
        <v>80</v>
      </c>
      <c r="B28" s="14">
        <v>117</v>
      </c>
      <c r="C28" s="14">
        <v>81</v>
      </c>
      <c r="D28" s="14">
        <v>198</v>
      </c>
    </row>
    <row r="29" spans="1:4">
      <c r="A29" s="5" t="s">
        <v>81</v>
      </c>
      <c r="B29" s="14">
        <v>96</v>
      </c>
      <c r="C29" s="14">
        <v>92</v>
      </c>
      <c r="D29" s="14">
        <v>188</v>
      </c>
    </row>
    <row r="30" spans="1:4">
      <c r="A30" s="5" t="s">
        <v>26</v>
      </c>
      <c r="B30" s="14">
        <v>529</v>
      </c>
      <c r="C30" s="14">
        <v>491</v>
      </c>
      <c r="D30" s="14">
        <v>1020</v>
      </c>
    </row>
    <row r="45" spans="1:4">
      <c r="A45" s="18" t="s">
        <v>83</v>
      </c>
      <c r="B45" s="18" t="s">
        <v>82</v>
      </c>
      <c r="C45" s="5"/>
      <c r="D45" s="5"/>
    </row>
    <row r="46" spans="1:4">
      <c r="A46" s="18" t="s">
        <v>25</v>
      </c>
      <c r="B46" s="5" t="s">
        <v>13</v>
      </c>
      <c r="C46" s="5" t="s">
        <v>12</v>
      </c>
      <c r="D46" s="5" t="s">
        <v>26</v>
      </c>
    </row>
    <row r="47" spans="1:4">
      <c r="A47" s="5" t="s">
        <v>28</v>
      </c>
      <c r="B47" s="14">
        <v>119</v>
      </c>
      <c r="C47" s="14">
        <v>105</v>
      </c>
      <c r="D47" s="14">
        <v>224</v>
      </c>
    </row>
    <row r="48" spans="1:4">
      <c r="A48" s="5" t="s">
        <v>58</v>
      </c>
      <c r="B48" s="14">
        <v>265</v>
      </c>
      <c r="C48" s="14">
        <v>238</v>
      </c>
      <c r="D48" s="14">
        <v>503</v>
      </c>
    </row>
    <row r="49" spans="1:4">
      <c r="A49" s="5" t="s">
        <v>29</v>
      </c>
      <c r="B49" s="14">
        <v>145</v>
      </c>
      <c r="C49" s="14">
        <v>148</v>
      </c>
      <c r="D49" s="14">
        <v>293</v>
      </c>
    </row>
    <row r="50" spans="1:4">
      <c r="A50" s="5" t="s">
        <v>26</v>
      </c>
      <c r="B50" s="14">
        <v>529</v>
      </c>
      <c r="C50" s="14">
        <v>491</v>
      </c>
      <c r="D50" s="14">
        <v>1020</v>
      </c>
    </row>
    <row r="68" spans="1:4">
      <c r="A68" s="18" t="s">
        <v>83</v>
      </c>
      <c r="B68" s="18" t="s">
        <v>82</v>
      </c>
      <c r="C68" s="5"/>
      <c r="D68" s="5"/>
    </row>
    <row r="69" spans="1:4">
      <c r="A69" s="18" t="s">
        <v>91</v>
      </c>
      <c r="B69" s="5" t="s">
        <v>13</v>
      </c>
      <c r="C69" s="5" t="s">
        <v>12</v>
      </c>
      <c r="D69" s="5" t="s">
        <v>26</v>
      </c>
    </row>
    <row r="70" spans="1:4">
      <c r="A70" s="5" t="s">
        <v>13</v>
      </c>
      <c r="B70" s="14">
        <v>282</v>
      </c>
      <c r="C70" s="14">
        <v>258</v>
      </c>
      <c r="D70" s="14">
        <v>540</v>
      </c>
    </row>
    <row r="71" spans="1:4">
      <c r="A71" s="5" t="s">
        <v>12</v>
      </c>
      <c r="B71" s="14">
        <v>247</v>
      </c>
      <c r="C71" s="14">
        <v>233</v>
      </c>
      <c r="D71" s="14">
        <v>480</v>
      </c>
    </row>
    <row r="72" spans="1:4">
      <c r="A72" s="5" t="s">
        <v>26</v>
      </c>
      <c r="B72" s="14">
        <v>529</v>
      </c>
      <c r="C72" s="14">
        <v>491</v>
      </c>
      <c r="D72" s="14">
        <v>1020</v>
      </c>
    </row>
  </sheetData>
  <conditionalFormatting pivot="1" sqref="D47:D49">
    <cfRule type="colorScale" priority="4">
      <colorScale>
        <cfvo type="min"/>
        <cfvo type="percentile" val="50"/>
        <cfvo type="max"/>
        <color rgb="FFF8696B"/>
        <color rgb="FFFFEB84"/>
        <color rgb="FF63BE7B"/>
      </colorScale>
    </cfRule>
  </conditionalFormatting>
  <conditionalFormatting pivot="1" sqref="D25:D29">
    <cfRule type="colorScale" priority="3">
      <colorScale>
        <cfvo type="min"/>
        <cfvo type="percentile" val="50"/>
        <cfvo type="max"/>
        <color rgb="FFF8696B"/>
        <color rgb="FFFFEB84"/>
        <color rgb="FF63BE7B"/>
      </colorScale>
    </cfRule>
  </conditionalFormatting>
  <conditionalFormatting pivot="1" sqref="D3:D4">
    <cfRule type="colorScale" priority="2">
      <colorScale>
        <cfvo type="min"/>
        <cfvo type="percentile" val="50"/>
        <cfvo type="max"/>
        <color rgb="FFF8696B"/>
        <color rgb="FFFFEB84"/>
        <color rgb="FF63BE7B"/>
      </colorScale>
    </cfRule>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EEFF-03FA-4BB4-B159-E5F4BACB22FD}">
  <sheetPr>
    <tabColor rgb="FF00B050"/>
  </sheetPr>
  <dimension ref="A3:D26"/>
  <sheetViews>
    <sheetView topLeftCell="A3" zoomScale="80" zoomScaleNormal="80" workbookViewId="0">
      <selection activeCell="A3" sqref="A3"/>
    </sheetView>
  </sheetViews>
  <sheetFormatPr defaultRowHeight="15"/>
  <cols>
    <col min="1" max="1" width="21.42578125" bestFit="1" customWidth="1"/>
    <col min="2" max="2" width="18" bestFit="1" customWidth="1"/>
    <col min="3" max="3" width="22.7109375" bestFit="1" customWidth="1"/>
    <col min="4" max="4" width="18" bestFit="1" customWidth="1"/>
    <col min="5" max="5" width="22.85546875" bestFit="1" customWidth="1"/>
    <col min="6" max="6" width="22.7109375" bestFit="1" customWidth="1"/>
    <col min="7" max="7" width="17.85546875" bestFit="1" customWidth="1"/>
    <col min="8" max="8" width="27.7109375" bestFit="1" customWidth="1"/>
    <col min="9" max="9" width="22.85546875" bestFit="1" customWidth="1"/>
    <col min="10" max="10" width="9.85546875" bestFit="1" customWidth="1"/>
    <col min="11" max="11" width="11.28515625" bestFit="1" customWidth="1"/>
    <col min="12" max="12" width="4.140625" bestFit="1" customWidth="1"/>
    <col min="13" max="13" width="19.28515625" bestFit="1" customWidth="1"/>
    <col min="14" max="14" width="9.28515625" bestFit="1" customWidth="1"/>
    <col min="15" max="15" width="9.85546875" bestFit="1" customWidth="1"/>
    <col min="16" max="16" width="11.28515625" bestFit="1" customWidth="1"/>
    <col min="17" max="17" width="15.85546875" bestFit="1" customWidth="1"/>
    <col min="18" max="18" width="12.85546875" bestFit="1" customWidth="1"/>
    <col min="19" max="19" width="12" bestFit="1" customWidth="1"/>
    <col min="20" max="20" width="14.28515625" bestFit="1" customWidth="1"/>
    <col min="21" max="21" width="19" bestFit="1" customWidth="1"/>
    <col min="22" max="22" width="11.28515625" bestFit="1" customWidth="1"/>
  </cols>
  <sheetData>
    <row r="3" spans="1:4">
      <c r="A3" s="3" t="s">
        <v>82</v>
      </c>
      <c r="B3" t="s">
        <v>12</v>
      </c>
    </row>
    <row r="5" spans="1:4">
      <c r="A5" s="3" t="s">
        <v>6</v>
      </c>
      <c r="B5" s="3" t="s">
        <v>5</v>
      </c>
      <c r="C5" t="s">
        <v>83</v>
      </c>
      <c r="D5" t="s">
        <v>27</v>
      </c>
    </row>
    <row r="6" spans="1:4">
      <c r="A6" t="s">
        <v>15</v>
      </c>
      <c r="C6" s="4">
        <v>121</v>
      </c>
      <c r="D6" s="30">
        <v>77384.305785123972</v>
      </c>
    </row>
    <row r="7" spans="1:4">
      <c r="B7" t="s">
        <v>10</v>
      </c>
      <c r="C7" s="4">
        <v>30</v>
      </c>
      <c r="D7" s="30">
        <v>88094.2</v>
      </c>
    </row>
    <row r="8" spans="1:4">
      <c r="B8" t="s">
        <v>19</v>
      </c>
      <c r="C8" s="4">
        <v>33</v>
      </c>
      <c r="D8" s="30">
        <v>78357.090909090912</v>
      </c>
    </row>
    <row r="9" spans="1:4">
      <c r="B9" t="s">
        <v>17</v>
      </c>
      <c r="C9" s="4">
        <v>27</v>
      </c>
      <c r="D9" s="30">
        <v>70970</v>
      </c>
    </row>
    <row r="10" spans="1:4">
      <c r="B10" t="s">
        <v>14</v>
      </c>
      <c r="C10" s="4">
        <v>31</v>
      </c>
      <c r="D10" s="30">
        <v>71571</v>
      </c>
    </row>
    <row r="11" spans="1:4">
      <c r="A11" t="s">
        <v>18</v>
      </c>
      <c r="C11" s="4">
        <v>114</v>
      </c>
      <c r="D11" s="30">
        <v>69385.412280701756</v>
      </c>
    </row>
    <row r="12" spans="1:4">
      <c r="B12" t="s">
        <v>10</v>
      </c>
      <c r="C12" s="4">
        <v>19</v>
      </c>
      <c r="D12" s="30">
        <v>71314.578947368427</v>
      </c>
    </row>
    <row r="13" spans="1:4">
      <c r="B13" t="s">
        <v>19</v>
      </c>
      <c r="C13" s="4">
        <v>29</v>
      </c>
      <c r="D13" s="30">
        <v>70913.896551724145</v>
      </c>
    </row>
    <row r="14" spans="1:4">
      <c r="B14" t="s">
        <v>17</v>
      </c>
      <c r="C14" s="4">
        <v>37</v>
      </c>
      <c r="D14" s="30">
        <v>71707.4054054054</v>
      </c>
    </row>
    <row r="15" spans="1:4">
      <c r="B15" t="s">
        <v>14</v>
      </c>
      <c r="C15" s="4">
        <v>29</v>
      </c>
      <c r="D15" s="30">
        <v>63630.448275862072</v>
      </c>
    </row>
    <row r="16" spans="1:4">
      <c r="A16" t="s">
        <v>16</v>
      </c>
      <c r="C16" s="4">
        <v>146</v>
      </c>
      <c r="D16" s="30">
        <v>69300.123287671231</v>
      </c>
    </row>
    <row r="17" spans="1:4">
      <c r="B17" t="s">
        <v>10</v>
      </c>
      <c r="C17" s="4">
        <v>43</v>
      </c>
      <c r="D17" s="30">
        <v>62447.58139534884</v>
      </c>
    </row>
    <row r="18" spans="1:4">
      <c r="B18" t="s">
        <v>19</v>
      </c>
      <c r="C18" s="4">
        <v>30</v>
      </c>
      <c r="D18" s="30">
        <v>76728.166666666672</v>
      </c>
    </row>
    <row r="19" spans="1:4">
      <c r="B19" t="s">
        <v>17</v>
      </c>
      <c r="C19" s="4">
        <v>32</v>
      </c>
      <c r="D19" s="30">
        <v>64976.1875</v>
      </c>
    </row>
    <row r="20" spans="1:4">
      <c r="B20" t="s">
        <v>14</v>
      </c>
      <c r="C20" s="4">
        <v>41</v>
      </c>
      <c r="D20" s="30">
        <v>74426.560975609755</v>
      </c>
    </row>
    <row r="21" spans="1:4">
      <c r="A21" t="s">
        <v>11</v>
      </c>
      <c r="C21" s="4">
        <v>110</v>
      </c>
      <c r="D21" s="30">
        <v>68347.672727272729</v>
      </c>
    </row>
    <row r="22" spans="1:4">
      <c r="B22" t="s">
        <v>10</v>
      </c>
      <c r="C22" s="4">
        <v>21</v>
      </c>
      <c r="D22" s="30">
        <v>75474.380952380947</v>
      </c>
    </row>
    <row r="23" spans="1:4">
      <c r="B23" t="s">
        <v>19</v>
      </c>
      <c r="C23" s="4">
        <v>36</v>
      </c>
      <c r="D23" s="30">
        <v>66212.416666666672</v>
      </c>
    </row>
    <row r="24" spans="1:4">
      <c r="B24" t="s">
        <v>17</v>
      </c>
      <c r="C24" s="4">
        <v>25</v>
      </c>
      <c r="D24" s="30">
        <v>66479.08</v>
      </c>
    </row>
    <row r="25" spans="1:4">
      <c r="B25" t="s">
        <v>14</v>
      </c>
      <c r="C25" s="4">
        <v>28</v>
      </c>
      <c r="D25" s="30">
        <v>67416.357142857145</v>
      </c>
    </row>
    <row r="26" spans="1:4">
      <c r="A26" t="s">
        <v>26</v>
      </c>
      <c r="C26" s="4">
        <v>491</v>
      </c>
      <c r="D26" s="30">
        <v>71098.77800407332</v>
      </c>
    </row>
  </sheetData>
  <conditionalFormatting pivot="1" sqref="C7:C10 C12:C15 C17:C20 C22:C2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7DE9-A232-4897-A1CA-1951BE856F86}">
  <sheetPr>
    <tabColor rgb="FFFFC000"/>
  </sheetPr>
  <dimension ref="A1:E29"/>
  <sheetViews>
    <sheetView workbookViewId="0">
      <selection activeCell="C1" sqref="C1"/>
    </sheetView>
  </sheetViews>
  <sheetFormatPr defaultRowHeight="15"/>
  <cols>
    <col min="1" max="1" width="18.85546875" style="5" bestFit="1" customWidth="1"/>
    <col min="2" max="2" width="14.140625" style="5" customWidth="1"/>
    <col min="3" max="3" width="77.28515625" style="5" customWidth="1"/>
    <col min="4" max="4" width="51.7109375" customWidth="1"/>
  </cols>
  <sheetData>
    <row r="1" spans="1:5" ht="26.25" customHeight="1">
      <c r="A1" s="33" t="s">
        <v>33</v>
      </c>
      <c r="B1" s="33" t="s">
        <v>32</v>
      </c>
      <c r="C1" s="33" t="s">
        <v>110</v>
      </c>
      <c r="D1" s="33" t="s">
        <v>31</v>
      </c>
    </row>
    <row r="2" spans="1:5" ht="28.5" customHeight="1">
      <c r="A2" s="33" t="s">
        <v>34</v>
      </c>
      <c r="B2" s="33" t="s">
        <v>35</v>
      </c>
      <c r="C2" s="34" t="s">
        <v>37</v>
      </c>
      <c r="D2" s="35" t="s">
        <v>38</v>
      </c>
    </row>
    <row r="3" spans="1:5" ht="28.5" customHeight="1">
      <c r="A3" s="33" t="s">
        <v>34</v>
      </c>
      <c r="B3" s="33" t="s">
        <v>36</v>
      </c>
      <c r="C3" s="35" t="s">
        <v>112</v>
      </c>
      <c r="D3" s="35" t="s">
        <v>49</v>
      </c>
    </row>
    <row r="4" spans="1:5" ht="30">
      <c r="A4" s="33" t="s">
        <v>34</v>
      </c>
      <c r="B4" s="33" t="s">
        <v>39</v>
      </c>
      <c r="C4" s="35" t="s">
        <v>113</v>
      </c>
      <c r="D4" s="35" t="s">
        <v>50</v>
      </c>
      <c r="E4" s="5"/>
    </row>
    <row r="5" spans="1:5">
      <c r="A5" s="33" t="s">
        <v>34</v>
      </c>
      <c r="B5" s="33" t="s">
        <v>40</v>
      </c>
      <c r="C5" s="34" t="s">
        <v>114</v>
      </c>
      <c r="D5" s="35" t="s">
        <v>51</v>
      </c>
    </row>
    <row r="6" spans="1:5">
      <c r="A6" s="33" t="s">
        <v>34</v>
      </c>
      <c r="B6" s="33" t="s">
        <v>41</v>
      </c>
      <c r="C6" s="34" t="s">
        <v>115</v>
      </c>
      <c r="D6" s="35" t="s">
        <v>52</v>
      </c>
    </row>
    <row r="7" spans="1:5">
      <c r="A7" s="33" t="s">
        <v>34</v>
      </c>
      <c r="B7" s="33" t="s">
        <v>20</v>
      </c>
      <c r="C7" s="34" t="s">
        <v>116</v>
      </c>
      <c r="D7" s="35" t="s">
        <v>53</v>
      </c>
    </row>
    <row r="8" spans="1:5">
      <c r="A8" s="33" t="s">
        <v>34</v>
      </c>
      <c r="B8" s="33" t="s">
        <v>42</v>
      </c>
      <c r="C8" s="34" t="s">
        <v>117</v>
      </c>
      <c r="D8" s="35" t="s">
        <v>54</v>
      </c>
    </row>
    <row r="9" spans="1:5">
      <c r="A9" s="33" t="s">
        <v>34</v>
      </c>
      <c r="B9" s="33" t="s">
        <v>43</v>
      </c>
      <c r="C9" s="34" t="s">
        <v>118</v>
      </c>
      <c r="D9" s="35" t="s">
        <v>55</v>
      </c>
    </row>
    <row r="10" spans="1:5" ht="30">
      <c r="A10" s="33" t="s">
        <v>34</v>
      </c>
      <c r="B10" s="33" t="s">
        <v>44</v>
      </c>
      <c r="C10" s="34" t="s">
        <v>119</v>
      </c>
      <c r="D10" s="35" t="s">
        <v>56</v>
      </c>
    </row>
    <row r="11" spans="1:5">
      <c r="A11" s="33" t="s">
        <v>34</v>
      </c>
      <c r="B11" s="33" t="s">
        <v>45</v>
      </c>
      <c r="C11" s="34" t="s">
        <v>120</v>
      </c>
      <c r="D11" s="35" t="s">
        <v>57</v>
      </c>
    </row>
    <row r="12" spans="1:5">
      <c r="A12" s="33" t="s">
        <v>34</v>
      </c>
      <c r="B12" s="33" t="s">
        <v>46</v>
      </c>
      <c r="C12" s="34" t="s">
        <v>121</v>
      </c>
      <c r="D12" s="35" t="s">
        <v>76</v>
      </c>
    </row>
    <row r="13" spans="1:5" ht="60">
      <c r="A13" s="33" t="s">
        <v>34</v>
      </c>
      <c r="B13" s="33" t="s">
        <v>47</v>
      </c>
      <c r="C13" s="35" t="s">
        <v>122</v>
      </c>
      <c r="D13" s="35" t="s">
        <v>48</v>
      </c>
    </row>
    <row r="14" spans="1:5">
      <c r="A14" s="33" t="s">
        <v>34</v>
      </c>
      <c r="B14" s="33" t="s">
        <v>21</v>
      </c>
      <c r="C14" s="34" t="s">
        <v>123</v>
      </c>
      <c r="D14" s="35" t="s">
        <v>111</v>
      </c>
    </row>
    <row r="15" spans="1:5">
      <c r="C15" s="12"/>
      <c r="D15" s="12"/>
    </row>
    <row r="16" spans="1:5" ht="28.5" customHeight="1">
      <c r="A16" s="21" t="s">
        <v>33</v>
      </c>
      <c r="B16" s="21" t="s">
        <v>99</v>
      </c>
      <c r="C16" s="21" t="s">
        <v>31</v>
      </c>
      <c r="D16" s="21"/>
    </row>
    <row r="17" spans="1:4" ht="30">
      <c r="A17" s="21" t="s">
        <v>86</v>
      </c>
      <c r="B17" s="21" t="s">
        <v>87</v>
      </c>
      <c r="C17" s="22" t="s">
        <v>103</v>
      </c>
      <c r="D17" s="22"/>
    </row>
    <row r="18" spans="1:4" ht="30">
      <c r="A18" s="21" t="s">
        <v>86</v>
      </c>
      <c r="B18" s="21" t="s">
        <v>88</v>
      </c>
      <c r="C18" s="22" t="s">
        <v>104</v>
      </c>
      <c r="D18" s="23"/>
    </row>
    <row r="19" spans="1:4" ht="30">
      <c r="A19" s="21" t="s">
        <v>86</v>
      </c>
      <c r="B19" s="21" t="s">
        <v>89</v>
      </c>
      <c r="C19" s="22" t="s">
        <v>102</v>
      </c>
      <c r="D19" s="23"/>
    </row>
    <row r="20" spans="1:4" ht="30">
      <c r="A20" s="21" t="s">
        <v>86</v>
      </c>
      <c r="B20" s="21" t="s">
        <v>90</v>
      </c>
      <c r="C20" s="22" t="s">
        <v>105</v>
      </c>
      <c r="D20" s="23"/>
    </row>
    <row r="21" spans="1:4">
      <c r="A21" s="31"/>
      <c r="B21" s="31"/>
      <c r="C21" s="31"/>
      <c r="D21" s="31"/>
    </row>
    <row r="22" spans="1:4" ht="30">
      <c r="A22" s="21" t="s">
        <v>92</v>
      </c>
      <c r="B22" s="21" t="s">
        <v>94</v>
      </c>
      <c r="C22" s="25" t="s">
        <v>96</v>
      </c>
      <c r="D22" s="24"/>
    </row>
    <row r="23" spans="1:4" ht="30">
      <c r="A23" s="21" t="s">
        <v>92</v>
      </c>
      <c r="B23" s="21" t="s">
        <v>95</v>
      </c>
      <c r="C23" s="25" t="s">
        <v>97</v>
      </c>
      <c r="D23" s="24"/>
    </row>
    <row r="25" spans="1:4" ht="27" customHeight="1">
      <c r="A25" s="26" t="s">
        <v>33</v>
      </c>
      <c r="B25" s="26" t="s">
        <v>99</v>
      </c>
      <c r="C25" s="26" t="s">
        <v>31</v>
      </c>
      <c r="D25" s="26"/>
    </row>
    <row r="26" spans="1:4" s="28" customFormat="1" ht="45">
      <c r="A26" s="26" t="s">
        <v>98</v>
      </c>
      <c r="B26" s="26" t="s">
        <v>100</v>
      </c>
      <c r="C26" s="29" t="s">
        <v>101</v>
      </c>
      <c r="D26" s="27"/>
    </row>
    <row r="27" spans="1:4" s="28" customFormat="1">
      <c r="A27" s="32"/>
      <c r="B27" s="32"/>
      <c r="C27" s="32"/>
      <c r="D27" s="32"/>
    </row>
    <row r="28" spans="1:4" s="28" customFormat="1" ht="30">
      <c r="A28" s="26" t="s">
        <v>93</v>
      </c>
      <c r="B28" s="26" t="s">
        <v>106</v>
      </c>
      <c r="C28" s="29" t="s">
        <v>108</v>
      </c>
      <c r="D28" s="27"/>
    </row>
    <row r="29" spans="1:4" s="28" customFormat="1" ht="30">
      <c r="A29" s="26" t="s">
        <v>93</v>
      </c>
      <c r="B29" s="26" t="s">
        <v>107</v>
      </c>
      <c r="C29" s="29" t="s">
        <v>109</v>
      </c>
      <c r="D29" s="27"/>
    </row>
  </sheetData>
  <phoneticPr fontId="22" type="noConversion"/>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F395-411F-2A4F-B1D2-71E4D46A9301}">
  <sheetPr>
    <tabColor rgb="FF00B0F0"/>
  </sheetPr>
  <dimension ref="A1:N1023"/>
  <sheetViews>
    <sheetView zoomScale="80" zoomScaleNormal="80" workbookViewId="0"/>
  </sheetViews>
  <sheetFormatPr defaultRowHeight="15"/>
  <cols>
    <col min="1" max="1" width="18.85546875" style="6" customWidth="1"/>
    <col min="2" max="2" width="18.85546875" style="10" customWidth="1"/>
    <col min="3" max="3" width="18.85546875" style="11" customWidth="1"/>
    <col min="4" max="4" width="18.85546875" style="17" customWidth="1"/>
    <col min="5" max="8" width="18.85546875" style="9" customWidth="1"/>
    <col min="9" max="9" width="20" style="9" customWidth="1"/>
    <col min="10" max="11" width="18.85546875" style="9" customWidth="1"/>
    <col min="12" max="12" width="18.85546875" style="11" customWidth="1"/>
    <col min="13" max="13" width="20.28515625" style="9" bestFit="1" customWidth="1"/>
    <col min="14" max="14" width="4.28515625" customWidth="1"/>
    <col min="15" max="15" width="31.28515625" bestFit="1" customWidth="1"/>
  </cols>
  <sheetData>
    <row r="1" spans="1:14" s="5" customFormat="1" ht="21.75" customHeight="1">
      <c r="A1" s="13" t="s">
        <v>0</v>
      </c>
      <c r="B1" s="13" t="s">
        <v>1</v>
      </c>
      <c r="C1" s="13" t="s">
        <v>2</v>
      </c>
      <c r="D1" s="15" t="s">
        <v>3</v>
      </c>
      <c r="E1" s="13" t="s">
        <v>4</v>
      </c>
      <c r="F1" s="13" t="s">
        <v>5</v>
      </c>
      <c r="G1" s="13" t="s">
        <v>6</v>
      </c>
      <c r="H1" s="13" t="s">
        <v>91</v>
      </c>
      <c r="I1" s="13" t="s">
        <v>8</v>
      </c>
      <c r="J1" s="13" t="s">
        <v>75</v>
      </c>
      <c r="K1" s="5" t="s">
        <v>9</v>
      </c>
      <c r="L1" s="13" t="s">
        <v>25</v>
      </c>
      <c r="M1" s="13" t="s">
        <v>82</v>
      </c>
    </row>
    <row r="2" spans="1:14">
      <c r="A2" s="6">
        <v>25795</v>
      </c>
      <c r="B2" s="10" t="str">
        <f>IF(_xlfn.XLOOKUP($A2,'RAWDATA Cars Buyers DB'!$A:$A,'RAWDATA Cars Buyers DB'!B:B)="S","Single","Married")</f>
        <v>Married</v>
      </c>
      <c r="C2" s="10" t="str">
        <f>IF(_xlfn.XLOOKUP($A2,'RAWDATA Cars Buyers DB'!$A:$A,'RAWDATA Cars Buyers DB'!C:C)="F","Female","Male")</f>
        <v>Female</v>
      </c>
      <c r="D2" s="7">
        <f>_xlfn.XLOOKUP($A2,'RAWDATA Cars Buyers DB'!$A:$A,'RAWDATA Cars Buyers DB'!D:D)</f>
        <v>105371</v>
      </c>
      <c r="E2" s="8">
        <f>_xlfn.XLOOKUP($A2,'RAWDATA Cars Buyers DB'!$A:$A,'RAWDATA Cars Buyers DB'!E:E)</f>
        <v>2</v>
      </c>
      <c r="F2" s="8" t="str">
        <f>_xlfn.XLOOKUP($A2,'RAWDATA Cars Buyers DB'!$A:$A,'RAWDATA Cars Buyers DB'!F:F)</f>
        <v>Partial College</v>
      </c>
      <c r="G2" s="8" t="str">
        <f>_xlfn.XLOOKUP($A2,'RAWDATA Cars Buyers DB'!$A:$A,'RAWDATA Cars Buyers DB'!G:G)</f>
        <v>Clerical</v>
      </c>
      <c r="H2" s="8" t="str">
        <f>_xlfn.XLOOKUP($A2,'RAWDATA Cars Buyers DB'!$A:$A,'RAWDATA Cars Buyers DB'!H:H)</f>
        <v>No</v>
      </c>
      <c r="I2" s="8" t="str">
        <f>_xlfn.XLOOKUP($A2,'RAWDATA Cars Buyers DB'!$A:$A,'RAWDATA Cars Buyers DB'!I:I)</f>
        <v>0–1 Kilometre</v>
      </c>
      <c r="J2" s="8" t="str">
        <f>_xlfn.XLOOKUP($A2,'RAWDATA Cars Buyers DB'!$A:$A,'RAWDATA Cars Buyers DB'!J:J)</f>
        <v>Rhineland-Palatinate</v>
      </c>
      <c r="K2" s="8">
        <f>_xlfn.XLOOKUP($A2,'RAWDATA Cars Buyers DB'!$A:$A,'RAWDATA Cars Buyers DB'!K:K)</f>
        <v>48</v>
      </c>
      <c r="L2" s="10" t="str">
        <f>IF(_xlfn.XLOOKUP($A2,'RAWDATA Cars Buyers DB'!$A:$A,'RAWDATA Cars Buyers DB'!K:K)&gt;54,"Old ",IF(_xlfn.XLOOKUP($A2,'RAWDATA Cars Buyers DB'!$A:$A,'RAWDATA Cars Buyers DB'!K:K)&gt;=31,"Middle Age ",IF(_xlfn.XLOOKUP($A2,'RAWDATA Cars Buyers DB'!$A:$A,'RAWDATA Cars Buyers DB'!K:K)&lt;31,"Adolescent","Invalid")))</f>
        <v xml:space="preserve">Middle Age </v>
      </c>
      <c r="M2" s="8" t="str">
        <f>_xlfn.XLOOKUP($A2,'RAWDATA Cars Buyers DB'!$A:$A,'RAWDATA Cars Buyers DB'!L:L)</f>
        <v>No</v>
      </c>
      <c r="N2" s="5"/>
    </row>
    <row r="3" spans="1:14">
      <c r="A3" s="6">
        <v>10860</v>
      </c>
      <c r="B3" s="10" t="str">
        <f>IF(_xlfn.XLOOKUP($A3,'RAWDATA Cars Buyers DB'!$A:$A,'RAWDATA Cars Buyers DB'!B:B)="S","Single","Married")</f>
        <v>Married</v>
      </c>
      <c r="C3" s="10" t="str">
        <f>IF(_xlfn.XLOOKUP($A3,'RAWDATA Cars Buyers DB'!$A:$A,'RAWDATA Cars Buyers DB'!C:C)="F","Female","Male")</f>
        <v>Male</v>
      </c>
      <c r="D3" s="7">
        <f>_xlfn.XLOOKUP($A3,'RAWDATA Cars Buyers DB'!$A:$A,'RAWDATA Cars Buyers DB'!D:D)</f>
        <v>49033</v>
      </c>
      <c r="E3" s="8">
        <f>_xlfn.XLOOKUP($A3,'RAWDATA Cars Buyers DB'!$A:$A,'RAWDATA Cars Buyers DB'!E:E)</f>
        <v>4</v>
      </c>
      <c r="F3" s="8" t="str">
        <f>_xlfn.XLOOKUP($A3,'RAWDATA Cars Buyers DB'!$A:$A,'RAWDATA Cars Buyers DB'!F:F)</f>
        <v>Bachelors</v>
      </c>
      <c r="G3" s="8" t="str">
        <f>_xlfn.XLOOKUP($A3,'RAWDATA Cars Buyers DB'!$A:$A,'RAWDATA Cars Buyers DB'!G:G)</f>
        <v>Management</v>
      </c>
      <c r="H3" s="8" t="str">
        <f>_xlfn.XLOOKUP($A3,'RAWDATA Cars Buyers DB'!$A:$A,'RAWDATA Cars Buyers DB'!H:H)</f>
        <v>Yes</v>
      </c>
      <c r="I3" s="8" t="str">
        <f>_xlfn.XLOOKUP($A3,'RAWDATA Cars Buyers DB'!$A:$A,'RAWDATA Cars Buyers DB'!I:I)</f>
        <v>1–2 Kilometre</v>
      </c>
      <c r="J3" s="8" t="str">
        <f>_xlfn.XLOOKUP($A3,'RAWDATA Cars Buyers DB'!$A:$A,'RAWDATA Cars Buyers DB'!J:J)</f>
        <v>Bavaria</v>
      </c>
      <c r="K3" s="8">
        <f>_xlfn.XLOOKUP($A3,'RAWDATA Cars Buyers DB'!$A:$A,'RAWDATA Cars Buyers DB'!K:K)</f>
        <v>23</v>
      </c>
      <c r="L3" s="10" t="str">
        <f>IF(_xlfn.XLOOKUP($A3,'RAWDATA Cars Buyers DB'!$A:$A,'RAWDATA Cars Buyers DB'!K:K)&gt;54,"Old ",IF(_xlfn.XLOOKUP($A3,'RAWDATA Cars Buyers DB'!$A:$A,'RAWDATA Cars Buyers DB'!K:K)&gt;=31,"Middle Age ",IF(_xlfn.XLOOKUP($A3,'RAWDATA Cars Buyers DB'!$A:$A,'RAWDATA Cars Buyers DB'!K:K)&lt;31,"Adolescent","Invalid")))</f>
        <v>Adolescent</v>
      </c>
      <c r="M3" s="8" t="str">
        <f>_xlfn.XLOOKUP($A3,'RAWDATA Cars Buyers DB'!$A:$A,'RAWDATA Cars Buyers DB'!L:L)</f>
        <v>No</v>
      </c>
    </row>
    <row r="4" spans="1:14">
      <c r="A4" s="6">
        <v>86820</v>
      </c>
      <c r="B4" s="10" t="str">
        <f>IF(_xlfn.XLOOKUP($A4,'RAWDATA Cars Buyers DB'!$A:$A,'RAWDATA Cars Buyers DB'!B:B)="S","Single","Married")</f>
        <v>Married</v>
      </c>
      <c r="C4" s="10" t="str">
        <f>IF(_xlfn.XLOOKUP($A4,'RAWDATA Cars Buyers DB'!$A:$A,'RAWDATA Cars Buyers DB'!C:C)="F","Female","Male")</f>
        <v>Male</v>
      </c>
      <c r="D4" s="7">
        <f>_xlfn.XLOOKUP($A4,'RAWDATA Cars Buyers DB'!$A:$A,'RAWDATA Cars Buyers DB'!D:D)</f>
        <v>44000</v>
      </c>
      <c r="E4" s="8">
        <f>_xlfn.XLOOKUP($A4,'RAWDATA Cars Buyers DB'!$A:$A,'RAWDATA Cars Buyers DB'!E:E)</f>
        <v>4</v>
      </c>
      <c r="F4" s="8" t="str">
        <f>_xlfn.XLOOKUP($A4,'RAWDATA Cars Buyers DB'!$A:$A,'RAWDATA Cars Buyers DB'!F:F)</f>
        <v>Bachelors</v>
      </c>
      <c r="G4" s="8" t="str">
        <f>_xlfn.XLOOKUP($A4,'RAWDATA Cars Buyers DB'!$A:$A,'RAWDATA Cars Buyers DB'!G:G)</f>
        <v>Professional</v>
      </c>
      <c r="H4" s="8" t="str">
        <f>_xlfn.XLOOKUP($A4,'RAWDATA Cars Buyers DB'!$A:$A,'RAWDATA Cars Buyers DB'!H:H)</f>
        <v>No</v>
      </c>
      <c r="I4" s="8" t="str">
        <f>_xlfn.XLOOKUP($A4,'RAWDATA Cars Buyers DB'!$A:$A,'RAWDATA Cars Buyers DB'!I:I)</f>
        <v>2–4 Kilometre</v>
      </c>
      <c r="J4" s="8" t="str">
        <f>_xlfn.XLOOKUP($A4,'RAWDATA Cars Buyers DB'!$A:$A,'RAWDATA Cars Buyers DB'!J:J)</f>
        <v>Hamburg</v>
      </c>
      <c r="K4" s="8">
        <f>_xlfn.XLOOKUP($A4,'RAWDATA Cars Buyers DB'!$A:$A,'RAWDATA Cars Buyers DB'!K:K)</f>
        <v>29</v>
      </c>
      <c r="L4" s="10" t="str">
        <f>IF(_xlfn.XLOOKUP($A4,'RAWDATA Cars Buyers DB'!$A:$A,'RAWDATA Cars Buyers DB'!K:K)&gt;54,"Old ",IF(_xlfn.XLOOKUP($A4,'RAWDATA Cars Buyers DB'!$A:$A,'RAWDATA Cars Buyers DB'!K:K)&gt;=31,"Middle Age ",IF(_xlfn.XLOOKUP($A4,'RAWDATA Cars Buyers DB'!$A:$A,'RAWDATA Cars Buyers DB'!K:K)&lt;31,"Adolescent","Invalid")))</f>
        <v>Adolescent</v>
      </c>
      <c r="M4" s="8" t="str">
        <f>_xlfn.XLOOKUP($A4,'RAWDATA Cars Buyers DB'!$A:$A,'RAWDATA Cars Buyers DB'!L:L)</f>
        <v>Yes</v>
      </c>
    </row>
    <row r="5" spans="1:14">
      <c r="A5" s="6">
        <v>64886</v>
      </c>
      <c r="B5" s="10" t="str">
        <f>IF(_xlfn.XLOOKUP($A5,'RAWDATA Cars Buyers DB'!$A:$A,'RAWDATA Cars Buyers DB'!B:B)="S","Single","Married")</f>
        <v>Married</v>
      </c>
      <c r="C5" s="10" t="str">
        <f>IF(_xlfn.XLOOKUP($A5,'RAWDATA Cars Buyers DB'!$A:$A,'RAWDATA Cars Buyers DB'!C:C)="F","Female","Male")</f>
        <v>Male</v>
      </c>
      <c r="D5" s="7">
        <f>_xlfn.XLOOKUP($A5,'RAWDATA Cars Buyers DB'!$A:$A,'RAWDATA Cars Buyers DB'!D:D)</f>
        <v>95868</v>
      </c>
      <c r="E5" s="8">
        <f>_xlfn.XLOOKUP($A5,'RAWDATA Cars Buyers DB'!$A:$A,'RAWDATA Cars Buyers DB'!E:E)</f>
        <v>5</v>
      </c>
      <c r="F5" s="8" t="str">
        <f>_xlfn.XLOOKUP($A5,'RAWDATA Cars Buyers DB'!$A:$A,'RAWDATA Cars Buyers DB'!F:F)</f>
        <v>High School</v>
      </c>
      <c r="G5" s="8" t="str">
        <f>_xlfn.XLOOKUP($A5,'RAWDATA Cars Buyers DB'!$A:$A,'RAWDATA Cars Buyers DB'!G:G)</f>
        <v>Skilled Manual</v>
      </c>
      <c r="H5" s="8" t="str">
        <f>_xlfn.XLOOKUP($A5,'RAWDATA Cars Buyers DB'!$A:$A,'RAWDATA Cars Buyers DB'!H:H)</f>
        <v>No</v>
      </c>
      <c r="I5" s="8" t="str">
        <f>_xlfn.XLOOKUP($A5,'RAWDATA Cars Buyers DB'!$A:$A,'RAWDATA Cars Buyers DB'!I:I)</f>
        <v>0–1 Kilometre</v>
      </c>
      <c r="J5" s="8" t="str">
        <f>_xlfn.XLOOKUP($A5,'RAWDATA Cars Buyers DB'!$A:$A,'RAWDATA Cars Buyers DB'!J:J)</f>
        <v>Saarland</v>
      </c>
      <c r="K5" s="8">
        <f>_xlfn.XLOOKUP($A5,'RAWDATA Cars Buyers DB'!$A:$A,'RAWDATA Cars Buyers DB'!K:K)</f>
        <v>44</v>
      </c>
      <c r="L5" s="10" t="str">
        <f>IF(_xlfn.XLOOKUP($A5,'RAWDATA Cars Buyers DB'!$A:$A,'RAWDATA Cars Buyers DB'!K:K)&gt;54,"Old ",IF(_xlfn.XLOOKUP($A5,'RAWDATA Cars Buyers DB'!$A:$A,'RAWDATA Cars Buyers DB'!K:K)&gt;=31,"Middle Age ",IF(_xlfn.XLOOKUP($A5,'RAWDATA Cars Buyers DB'!$A:$A,'RAWDATA Cars Buyers DB'!K:K)&lt;31,"Adolescent","Invalid")))</f>
        <v xml:space="preserve">Middle Age </v>
      </c>
      <c r="M5" s="8" t="str">
        <f>_xlfn.XLOOKUP($A5,'RAWDATA Cars Buyers DB'!$A:$A,'RAWDATA Cars Buyers DB'!L:L)</f>
        <v>No</v>
      </c>
    </row>
    <row r="6" spans="1:14">
      <c r="A6" s="6">
        <v>16265</v>
      </c>
      <c r="B6" s="10" t="str">
        <f>IF(_xlfn.XLOOKUP($A6,'RAWDATA Cars Buyers DB'!$A:$A,'RAWDATA Cars Buyers DB'!B:B)="S","Single","Married")</f>
        <v>Married</v>
      </c>
      <c r="C6" s="10" t="str">
        <f>IF(_xlfn.XLOOKUP($A6,'RAWDATA Cars Buyers DB'!$A:$A,'RAWDATA Cars Buyers DB'!C:C)="F","Female","Male")</f>
        <v>Female</v>
      </c>
      <c r="D6" s="7">
        <f>_xlfn.XLOOKUP($A6,'RAWDATA Cars Buyers DB'!$A:$A,'RAWDATA Cars Buyers DB'!D:D)</f>
        <v>62604</v>
      </c>
      <c r="E6" s="8">
        <f>_xlfn.XLOOKUP($A6,'RAWDATA Cars Buyers DB'!$A:$A,'RAWDATA Cars Buyers DB'!E:E)</f>
        <v>0</v>
      </c>
      <c r="F6" s="8" t="str">
        <f>_xlfn.XLOOKUP($A6,'RAWDATA Cars Buyers DB'!$A:$A,'RAWDATA Cars Buyers DB'!F:F)</f>
        <v>Bachelors</v>
      </c>
      <c r="G6" s="8" t="str">
        <f>_xlfn.XLOOKUP($A6,'RAWDATA Cars Buyers DB'!$A:$A,'RAWDATA Cars Buyers DB'!G:G)</f>
        <v>Skilled Manual</v>
      </c>
      <c r="H6" s="8" t="str">
        <f>_xlfn.XLOOKUP($A6,'RAWDATA Cars Buyers DB'!$A:$A,'RAWDATA Cars Buyers DB'!H:H)</f>
        <v>Yes</v>
      </c>
      <c r="I6" s="8" t="str">
        <f>_xlfn.XLOOKUP($A6,'RAWDATA Cars Buyers DB'!$A:$A,'RAWDATA Cars Buyers DB'!I:I)</f>
        <v>1–2 Kilometre</v>
      </c>
      <c r="J6" s="8" t="str">
        <f>_xlfn.XLOOKUP($A6,'RAWDATA Cars Buyers DB'!$A:$A,'RAWDATA Cars Buyers DB'!J:J)</f>
        <v>Berlin</v>
      </c>
      <c r="K6" s="8">
        <f>_xlfn.XLOOKUP($A6,'RAWDATA Cars Buyers DB'!$A:$A,'RAWDATA Cars Buyers DB'!K:K)</f>
        <v>50</v>
      </c>
      <c r="L6" s="10" t="str">
        <f>IF(_xlfn.XLOOKUP($A6,'RAWDATA Cars Buyers DB'!$A:$A,'RAWDATA Cars Buyers DB'!K:K)&gt;54,"Old ",IF(_xlfn.XLOOKUP($A6,'RAWDATA Cars Buyers DB'!$A:$A,'RAWDATA Cars Buyers DB'!K:K)&gt;=31,"Middle Age ",IF(_xlfn.XLOOKUP($A6,'RAWDATA Cars Buyers DB'!$A:$A,'RAWDATA Cars Buyers DB'!K:K)&lt;31,"Adolescent","Invalid")))</f>
        <v xml:space="preserve">Middle Age </v>
      </c>
      <c r="M6" s="8" t="str">
        <f>_xlfn.XLOOKUP($A6,'RAWDATA Cars Buyers DB'!$A:$A,'RAWDATA Cars Buyers DB'!L:L)</f>
        <v>No</v>
      </c>
    </row>
    <row r="7" spans="1:14">
      <c r="A7" s="6">
        <v>92386</v>
      </c>
      <c r="B7" s="10" t="str">
        <f>IF(_xlfn.XLOOKUP($A7,'RAWDATA Cars Buyers DB'!$A:$A,'RAWDATA Cars Buyers DB'!B:B)="S","Single","Married")</f>
        <v>Married</v>
      </c>
      <c r="C7" s="10" t="str">
        <f>IF(_xlfn.XLOOKUP($A7,'RAWDATA Cars Buyers DB'!$A:$A,'RAWDATA Cars Buyers DB'!C:C)="F","Female","Male")</f>
        <v>Male</v>
      </c>
      <c r="D7" s="7">
        <f>_xlfn.XLOOKUP($A7,'RAWDATA Cars Buyers DB'!$A:$A,'RAWDATA Cars Buyers DB'!D:D)</f>
        <v>88336</v>
      </c>
      <c r="E7" s="8">
        <f>_xlfn.XLOOKUP($A7,'RAWDATA Cars Buyers DB'!$A:$A,'RAWDATA Cars Buyers DB'!E:E)</f>
        <v>0</v>
      </c>
      <c r="F7" s="8" t="str">
        <f>_xlfn.XLOOKUP($A7,'RAWDATA Cars Buyers DB'!$A:$A,'RAWDATA Cars Buyers DB'!F:F)</f>
        <v>High School</v>
      </c>
      <c r="G7" s="8" t="str">
        <f>_xlfn.XLOOKUP($A7,'RAWDATA Cars Buyers DB'!$A:$A,'RAWDATA Cars Buyers DB'!G:G)</f>
        <v>Skilled Manual</v>
      </c>
      <c r="H7" s="8" t="str">
        <f>_xlfn.XLOOKUP($A7,'RAWDATA Cars Buyers DB'!$A:$A,'RAWDATA Cars Buyers DB'!H:H)</f>
        <v>No</v>
      </c>
      <c r="I7" s="8" t="str">
        <f>_xlfn.XLOOKUP($A7,'RAWDATA Cars Buyers DB'!$A:$A,'RAWDATA Cars Buyers DB'!I:I)</f>
        <v>2–4 Kilometre</v>
      </c>
      <c r="J7" s="8" t="str">
        <f>_xlfn.XLOOKUP($A7,'RAWDATA Cars Buyers DB'!$A:$A,'RAWDATA Cars Buyers DB'!J:J)</f>
        <v>Bremen</v>
      </c>
      <c r="K7" s="8">
        <f>_xlfn.XLOOKUP($A7,'RAWDATA Cars Buyers DB'!$A:$A,'RAWDATA Cars Buyers DB'!K:K)</f>
        <v>22</v>
      </c>
      <c r="L7" s="10" t="str">
        <f>IF(_xlfn.XLOOKUP($A7,'RAWDATA Cars Buyers DB'!$A:$A,'RAWDATA Cars Buyers DB'!K:K)&gt;54,"Old ",IF(_xlfn.XLOOKUP($A7,'RAWDATA Cars Buyers DB'!$A:$A,'RAWDATA Cars Buyers DB'!K:K)&gt;=31,"Middle Age ",IF(_xlfn.XLOOKUP($A7,'RAWDATA Cars Buyers DB'!$A:$A,'RAWDATA Cars Buyers DB'!K:K)&lt;31,"Adolescent","Invalid")))</f>
        <v>Adolescent</v>
      </c>
      <c r="M7" s="8" t="str">
        <f>_xlfn.XLOOKUP($A7,'RAWDATA Cars Buyers DB'!$A:$A,'RAWDATA Cars Buyers DB'!L:L)</f>
        <v>Yes</v>
      </c>
    </row>
    <row r="8" spans="1:14">
      <c r="A8" s="6">
        <v>47194</v>
      </c>
      <c r="B8" s="10" t="str">
        <f>IF(_xlfn.XLOOKUP($A8,'RAWDATA Cars Buyers DB'!$A:$A,'RAWDATA Cars Buyers DB'!B:B)="S","Single","Married")</f>
        <v>Married</v>
      </c>
      <c r="C8" s="10" t="str">
        <f>IF(_xlfn.XLOOKUP($A8,'RAWDATA Cars Buyers DB'!$A:$A,'RAWDATA Cars Buyers DB'!C:C)="F","Female","Male")</f>
        <v>Female</v>
      </c>
      <c r="D8" s="7">
        <f>_xlfn.XLOOKUP($A8,'RAWDATA Cars Buyers DB'!$A:$A,'RAWDATA Cars Buyers DB'!D:D)</f>
        <v>115074</v>
      </c>
      <c r="E8" s="8">
        <f>_xlfn.XLOOKUP($A8,'RAWDATA Cars Buyers DB'!$A:$A,'RAWDATA Cars Buyers DB'!E:E)</f>
        <v>0</v>
      </c>
      <c r="F8" s="8" t="str">
        <f>_xlfn.XLOOKUP($A8,'RAWDATA Cars Buyers DB'!$A:$A,'RAWDATA Cars Buyers DB'!F:F)</f>
        <v>High School</v>
      </c>
      <c r="G8" s="8" t="str">
        <f>_xlfn.XLOOKUP($A8,'RAWDATA Cars Buyers DB'!$A:$A,'RAWDATA Cars Buyers DB'!G:G)</f>
        <v>Professional</v>
      </c>
      <c r="H8" s="8" t="str">
        <f>_xlfn.XLOOKUP($A8,'RAWDATA Cars Buyers DB'!$A:$A,'RAWDATA Cars Buyers DB'!H:H)</f>
        <v>Yes</v>
      </c>
      <c r="I8" s="8" t="str">
        <f>_xlfn.XLOOKUP($A8,'RAWDATA Cars Buyers DB'!$A:$A,'RAWDATA Cars Buyers DB'!I:I)</f>
        <v>4–6 Kilometre</v>
      </c>
      <c r="J8" s="8" t="str">
        <f>_xlfn.XLOOKUP($A8,'RAWDATA Cars Buyers DB'!$A:$A,'RAWDATA Cars Buyers DB'!J:J)</f>
        <v>Saxony-Anhalt</v>
      </c>
      <c r="K8" s="8">
        <f>_xlfn.XLOOKUP($A8,'RAWDATA Cars Buyers DB'!$A:$A,'RAWDATA Cars Buyers DB'!K:K)</f>
        <v>66</v>
      </c>
      <c r="L8" s="10" t="str">
        <f>IF(_xlfn.XLOOKUP($A8,'RAWDATA Cars Buyers DB'!$A:$A,'RAWDATA Cars Buyers DB'!K:K)&gt;54,"Old ",IF(_xlfn.XLOOKUP($A8,'RAWDATA Cars Buyers DB'!$A:$A,'RAWDATA Cars Buyers DB'!K:K)&gt;=31,"Middle Age ",IF(_xlfn.XLOOKUP($A8,'RAWDATA Cars Buyers DB'!$A:$A,'RAWDATA Cars Buyers DB'!K:K)&lt;31,"Adolescent","Invalid")))</f>
        <v xml:space="preserve">Old </v>
      </c>
      <c r="M8" s="8" t="str">
        <f>_xlfn.XLOOKUP($A8,'RAWDATA Cars Buyers DB'!$A:$A,'RAWDATA Cars Buyers DB'!L:L)</f>
        <v>Yes</v>
      </c>
    </row>
    <row r="9" spans="1:14">
      <c r="A9" s="6">
        <v>97498</v>
      </c>
      <c r="B9" s="10" t="str">
        <f>IF(_xlfn.XLOOKUP($A9,'RAWDATA Cars Buyers DB'!$A:$A,'RAWDATA Cars Buyers DB'!B:B)="S","Single","Married")</f>
        <v>Single</v>
      </c>
      <c r="C9" s="10" t="str">
        <f>IF(_xlfn.XLOOKUP($A9,'RAWDATA Cars Buyers DB'!$A:$A,'RAWDATA Cars Buyers DB'!C:C)="F","Female","Male")</f>
        <v>Male</v>
      </c>
      <c r="D9" s="7">
        <f>_xlfn.XLOOKUP($A9,'RAWDATA Cars Buyers DB'!$A:$A,'RAWDATA Cars Buyers DB'!D:D)</f>
        <v>115655</v>
      </c>
      <c r="E9" s="8">
        <f>_xlfn.XLOOKUP($A9,'RAWDATA Cars Buyers DB'!$A:$A,'RAWDATA Cars Buyers DB'!E:E)</f>
        <v>2</v>
      </c>
      <c r="F9" s="8" t="str">
        <f>_xlfn.XLOOKUP($A9,'RAWDATA Cars Buyers DB'!$A:$A,'RAWDATA Cars Buyers DB'!F:F)</f>
        <v>Graduate Degree</v>
      </c>
      <c r="G9" s="8" t="str">
        <f>_xlfn.XLOOKUP($A9,'RAWDATA Cars Buyers DB'!$A:$A,'RAWDATA Cars Buyers DB'!G:G)</f>
        <v>Management</v>
      </c>
      <c r="H9" s="8" t="str">
        <f>_xlfn.XLOOKUP($A9,'RAWDATA Cars Buyers DB'!$A:$A,'RAWDATA Cars Buyers DB'!H:H)</f>
        <v>Yes</v>
      </c>
      <c r="I9" s="8" t="str">
        <f>_xlfn.XLOOKUP($A9,'RAWDATA Cars Buyers DB'!$A:$A,'RAWDATA Cars Buyers DB'!I:I)</f>
        <v>2–4 Kilometre</v>
      </c>
      <c r="J9" s="8" t="str">
        <f>_xlfn.XLOOKUP($A9,'RAWDATA Cars Buyers DB'!$A:$A,'RAWDATA Cars Buyers DB'!J:J)</f>
        <v>Berlin</v>
      </c>
      <c r="K9" s="8">
        <f>_xlfn.XLOOKUP($A9,'RAWDATA Cars Buyers DB'!$A:$A,'RAWDATA Cars Buyers DB'!K:K)</f>
        <v>21</v>
      </c>
      <c r="L9" s="10" t="str">
        <f>IF(_xlfn.XLOOKUP($A9,'RAWDATA Cars Buyers DB'!$A:$A,'RAWDATA Cars Buyers DB'!K:K)&gt;54,"Old ",IF(_xlfn.XLOOKUP($A9,'RAWDATA Cars Buyers DB'!$A:$A,'RAWDATA Cars Buyers DB'!K:K)&gt;=31,"Middle Age ",IF(_xlfn.XLOOKUP($A9,'RAWDATA Cars Buyers DB'!$A:$A,'RAWDATA Cars Buyers DB'!K:K)&lt;31,"Adolescent","Invalid")))</f>
        <v>Adolescent</v>
      </c>
      <c r="M9" s="8" t="str">
        <f>_xlfn.XLOOKUP($A9,'RAWDATA Cars Buyers DB'!$A:$A,'RAWDATA Cars Buyers DB'!L:L)</f>
        <v>Yes</v>
      </c>
    </row>
    <row r="10" spans="1:14">
      <c r="A10" s="6">
        <v>54131</v>
      </c>
      <c r="B10" s="10" t="str">
        <f>IF(_xlfn.XLOOKUP($A10,'RAWDATA Cars Buyers DB'!$A:$A,'RAWDATA Cars Buyers DB'!B:B)="S","Single","Married")</f>
        <v>Single</v>
      </c>
      <c r="C10" s="10" t="str">
        <f>IF(_xlfn.XLOOKUP($A10,'RAWDATA Cars Buyers DB'!$A:$A,'RAWDATA Cars Buyers DB'!C:C)="F","Female","Male")</f>
        <v>Male</v>
      </c>
      <c r="D10" s="7">
        <f>_xlfn.XLOOKUP($A10,'RAWDATA Cars Buyers DB'!$A:$A,'RAWDATA Cars Buyers DB'!D:D)</f>
        <v>93869</v>
      </c>
      <c r="E10" s="8">
        <f>_xlfn.XLOOKUP($A10,'RAWDATA Cars Buyers DB'!$A:$A,'RAWDATA Cars Buyers DB'!E:E)</f>
        <v>3</v>
      </c>
      <c r="F10" s="8" t="str">
        <f>_xlfn.XLOOKUP($A10,'RAWDATA Cars Buyers DB'!$A:$A,'RAWDATA Cars Buyers DB'!F:F)</f>
        <v>High School</v>
      </c>
      <c r="G10" s="8" t="str">
        <f>_xlfn.XLOOKUP($A10,'RAWDATA Cars Buyers DB'!$A:$A,'RAWDATA Cars Buyers DB'!G:G)</f>
        <v>Management</v>
      </c>
      <c r="H10" s="8" t="str">
        <f>_xlfn.XLOOKUP($A10,'RAWDATA Cars Buyers DB'!$A:$A,'RAWDATA Cars Buyers DB'!H:H)</f>
        <v>Yes</v>
      </c>
      <c r="I10" s="8" t="str">
        <f>_xlfn.XLOOKUP($A10,'RAWDATA Cars Buyers DB'!$A:$A,'RAWDATA Cars Buyers DB'!I:I)</f>
        <v>6+ Kilometre</v>
      </c>
      <c r="J10" s="8" t="str">
        <f>_xlfn.XLOOKUP($A10,'RAWDATA Cars Buyers DB'!$A:$A,'RAWDATA Cars Buyers DB'!J:J)</f>
        <v>Berlin</v>
      </c>
      <c r="K10" s="8">
        <f>_xlfn.XLOOKUP($A10,'RAWDATA Cars Buyers DB'!$A:$A,'RAWDATA Cars Buyers DB'!K:K)</f>
        <v>44</v>
      </c>
      <c r="L10" s="10" t="str">
        <f>IF(_xlfn.XLOOKUP($A10,'RAWDATA Cars Buyers DB'!$A:$A,'RAWDATA Cars Buyers DB'!K:K)&gt;54,"Old ",IF(_xlfn.XLOOKUP($A10,'RAWDATA Cars Buyers DB'!$A:$A,'RAWDATA Cars Buyers DB'!K:K)&gt;=31,"Middle Age ",IF(_xlfn.XLOOKUP($A10,'RAWDATA Cars Buyers DB'!$A:$A,'RAWDATA Cars Buyers DB'!K:K)&lt;31,"Adolescent","Invalid")))</f>
        <v xml:space="preserve">Middle Age </v>
      </c>
      <c r="M10" s="8" t="str">
        <f>_xlfn.XLOOKUP($A10,'RAWDATA Cars Buyers DB'!$A:$A,'RAWDATA Cars Buyers DB'!L:L)</f>
        <v>No</v>
      </c>
    </row>
    <row r="11" spans="1:14">
      <c r="A11" s="6">
        <v>70263</v>
      </c>
      <c r="B11" s="10" t="str">
        <f>IF(_xlfn.XLOOKUP($A11,'RAWDATA Cars Buyers DB'!$A:$A,'RAWDATA Cars Buyers DB'!B:B)="S","Single","Married")</f>
        <v>Married</v>
      </c>
      <c r="C11" s="10" t="str">
        <f>IF(_xlfn.XLOOKUP($A11,'RAWDATA Cars Buyers DB'!$A:$A,'RAWDATA Cars Buyers DB'!C:C)="F","Female","Male")</f>
        <v>Male</v>
      </c>
      <c r="D11" s="7">
        <f>_xlfn.XLOOKUP($A11,'RAWDATA Cars Buyers DB'!$A:$A,'RAWDATA Cars Buyers DB'!D:D)</f>
        <v>25410</v>
      </c>
      <c r="E11" s="8">
        <f>_xlfn.XLOOKUP($A11,'RAWDATA Cars Buyers DB'!$A:$A,'RAWDATA Cars Buyers DB'!E:E)</f>
        <v>0</v>
      </c>
      <c r="F11" s="8" t="str">
        <f>_xlfn.XLOOKUP($A11,'RAWDATA Cars Buyers DB'!$A:$A,'RAWDATA Cars Buyers DB'!F:F)</f>
        <v>High School</v>
      </c>
      <c r="G11" s="8" t="str">
        <f>_xlfn.XLOOKUP($A11,'RAWDATA Cars Buyers DB'!$A:$A,'RAWDATA Cars Buyers DB'!G:G)</f>
        <v>Clerical</v>
      </c>
      <c r="H11" s="8" t="str">
        <f>_xlfn.XLOOKUP($A11,'RAWDATA Cars Buyers DB'!$A:$A,'RAWDATA Cars Buyers DB'!H:H)</f>
        <v>Yes</v>
      </c>
      <c r="I11" s="8" t="str">
        <f>_xlfn.XLOOKUP($A11,'RAWDATA Cars Buyers DB'!$A:$A,'RAWDATA Cars Buyers DB'!I:I)</f>
        <v>2–4 Kilometre</v>
      </c>
      <c r="J11" s="8" t="str">
        <f>_xlfn.XLOOKUP($A11,'RAWDATA Cars Buyers DB'!$A:$A,'RAWDATA Cars Buyers DB'!J:J)</f>
        <v>Lower Saxony</v>
      </c>
      <c r="K11" s="8">
        <f>_xlfn.XLOOKUP($A11,'RAWDATA Cars Buyers DB'!$A:$A,'RAWDATA Cars Buyers DB'!K:K)</f>
        <v>68</v>
      </c>
      <c r="L11" s="10" t="str">
        <f>IF(_xlfn.XLOOKUP($A11,'RAWDATA Cars Buyers DB'!$A:$A,'RAWDATA Cars Buyers DB'!K:K)&gt;54,"Old ",IF(_xlfn.XLOOKUP($A11,'RAWDATA Cars Buyers DB'!$A:$A,'RAWDATA Cars Buyers DB'!K:K)&gt;=31,"Middle Age ",IF(_xlfn.XLOOKUP($A11,'RAWDATA Cars Buyers DB'!$A:$A,'RAWDATA Cars Buyers DB'!K:K)&lt;31,"Adolescent","Invalid")))</f>
        <v xml:space="preserve">Old </v>
      </c>
      <c r="M11" s="8" t="str">
        <f>_xlfn.XLOOKUP($A11,'RAWDATA Cars Buyers DB'!$A:$A,'RAWDATA Cars Buyers DB'!L:L)</f>
        <v>Yes</v>
      </c>
    </row>
    <row r="12" spans="1:14">
      <c r="A12" s="6">
        <v>26023</v>
      </c>
      <c r="B12" s="10" t="str">
        <f>IF(_xlfn.XLOOKUP($A12,'RAWDATA Cars Buyers DB'!$A:$A,'RAWDATA Cars Buyers DB'!B:B)="S","Single","Married")</f>
        <v>Single</v>
      </c>
      <c r="C12" s="10" t="str">
        <f>IF(_xlfn.XLOOKUP($A12,'RAWDATA Cars Buyers DB'!$A:$A,'RAWDATA Cars Buyers DB'!C:C)="F","Female","Male")</f>
        <v>Female</v>
      </c>
      <c r="D12" s="7">
        <f>_xlfn.XLOOKUP($A12,'RAWDATA Cars Buyers DB'!$A:$A,'RAWDATA Cars Buyers DB'!D:D)</f>
        <v>103375</v>
      </c>
      <c r="E12" s="8">
        <f>_xlfn.XLOOKUP($A12,'RAWDATA Cars Buyers DB'!$A:$A,'RAWDATA Cars Buyers DB'!E:E)</f>
        <v>0</v>
      </c>
      <c r="F12" s="8" t="str">
        <f>_xlfn.XLOOKUP($A12,'RAWDATA Cars Buyers DB'!$A:$A,'RAWDATA Cars Buyers DB'!F:F)</f>
        <v>Graduate Degree</v>
      </c>
      <c r="G12" s="8" t="str">
        <f>_xlfn.XLOOKUP($A12,'RAWDATA Cars Buyers DB'!$A:$A,'RAWDATA Cars Buyers DB'!G:G)</f>
        <v>Professional</v>
      </c>
      <c r="H12" s="8" t="str">
        <f>_xlfn.XLOOKUP($A12,'RAWDATA Cars Buyers DB'!$A:$A,'RAWDATA Cars Buyers DB'!H:H)</f>
        <v>Yes</v>
      </c>
      <c r="I12" s="8" t="str">
        <f>_xlfn.XLOOKUP($A12,'RAWDATA Cars Buyers DB'!$A:$A,'RAWDATA Cars Buyers DB'!I:I)</f>
        <v>6+ Kilometre</v>
      </c>
      <c r="J12" s="8" t="str">
        <f>_xlfn.XLOOKUP($A12,'RAWDATA Cars Buyers DB'!$A:$A,'RAWDATA Cars Buyers DB'!J:J)</f>
        <v>Saxony-Anhalt</v>
      </c>
      <c r="K12" s="8">
        <f>_xlfn.XLOOKUP($A12,'RAWDATA Cars Buyers DB'!$A:$A,'RAWDATA Cars Buyers DB'!K:K)</f>
        <v>25</v>
      </c>
      <c r="L12" s="10" t="str">
        <f>IF(_xlfn.XLOOKUP($A12,'RAWDATA Cars Buyers DB'!$A:$A,'RAWDATA Cars Buyers DB'!K:K)&gt;54,"Old ",IF(_xlfn.XLOOKUP($A12,'RAWDATA Cars Buyers DB'!$A:$A,'RAWDATA Cars Buyers DB'!K:K)&gt;=31,"Middle Age ",IF(_xlfn.XLOOKUP($A12,'RAWDATA Cars Buyers DB'!$A:$A,'RAWDATA Cars Buyers DB'!K:K)&lt;31,"Adolescent","Invalid")))</f>
        <v>Adolescent</v>
      </c>
      <c r="M12" s="8" t="str">
        <f>_xlfn.XLOOKUP($A12,'RAWDATA Cars Buyers DB'!$A:$A,'RAWDATA Cars Buyers DB'!L:L)</f>
        <v>No</v>
      </c>
    </row>
    <row r="13" spans="1:14">
      <c r="A13" s="6">
        <v>51090</v>
      </c>
      <c r="B13" s="10" t="str">
        <f>IF(_xlfn.XLOOKUP($A13,'RAWDATA Cars Buyers DB'!$A:$A,'RAWDATA Cars Buyers DB'!B:B)="S","Single","Married")</f>
        <v>Married</v>
      </c>
      <c r="C13" s="10" t="str">
        <f>IF(_xlfn.XLOOKUP($A13,'RAWDATA Cars Buyers DB'!$A:$A,'RAWDATA Cars Buyers DB'!C:C)="F","Female","Male")</f>
        <v>Female</v>
      </c>
      <c r="D13" s="7">
        <f>_xlfn.XLOOKUP($A13,'RAWDATA Cars Buyers DB'!$A:$A,'RAWDATA Cars Buyers DB'!D:D)</f>
        <v>76044</v>
      </c>
      <c r="E13" s="8">
        <f>_xlfn.XLOOKUP($A13,'RAWDATA Cars Buyers DB'!$A:$A,'RAWDATA Cars Buyers DB'!E:E)</f>
        <v>1</v>
      </c>
      <c r="F13" s="8" t="str">
        <f>_xlfn.XLOOKUP($A13,'RAWDATA Cars Buyers DB'!$A:$A,'RAWDATA Cars Buyers DB'!F:F)</f>
        <v>Bachelors</v>
      </c>
      <c r="G13" s="8" t="str">
        <f>_xlfn.XLOOKUP($A13,'RAWDATA Cars Buyers DB'!$A:$A,'RAWDATA Cars Buyers DB'!G:G)</f>
        <v>Management</v>
      </c>
      <c r="H13" s="8" t="str">
        <f>_xlfn.XLOOKUP($A13,'RAWDATA Cars Buyers DB'!$A:$A,'RAWDATA Cars Buyers DB'!H:H)</f>
        <v>No</v>
      </c>
      <c r="I13" s="8" t="str">
        <f>_xlfn.XLOOKUP($A13,'RAWDATA Cars Buyers DB'!$A:$A,'RAWDATA Cars Buyers DB'!I:I)</f>
        <v>1–2 Kilometre</v>
      </c>
      <c r="J13" s="8" t="str">
        <f>_xlfn.XLOOKUP($A13,'RAWDATA Cars Buyers DB'!$A:$A,'RAWDATA Cars Buyers DB'!J:J)</f>
        <v>Baden-Württemberg</v>
      </c>
      <c r="K13" s="8">
        <f>_xlfn.XLOOKUP($A13,'RAWDATA Cars Buyers DB'!$A:$A,'RAWDATA Cars Buyers DB'!K:K)</f>
        <v>45</v>
      </c>
      <c r="L13" s="10" t="str">
        <f>IF(_xlfn.XLOOKUP($A13,'RAWDATA Cars Buyers DB'!$A:$A,'RAWDATA Cars Buyers DB'!K:K)&gt;54,"Old ",IF(_xlfn.XLOOKUP($A13,'RAWDATA Cars Buyers DB'!$A:$A,'RAWDATA Cars Buyers DB'!K:K)&gt;=31,"Middle Age ",IF(_xlfn.XLOOKUP($A13,'RAWDATA Cars Buyers DB'!$A:$A,'RAWDATA Cars Buyers DB'!K:K)&lt;31,"Adolescent","Invalid")))</f>
        <v xml:space="preserve">Middle Age </v>
      </c>
      <c r="M13" s="8" t="str">
        <f>_xlfn.XLOOKUP($A13,'RAWDATA Cars Buyers DB'!$A:$A,'RAWDATA Cars Buyers DB'!L:L)</f>
        <v>No</v>
      </c>
    </row>
    <row r="14" spans="1:14">
      <c r="A14" s="6">
        <v>77221</v>
      </c>
      <c r="B14" s="10" t="str">
        <f>IF(_xlfn.XLOOKUP($A14,'RAWDATA Cars Buyers DB'!$A:$A,'RAWDATA Cars Buyers DB'!B:B)="S","Single","Married")</f>
        <v>Single</v>
      </c>
      <c r="C14" s="10" t="str">
        <f>IF(_xlfn.XLOOKUP($A14,'RAWDATA Cars Buyers DB'!$A:$A,'RAWDATA Cars Buyers DB'!C:C)="F","Female","Male")</f>
        <v>Female</v>
      </c>
      <c r="D14" s="7">
        <f>_xlfn.XLOOKUP($A14,'RAWDATA Cars Buyers DB'!$A:$A,'RAWDATA Cars Buyers DB'!D:D)</f>
        <v>83315</v>
      </c>
      <c r="E14" s="8">
        <f>_xlfn.XLOOKUP($A14,'RAWDATA Cars Buyers DB'!$A:$A,'RAWDATA Cars Buyers DB'!E:E)</f>
        <v>2</v>
      </c>
      <c r="F14" s="8" t="str">
        <f>_xlfn.XLOOKUP($A14,'RAWDATA Cars Buyers DB'!$A:$A,'RAWDATA Cars Buyers DB'!F:F)</f>
        <v>Partial College</v>
      </c>
      <c r="G14" s="8" t="str">
        <f>_xlfn.XLOOKUP($A14,'RAWDATA Cars Buyers DB'!$A:$A,'RAWDATA Cars Buyers DB'!G:G)</f>
        <v>Professional</v>
      </c>
      <c r="H14" s="8" t="str">
        <f>_xlfn.XLOOKUP($A14,'RAWDATA Cars Buyers DB'!$A:$A,'RAWDATA Cars Buyers DB'!H:H)</f>
        <v>No</v>
      </c>
      <c r="I14" s="8" t="str">
        <f>_xlfn.XLOOKUP($A14,'RAWDATA Cars Buyers DB'!$A:$A,'RAWDATA Cars Buyers DB'!I:I)</f>
        <v>2–4 Kilometre</v>
      </c>
      <c r="J14" s="8" t="str">
        <f>_xlfn.XLOOKUP($A14,'RAWDATA Cars Buyers DB'!$A:$A,'RAWDATA Cars Buyers DB'!J:J)</f>
        <v>Bremen</v>
      </c>
      <c r="K14" s="8">
        <f>_xlfn.XLOOKUP($A14,'RAWDATA Cars Buyers DB'!$A:$A,'RAWDATA Cars Buyers DB'!K:K)</f>
        <v>27</v>
      </c>
      <c r="L14" s="10" t="str">
        <f>IF(_xlfn.XLOOKUP($A14,'RAWDATA Cars Buyers DB'!$A:$A,'RAWDATA Cars Buyers DB'!K:K)&gt;54,"Old ",IF(_xlfn.XLOOKUP($A14,'RAWDATA Cars Buyers DB'!$A:$A,'RAWDATA Cars Buyers DB'!K:K)&gt;=31,"Middle Age ",IF(_xlfn.XLOOKUP($A14,'RAWDATA Cars Buyers DB'!$A:$A,'RAWDATA Cars Buyers DB'!K:K)&lt;31,"Adolescent","Invalid")))</f>
        <v>Adolescent</v>
      </c>
      <c r="M14" s="8" t="str">
        <f>_xlfn.XLOOKUP($A14,'RAWDATA Cars Buyers DB'!$A:$A,'RAWDATA Cars Buyers DB'!L:L)</f>
        <v>Yes</v>
      </c>
    </row>
    <row r="15" spans="1:14">
      <c r="A15" s="6">
        <v>74820</v>
      </c>
      <c r="B15" s="10" t="str">
        <f>IF(_xlfn.XLOOKUP($A15,'RAWDATA Cars Buyers DB'!$A:$A,'RAWDATA Cars Buyers DB'!B:B)="S","Single","Married")</f>
        <v>Single</v>
      </c>
      <c r="C15" s="10" t="str">
        <f>IF(_xlfn.XLOOKUP($A15,'RAWDATA Cars Buyers DB'!$A:$A,'RAWDATA Cars Buyers DB'!C:C)="F","Female","Male")</f>
        <v>Male</v>
      </c>
      <c r="D15" s="7">
        <f>_xlfn.XLOOKUP($A15,'RAWDATA Cars Buyers DB'!$A:$A,'RAWDATA Cars Buyers DB'!D:D)</f>
        <v>116055</v>
      </c>
      <c r="E15" s="8">
        <f>_xlfn.XLOOKUP($A15,'RAWDATA Cars Buyers DB'!$A:$A,'RAWDATA Cars Buyers DB'!E:E)</f>
        <v>5</v>
      </c>
      <c r="F15" s="8" t="str">
        <f>_xlfn.XLOOKUP($A15,'RAWDATA Cars Buyers DB'!$A:$A,'RAWDATA Cars Buyers DB'!F:F)</f>
        <v>Partial College</v>
      </c>
      <c r="G15" s="8" t="str">
        <f>_xlfn.XLOOKUP($A15,'RAWDATA Cars Buyers DB'!$A:$A,'RAWDATA Cars Buyers DB'!G:G)</f>
        <v>Clerical</v>
      </c>
      <c r="H15" s="8" t="str">
        <f>_xlfn.XLOOKUP($A15,'RAWDATA Cars Buyers DB'!$A:$A,'RAWDATA Cars Buyers DB'!H:H)</f>
        <v>No</v>
      </c>
      <c r="I15" s="8" t="str">
        <f>_xlfn.XLOOKUP($A15,'RAWDATA Cars Buyers DB'!$A:$A,'RAWDATA Cars Buyers DB'!I:I)</f>
        <v>1–2 Kilometre</v>
      </c>
      <c r="J15" s="8" t="str">
        <f>_xlfn.XLOOKUP($A15,'RAWDATA Cars Buyers DB'!$A:$A,'RAWDATA Cars Buyers DB'!J:J)</f>
        <v>Schleswig-Holstein</v>
      </c>
      <c r="K15" s="8">
        <f>_xlfn.XLOOKUP($A15,'RAWDATA Cars Buyers DB'!$A:$A,'RAWDATA Cars Buyers DB'!K:K)</f>
        <v>54</v>
      </c>
      <c r="L15" s="10" t="str">
        <f>IF(_xlfn.XLOOKUP($A15,'RAWDATA Cars Buyers DB'!$A:$A,'RAWDATA Cars Buyers DB'!K:K)&gt;54,"Old ",IF(_xlfn.XLOOKUP($A15,'RAWDATA Cars Buyers DB'!$A:$A,'RAWDATA Cars Buyers DB'!K:K)&gt;=31,"Middle Age ",IF(_xlfn.XLOOKUP($A15,'RAWDATA Cars Buyers DB'!$A:$A,'RAWDATA Cars Buyers DB'!K:K)&lt;31,"Adolescent","Invalid")))</f>
        <v xml:space="preserve">Middle Age </v>
      </c>
      <c r="M15" s="8" t="str">
        <f>_xlfn.XLOOKUP($A15,'RAWDATA Cars Buyers DB'!$A:$A,'RAWDATA Cars Buyers DB'!L:L)</f>
        <v>No</v>
      </c>
    </row>
    <row r="16" spans="1:14">
      <c r="A16" s="6">
        <v>10769</v>
      </c>
      <c r="B16" s="10" t="str">
        <f>IF(_xlfn.XLOOKUP($A16,'RAWDATA Cars Buyers DB'!$A:$A,'RAWDATA Cars Buyers DB'!B:B)="S","Single","Married")</f>
        <v>Single</v>
      </c>
      <c r="C16" s="10" t="str">
        <f>IF(_xlfn.XLOOKUP($A16,'RAWDATA Cars Buyers DB'!$A:$A,'RAWDATA Cars Buyers DB'!C:C)="F","Female","Male")</f>
        <v>Male</v>
      </c>
      <c r="D16" s="7">
        <f>_xlfn.XLOOKUP($A16,'RAWDATA Cars Buyers DB'!$A:$A,'RAWDATA Cars Buyers DB'!D:D)</f>
        <v>91344</v>
      </c>
      <c r="E16" s="8">
        <f>_xlfn.XLOOKUP($A16,'RAWDATA Cars Buyers DB'!$A:$A,'RAWDATA Cars Buyers DB'!E:E)</f>
        <v>0</v>
      </c>
      <c r="F16" s="8" t="str">
        <f>_xlfn.XLOOKUP($A16,'RAWDATA Cars Buyers DB'!$A:$A,'RAWDATA Cars Buyers DB'!F:F)</f>
        <v>Partial College</v>
      </c>
      <c r="G16" s="8" t="str">
        <f>_xlfn.XLOOKUP($A16,'RAWDATA Cars Buyers DB'!$A:$A,'RAWDATA Cars Buyers DB'!G:G)</f>
        <v>Clerical</v>
      </c>
      <c r="H16" s="8" t="str">
        <f>_xlfn.XLOOKUP($A16,'RAWDATA Cars Buyers DB'!$A:$A,'RAWDATA Cars Buyers DB'!H:H)</f>
        <v>Yes</v>
      </c>
      <c r="I16" s="8" t="str">
        <f>_xlfn.XLOOKUP($A16,'RAWDATA Cars Buyers DB'!$A:$A,'RAWDATA Cars Buyers DB'!I:I)</f>
        <v>1–2 Kilometre</v>
      </c>
      <c r="J16" s="8" t="str">
        <f>_xlfn.XLOOKUP($A16,'RAWDATA Cars Buyers DB'!$A:$A,'RAWDATA Cars Buyers DB'!J:J)</f>
        <v>Mecklenburg-Vorpommern</v>
      </c>
      <c r="K16" s="8">
        <f>_xlfn.XLOOKUP($A16,'RAWDATA Cars Buyers DB'!$A:$A,'RAWDATA Cars Buyers DB'!K:K)</f>
        <v>46</v>
      </c>
      <c r="L16" s="10" t="str">
        <f>IF(_xlfn.XLOOKUP($A16,'RAWDATA Cars Buyers DB'!$A:$A,'RAWDATA Cars Buyers DB'!K:K)&gt;54,"Old ",IF(_xlfn.XLOOKUP($A16,'RAWDATA Cars Buyers DB'!$A:$A,'RAWDATA Cars Buyers DB'!K:K)&gt;=31,"Middle Age ",IF(_xlfn.XLOOKUP($A16,'RAWDATA Cars Buyers DB'!$A:$A,'RAWDATA Cars Buyers DB'!K:K)&lt;31,"Adolescent","Invalid")))</f>
        <v xml:space="preserve">Middle Age </v>
      </c>
      <c r="M16" s="8" t="str">
        <f>_xlfn.XLOOKUP($A16,'RAWDATA Cars Buyers DB'!$A:$A,'RAWDATA Cars Buyers DB'!L:L)</f>
        <v>Yes</v>
      </c>
    </row>
    <row r="17" spans="1:13">
      <c r="A17" s="6">
        <v>69735</v>
      </c>
      <c r="B17" s="10" t="str">
        <f>IF(_xlfn.XLOOKUP($A17,'RAWDATA Cars Buyers DB'!$A:$A,'RAWDATA Cars Buyers DB'!B:B)="S","Single","Married")</f>
        <v>Single</v>
      </c>
      <c r="C17" s="10" t="str">
        <f>IF(_xlfn.XLOOKUP($A17,'RAWDATA Cars Buyers DB'!$A:$A,'RAWDATA Cars Buyers DB'!C:C)="F","Female","Male")</f>
        <v>Female</v>
      </c>
      <c r="D17" s="7">
        <f>_xlfn.XLOOKUP($A17,'RAWDATA Cars Buyers DB'!$A:$A,'RAWDATA Cars Buyers DB'!D:D)</f>
        <v>26796</v>
      </c>
      <c r="E17" s="8">
        <f>_xlfn.XLOOKUP($A17,'RAWDATA Cars Buyers DB'!$A:$A,'RAWDATA Cars Buyers DB'!E:E)</f>
        <v>1</v>
      </c>
      <c r="F17" s="8" t="str">
        <f>_xlfn.XLOOKUP($A17,'RAWDATA Cars Buyers DB'!$A:$A,'RAWDATA Cars Buyers DB'!F:F)</f>
        <v>Bachelors</v>
      </c>
      <c r="G17" s="8" t="str">
        <f>_xlfn.XLOOKUP($A17,'RAWDATA Cars Buyers DB'!$A:$A,'RAWDATA Cars Buyers DB'!G:G)</f>
        <v>Clerical</v>
      </c>
      <c r="H17" s="8" t="str">
        <f>_xlfn.XLOOKUP($A17,'RAWDATA Cars Buyers DB'!$A:$A,'RAWDATA Cars Buyers DB'!H:H)</f>
        <v>No</v>
      </c>
      <c r="I17" s="8" t="str">
        <f>_xlfn.XLOOKUP($A17,'RAWDATA Cars Buyers DB'!$A:$A,'RAWDATA Cars Buyers DB'!I:I)</f>
        <v>0–1 Kilometre</v>
      </c>
      <c r="J17" s="8" t="str">
        <f>_xlfn.XLOOKUP($A17,'RAWDATA Cars Buyers DB'!$A:$A,'RAWDATA Cars Buyers DB'!J:J)</f>
        <v>Saarland</v>
      </c>
      <c r="K17" s="8">
        <f>_xlfn.XLOOKUP($A17,'RAWDATA Cars Buyers DB'!$A:$A,'RAWDATA Cars Buyers DB'!K:K)</f>
        <v>44</v>
      </c>
      <c r="L17" s="10" t="str">
        <f>IF(_xlfn.XLOOKUP($A17,'RAWDATA Cars Buyers DB'!$A:$A,'RAWDATA Cars Buyers DB'!K:K)&gt;54,"Old ",IF(_xlfn.XLOOKUP($A17,'RAWDATA Cars Buyers DB'!$A:$A,'RAWDATA Cars Buyers DB'!K:K)&gt;=31,"Middle Age ",IF(_xlfn.XLOOKUP($A17,'RAWDATA Cars Buyers DB'!$A:$A,'RAWDATA Cars Buyers DB'!K:K)&lt;31,"Adolescent","Invalid")))</f>
        <v xml:space="preserve">Middle Age </v>
      </c>
      <c r="M17" s="8" t="str">
        <f>_xlfn.XLOOKUP($A17,'RAWDATA Cars Buyers DB'!$A:$A,'RAWDATA Cars Buyers DB'!L:L)</f>
        <v>No</v>
      </c>
    </row>
    <row r="18" spans="1:13">
      <c r="A18" s="6">
        <v>72955</v>
      </c>
      <c r="B18" s="10" t="str">
        <f>IF(_xlfn.XLOOKUP($A18,'RAWDATA Cars Buyers DB'!$A:$A,'RAWDATA Cars Buyers DB'!B:B)="S","Single","Married")</f>
        <v>Single</v>
      </c>
      <c r="C18" s="10" t="str">
        <f>IF(_xlfn.XLOOKUP($A18,'RAWDATA Cars Buyers DB'!$A:$A,'RAWDATA Cars Buyers DB'!C:C)="F","Female","Male")</f>
        <v>Female</v>
      </c>
      <c r="D18" s="7">
        <f>_xlfn.XLOOKUP($A18,'RAWDATA Cars Buyers DB'!$A:$A,'RAWDATA Cars Buyers DB'!D:D)</f>
        <v>106716</v>
      </c>
      <c r="E18" s="8">
        <f>_xlfn.XLOOKUP($A18,'RAWDATA Cars Buyers DB'!$A:$A,'RAWDATA Cars Buyers DB'!E:E)</f>
        <v>4</v>
      </c>
      <c r="F18" s="8" t="str">
        <f>_xlfn.XLOOKUP($A18,'RAWDATA Cars Buyers DB'!$A:$A,'RAWDATA Cars Buyers DB'!F:F)</f>
        <v>High School</v>
      </c>
      <c r="G18" s="8" t="str">
        <f>_xlfn.XLOOKUP($A18,'RAWDATA Cars Buyers DB'!$A:$A,'RAWDATA Cars Buyers DB'!G:G)</f>
        <v>Skilled Manual</v>
      </c>
      <c r="H18" s="8" t="str">
        <f>_xlfn.XLOOKUP($A18,'RAWDATA Cars Buyers DB'!$A:$A,'RAWDATA Cars Buyers DB'!H:H)</f>
        <v>No</v>
      </c>
      <c r="I18" s="8" t="str">
        <f>_xlfn.XLOOKUP($A18,'RAWDATA Cars Buyers DB'!$A:$A,'RAWDATA Cars Buyers DB'!I:I)</f>
        <v>1–2 Kilometre</v>
      </c>
      <c r="J18" s="8" t="str">
        <f>_xlfn.XLOOKUP($A18,'RAWDATA Cars Buyers DB'!$A:$A,'RAWDATA Cars Buyers DB'!J:J)</f>
        <v>Hamburg</v>
      </c>
      <c r="K18" s="8">
        <f>_xlfn.XLOOKUP($A18,'RAWDATA Cars Buyers DB'!$A:$A,'RAWDATA Cars Buyers DB'!K:K)</f>
        <v>37</v>
      </c>
      <c r="L18" s="10" t="str">
        <f>IF(_xlfn.XLOOKUP($A18,'RAWDATA Cars Buyers DB'!$A:$A,'RAWDATA Cars Buyers DB'!K:K)&gt;54,"Old ",IF(_xlfn.XLOOKUP($A18,'RAWDATA Cars Buyers DB'!$A:$A,'RAWDATA Cars Buyers DB'!K:K)&gt;=31,"Middle Age ",IF(_xlfn.XLOOKUP($A18,'RAWDATA Cars Buyers DB'!$A:$A,'RAWDATA Cars Buyers DB'!K:K)&lt;31,"Adolescent","Invalid")))</f>
        <v xml:space="preserve">Middle Age </v>
      </c>
      <c r="M18" s="8" t="str">
        <f>_xlfn.XLOOKUP($A18,'RAWDATA Cars Buyers DB'!$A:$A,'RAWDATA Cars Buyers DB'!L:L)</f>
        <v>Yes</v>
      </c>
    </row>
    <row r="19" spans="1:13">
      <c r="A19" s="6">
        <v>74925</v>
      </c>
      <c r="B19" s="10" t="str">
        <f>IF(_xlfn.XLOOKUP($A19,'RAWDATA Cars Buyers DB'!$A:$A,'RAWDATA Cars Buyers DB'!B:B)="S","Single","Married")</f>
        <v>Single</v>
      </c>
      <c r="C19" s="10" t="str">
        <f>IF(_xlfn.XLOOKUP($A19,'RAWDATA Cars Buyers DB'!$A:$A,'RAWDATA Cars Buyers DB'!C:C)="F","Female","Male")</f>
        <v>Female</v>
      </c>
      <c r="D19" s="7">
        <f>_xlfn.XLOOKUP($A19,'RAWDATA Cars Buyers DB'!$A:$A,'RAWDATA Cars Buyers DB'!D:D)</f>
        <v>74245</v>
      </c>
      <c r="E19" s="8">
        <f>_xlfn.XLOOKUP($A19,'RAWDATA Cars Buyers DB'!$A:$A,'RAWDATA Cars Buyers DB'!E:E)</f>
        <v>5</v>
      </c>
      <c r="F19" s="8" t="str">
        <f>_xlfn.XLOOKUP($A19,'RAWDATA Cars Buyers DB'!$A:$A,'RAWDATA Cars Buyers DB'!F:F)</f>
        <v>Partial College</v>
      </c>
      <c r="G19" s="8" t="str">
        <f>_xlfn.XLOOKUP($A19,'RAWDATA Cars Buyers DB'!$A:$A,'RAWDATA Cars Buyers DB'!G:G)</f>
        <v>Professional</v>
      </c>
      <c r="H19" s="8" t="str">
        <f>_xlfn.XLOOKUP($A19,'RAWDATA Cars Buyers DB'!$A:$A,'RAWDATA Cars Buyers DB'!H:H)</f>
        <v>No</v>
      </c>
      <c r="I19" s="8" t="str">
        <f>_xlfn.XLOOKUP($A19,'RAWDATA Cars Buyers DB'!$A:$A,'RAWDATA Cars Buyers DB'!I:I)</f>
        <v>1–2 Kilometre</v>
      </c>
      <c r="J19" s="8" t="str">
        <f>_xlfn.XLOOKUP($A19,'RAWDATA Cars Buyers DB'!$A:$A,'RAWDATA Cars Buyers DB'!J:J)</f>
        <v>North Rhine-Westphalia</v>
      </c>
      <c r="K19" s="8">
        <f>_xlfn.XLOOKUP($A19,'RAWDATA Cars Buyers DB'!$A:$A,'RAWDATA Cars Buyers DB'!K:K)</f>
        <v>20</v>
      </c>
      <c r="L19" s="10" t="str">
        <f>IF(_xlfn.XLOOKUP($A19,'RAWDATA Cars Buyers DB'!$A:$A,'RAWDATA Cars Buyers DB'!K:K)&gt;54,"Old ",IF(_xlfn.XLOOKUP($A19,'RAWDATA Cars Buyers DB'!$A:$A,'RAWDATA Cars Buyers DB'!K:K)&gt;=31,"Middle Age ",IF(_xlfn.XLOOKUP($A19,'RAWDATA Cars Buyers DB'!$A:$A,'RAWDATA Cars Buyers DB'!K:K)&lt;31,"Adolescent","Invalid")))</f>
        <v>Adolescent</v>
      </c>
      <c r="M19" s="8" t="str">
        <f>_xlfn.XLOOKUP($A19,'RAWDATA Cars Buyers DB'!$A:$A,'RAWDATA Cars Buyers DB'!L:L)</f>
        <v>No</v>
      </c>
    </row>
    <row r="20" spans="1:13">
      <c r="A20" s="6">
        <v>77969</v>
      </c>
      <c r="B20" s="10" t="str">
        <f>IF(_xlfn.XLOOKUP($A20,'RAWDATA Cars Buyers DB'!$A:$A,'RAWDATA Cars Buyers DB'!B:B)="S","Single","Married")</f>
        <v>Married</v>
      </c>
      <c r="C20" s="10" t="str">
        <f>IF(_xlfn.XLOOKUP($A20,'RAWDATA Cars Buyers DB'!$A:$A,'RAWDATA Cars Buyers DB'!C:C)="F","Female","Male")</f>
        <v>Female</v>
      </c>
      <c r="D20" s="7">
        <f>_xlfn.XLOOKUP($A20,'RAWDATA Cars Buyers DB'!$A:$A,'RAWDATA Cars Buyers DB'!D:D)</f>
        <v>63056</v>
      </c>
      <c r="E20" s="8">
        <f>_xlfn.XLOOKUP($A20,'RAWDATA Cars Buyers DB'!$A:$A,'RAWDATA Cars Buyers DB'!E:E)</f>
        <v>0</v>
      </c>
      <c r="F20" s="8" t="str">
        <f>_xlfn.XLOOKUP($A20,'RAWDATA Cars Buyers DB'!$A:$A,'RAWDATA Cars Buyers DB'!F:F)</f>
        <v>Bachelors</v>
      </c>
      <c r="G20" s="8" t="str">
        <f>_xlfn.XLOOKUP($A20,'RAWDATA Cars Buyers DB'!$A:$A,'RAWDATA Cars Buyers DB'!G:G)</f>
        <v>Clerical</v>
      </c>
      <c r="H20" s="8" t="str">
        <f>_xlfn.XLOOKUP($A20,'RAWDATA Cars Buyers DB'!$A:$A,'RAWDATA Cars Buyers DB'!H:H)</f>
        <v>No</v>
      </c>
      <c r="I20" s="8" t="str">
        <f>_xlfn.XLOOKUP($A20,'RAWDATA Cars Buyers DB'!$A:$A,'RAWDATA Cars Buyers DB'!I:I)</f>
        <v>2–4 Kilometre</v>
      </c>
      <c r="J20" s="8" t="str">
        <f>_xlfn.XLOOKUP($A20,'RAWDATA Cars Buyers DB'!$A:$A,'RAWDATA Cars Buyers DB'!J:J)</f>
        <v>Baden-Württemberg</v>
      </c>
      <c r="K20" s="8">
        <f>_xlfn.XLOOKUP($A20,'RAWDATA Cars Buyers DB'!$A:$A,'RAWDATA Cars Buyers DB'!K:K)</f>
        <v>67</v>
      </c>
      <c r="L20" s="10" t="str">
        <f>IF(_xlfn.XLOOKUP($A20,'RAWDATA Cars Buyers DB'!$A:$A,'RAWDATA Cars Buyers DB'!K:K)&gt;54,"Old ",IF(_xlfn.XLOOKUP($A20,'RAWDATA Cars Buyers DB'!$A:$A,'RAWDATA Cars Buyers DB'!K:K)&gt;=31,"Middle Age ",IF(_xlfn.XLOOKUP($A20,'RAWDATA Cars Buyers DB'!$A:$A,'RAWDATA Cars Buyers DB'!K:K)&lt;31,"Adolescent","Invalid")))</f>
        <v xml:space="preserve">Old </v>
      </c>
      <c r="M20" s="8" t="str">
        <f>_xlfn.XLOOKUP($A20,'RAWDATA Cars Buyers DB'!$A:$A,'RAWDATA Cars Buyers DB'!L:L)</f>
        <v>Yes</v>
      </c>
    </row>
    <row r="21" spans="1:13">
      <c r="A21" s="6">
        <v>15311</v>
      </c>
      <c r="B21" s="10" t="str">
        <f>IF(_xlfn.XLOOKUP($A21,'RAWDATA Cars Buyers DB'!$A:$A,'RAWDATA Cars Buyers DB'!B:B)="S","Single","Married")</f>
        <v>Married</v>
      </c>
      <c r="C21" s="10" t="str">
        <f>IF(_xlfn.XLOOKUP($A21,'RAWDATA Cars Buyers DB'!$A:$A,'RAWDATA Cars Buyers DB'!C:C)="F","Female","Male")</f>
        <v>Female</v>
      </c>
      <c r="D21" s="7">
        <f>_xlfn.XLOOKUP($A21,'RAWDATA Cars Buyers DB'!$A:$A,'RAWDATA Cars Buyers DB'!D:D)</f>
        <v>37709</v>
      </c>
      <c r="E21" s="8">
        <f>_xlfn.XLOOKUP($A21,'RAWDATA Cars Buyers DB'!$A:$A,'RAWDATA Cars Buyers DB'!E:E)</f>
        <v>0</v>
      </c>
      <c r="F21" s="8" t="str">
        <f>_xlfn.XLOOKUP($A21,'RAWDATA Cars Buyers DB'!$A:$A,'RAWDATA Cars Buyers DB'!F:F)</f>
        <v>High School</v>
      </c>
      <c r="G21" s="8" t="str">
        <f>_xlfn.XLOOKUP($A21,'RAWDATA Cars Buyers DB'!$A:$A,'RAWDATA Cars Buyers DB'!G:G)</f>
        <v>Professional</v>
      </c>
      <c r="H21" s="8" t="str">
        <f>_xlfn.XLOOKUP($A21,'RAWDATA Cars Buyers DB'!$A:$A,'RAWDATA Cars Buyers DB'!H:H)</f>
        <v>No</v>
      </c>
      <c r="I21" s="8" t="str">
        <f>_xlfn.XLOOKUP($A21,'RAWDATA Cars Buyers DB'!$A:$A,'RAWDATA Cars Buyers DB'!I:I)</f>
        <v>2–4 Kilometre</v>
      </c>
      <c r="J21" s="8" t="str">
        <f>_xlfn.XLOOKUP($A21,'RAWDATA Cars Buyers DB'!$A:$A,'RAWDATA Cars Buyers DB'!J:J)</f>
        <v>Bavaria</v>
      </c>
      <c r="K21" s="8">
        <f>_xlfn.XLOOKUP($A21,'RAWDATA Cars Buyers DB'!$A:$A,'RAWDATA Cars Buyers DB'!K:K)</f>
        <v>58</v>
      </c>
      <c r="L21" s="10" t="str">
        <f>IF(_xlfn.XLOOKUP($A21,'RAWDATA Cars Buyers DB'!$A:$A,'RAWDATA Cars Buyers DB'!K:K)&gt;54,"Old ",IF(_xlfn.XLOOKUP($A21,'RAWDATA Cars Buyers DB'!$A:$A,'RAWDATA Cars Buyers DB'!K:K)&gt;=31,"Middle Age ",IF(_xlfn.XLOOKUP($A21,'RAWDATA Cars Buyers DB'!$A:$A,'RAWDATA Cars Buyers DB'!K:K)&lt;31,"Adolescent","Invalid")))</f>
        <v xml:space="preserve">Old </v>
      </c>
      <c r="M21" s="8" t="str">
        <f>_xlfn.XLOOKUP($A21,'RAWDATA Cars Buyers DB'!$A:$A,'RAWDATA Cars Buyers DB'!L:L)</f>
        <v>No</v>
      </c>
    </row>
    <row r="22" spans="1:13">
      <c r="A22" s="6">
        <v>93104</v>
      </c>
      <c r="B22" s="10" t="str">
        <f>IF(_xlfn.XLOOKUP($A22,'RAWDATA Cars Buyers DB'!$A:$A,'RAWDATA Cars Buyers DB'!B:B)="S","Single","Married")</f>
        <v>Single</v>
      </c>
      <c r="C22" s="10" t="str">
        <f>IF(_xlfn.XLOOKUP($A22,'RAWDATA Cars Buyers DB'!$A:$A,'RAWDATA Cars Buyers DB'!C:C)="F","Female","Male")</f>
        <v>Female</v>
      </c>
      <c r="D22" s="7">
        <f>_xlfn.XLOOKUP($A22,'RAWDATA Cars Buyers DB'!$A:$A,'RAWDATA Cars Buyers DB'!D:D)</f>
        <v>78557</v>
      </c>
      <c r="E22" s="8">
        <f>_xlfn.XLOOKUP($A22,'RAWDATA Cars Buyers DB'!$A:$A,'RAWDATA Cars Buyers DB'!E:E)</f>
        <v>1</v>
      </c>
      <c r="F22" s="8" t="str">
        <f>_xlfn.XLOOKUP($A22,'RAWDATA Cars Buyers DB'!$A:$A,'RAWDATA Cars Buyers DB'!F:F)</f>
        <v>Graduate Degree</v>
      </c>
      <c r="G22" s="8" t="str">
        <f>_xlfn.XLOOKUP($A22,'RAWDATA Cars Buyers DB'!$A:$A,'RAWDATA Cars Buyers DB'!G:G)</f>
        <v>Skilled Manual</v>
      </c>
      <c r="H22" s="8" t="str">
        <f>_xlfn.XLOOKUP($A22,'RAWDATA Cars Buyers DB'!$A:$A,'RAWDATA Cars Buyers DB'!H:H)</f>
        <v>Yes</v>
      </c>
      <c r="I22" s="8" t="str">
        <f>_xlfn.XLOOKUP($A22,'RAWDATA Cars Buyers DB'!$A:$A,'RAWDATA Cars Buyers DB'!I:I)</f>
        <v>4–6 Kilometre</v>
      </c>
      <c r="J22" s="8" t="str">
        <f>_xlfn.XLOOKUP($A22,'RAWDATA Cars Buyers DB'!$A:$A,'RAWDATA Cars Buyers DB'!J:J)</f>
        <v>Saarland</v>
      </c>
      <c r="K22" s="8">
        <f>_xlfn.XLOOKUP($A22,'RAWDATA Cars Buyers DB'!$A:$A,'RAWDATA Cars Buyers DB'!K:K)</f>
        <v>22</v>
      </c>
      <c r="L22" s="10" t="str">
        <f>IF(_xlfn.XLOOKUP($A22,'RAWDATA Cars Buyers DB'!$A:$A,'RAWDATA Cars Buyers DB'!K:K)&gt;54,"Old ",IF(_xlfn.XLOOKUP($A22,'RAWDATA Cars Buyers DB'!$A:$A,'RAWDATA Cars Buyers DB'!K:K)&gt;=31,"Middle Age ",IF(_xlfn.XLOOKUP($A22,'RAWDATA Cars Buyers DB'!$A:$A,'RAWDATA Cars Buyers DB'!K:K)&lt;31,"Adolescent","Invalid")))</f>
        <v>Adolescent</v>
      </c>
      <c r="M22" s="8" t="str">
        <f>_xlfn.XLOOKUP($A22,'RAWDATA Cars Buyers DB'!$A:$A,'RAWDATA Cars Buyers DB'!L:L)</f>
        <v>No</v>
      </c>
    </row>
    <row r="23" spans="1:13">
      <c r="A23" s="6">
        <v>63707</v>
      </c>
      <c r="B23" s="10" t="str">
        <f>IF(_xlfn.XLOOKUP($A23,'RAWDATA Cars Buyers DB'!$A:$A,'RAWDATA Cars Buyers DB'!B:B)="S","Single","Married")</f>
        <v>Married</v>
      </c>
      <c r="C23" s="10" t="str">
        <f>IF(_xlfn.XLOOKUP($A23,'RAWDATA Cars Buyers DB'!$A:$A,'RAWDATA Cars Buyers DB'!C:C)="F","Female","Male")</f>
        <v>Male</v>
      </c>
      <c r="D23" s="7">
        <f>_xlfn.XLOOKUP($A23,'RAWDATA Cars Buyers DB'!$A:$A,'RAWDATA Cars Buyers DB'!D:D)</f>
        <v>37543</v>
      </c>
      <c r="E23" s="8">
        <f>_xlfn.XLOOKUP($A23,'RAWDATA Cars Buyers DB'!$A:$A,'RAWDATA Cars Buyers DB'!E:E)</f>
        <v>2</v>
      </c>
      <c r="F23" s="8" t="str">
        <f>_xlfn.XLOOKUP($A23,'RAWDATA Cars Buyers DB'!$A:$A,'RAWDATA Cars Buyers DB'!F:F)</f>
        <v>Partial College</v>
      </c>
      <c r="G23" s="8" t="str">
        <f>_xlfn.XLOOKUP($A23,'RAWDATA Cars Buyers DB'!$A:$A,'RAWDATA Cars Buyers DB'!G:G)</f>
        <v>Skilled Manual</v>
      </c>
      <c r="H23" s="8" t="str">
        <f>_xlfn.XLOOKUP($A23,'RAWDATA Cars Buyers DB'!$A:$A,'RAWDATA Cars Buyers DB'!H:H)</f>
        <v>Yes</v>
      </c>
      <c r="I23" s="8" t="str">
        <f>_xlfn.XLOOKUP($A23,'RAWDATA Cars Buyers DB'!$A:$A,'RAWDATA Cars Buyers DB'!I:I)</f>
        <v>0–1 Kilometre</v>
      </c>
      <c r="J23" s="8" t="str">
        <f>_xlfn.XLOOKUP($A23,'RAWDATA Cars Buyers DB'!$A:$A,'RAWDATA Cars Buyers DB'!J:J)</f>
        <v>Thuringia</v>
      </c>
      <c r="K23" s="8">
        <f>_xlfn.XLOOKUP($A23,'RAWDATA Cars Buyers DB'!$A:$A,'RAWDATA Cars Buyers DB'!K:K)</f>
        <v>23</v>
      </c>
      <c r="L23" s="10" t="str">
        <f>IF(_xlfn.XLOOKUP($A23,'RAWDATA Cars Buyers DB'!$A:$A,'RAWDATA Cars Buyers DB'!K:K)&gt;54,"Old ",IF(_xlfn.XLOOKUP($A23,'RAWDATA Cars Buyers DB'!$A:$A,'RAWDATA Cars Buyers DB'!K:K)&gt;=31,"Middle Age ",IF(_xlfn.XLOOKUP($A23,'RAWDATA Cars Buyers DB'!$A:$A,'RAWDATA Cars Buyers DB'!K:K)&lt;31,"Adolescent","Invalid")))</f>
        <v>Adolescent</v>
      </c>
      <c r="M23" s="8" t="str">
        <f>_xlfn.XLOOKUP($A23,'RAWDATA Cars Buyers DB'!$A:$A,'RAWDATA Cars Buyers DB'!L:L)</f>
        <v>Yes</v>
      </c>
    </row>
    <row r="24" spans="1:13">
      <c r="A24" s="6">
        <v>95305</v>
      </c>
      <c r="B24" s="10" t="str">
        <f>IF(_xlfn.XLOOKUP($A24,'RAWDATA Cars Buyers DB'!$A:$A,'RAWDATA Cars Buyers DB'!B:B)="S","Single","Married")</f>
        <v>Single</v>
      </c>
      <c r="C24" s="10" t="str">
        <f>IF(_xlfn.XLOOKUP($A24,'RAWDATA Cars Buyers DB'!$A:$A,'RAWDATA Cars Buyers DB'!C:C)="F","Female","Male")</f>
        <v>Female</v>
      </c>
      <c r="D24" s="7">
        <f>_xlfn.XLOOKUP($A24,'RAWDATA Cars Buyers DB'!$A:$A,'RAWDATA Cars Buyers DB'!D:D)</f>
        <v>57418</v>
      </c>
      <c r="E24" s="8">
        <f>_xlfn.XLOOKUP($A24,'RAWDATA Cars Buyers DB'!$A:$A,'RAWDATA Cars Buyers DB'!E:E)</f>
        <v>0</v>
      </c>
      <c r="F24" s="8" t="str">
        <f>_xlfn.XLOOKUP($A24,'RAWDATA Cars Buyers DB'!$A:$A,'RAWDATA Cars Buyers DB'!F:F)</f>
        <v>High School</v>
      </c>
      <c r="G24" s="8" t="str">
        <f>_xlfn.XLOOKUP($A24,'RAWDATA Cars Buyers DB'!$A:$A,'RAWDATA Cars Buyers DB'!G:G)</f>
        <v>Clerical</v>
      </c>
      <c r="H24" s="8" t="str">
        <f>_xlfn.XLOOKUP($A24,'RAWDATA Cars Buyers DB'!$A:$A,'RAWDATA Cars Buyers DB'!H:H)</f>
        <v>No</v>
      </c>
      <c r="I24" s="8" t="str">
        <f>_xlfn.XLOOKUP($A24,'RAWDATA Cars Buyers DB'!$A:$A,'RAWDATA Cars Buyers DB'!I:I)</f>
        <v>1–2 Kilometre</v>
      </c>
      <c r="J24" s="8" t="str">
        <f>_xlfn.XLOOKUP($A24,'RAWDATA Cars Buyers DB'!$A:$A,'RAWDATA Cars Buyers DB'!J:J)</f>
        <v>Saxony</v>
      </c>
      <c r="K24" s="8">
        <f>_xlfn.XLOOKUP($A24,'RAWDATA Cars Buyers DB'!$A:$A,'RAWDATA Cars Buyers DB'!K:K)</f>
        <v>60</v>
      </c>
      <c r="L24" s="10" t="str">
        <f>IF(_xlfn.XLOOKUP($A24,'RAWDATA Cars Buyers DB'!$A:$A,'RAWDATA Cars Buyers DB'!K:K)&gt;54,"Old ",IF(_xlfn.XLOOKUP($A24,'RAWDATA Cars Buyers DB'!$A:$A,'RAWDATA Cars Buyers DB'!K:K)&gt;=31,"Middle Age ",IF(_xlfn.XLOOKUP($A24,'RAWDATA Cars Buyers DB'!$A:$A,'RAWDATA Cars Buyers DB'!K:K)&lt;31,"Adolescent","Invalid")))</f>
        <v xml:space="preserve">Old </v>
      </c>
      <c r="M24" s="8" t="str">
        <f>_xlfn.XLOOKUP($A24,'RAWDATA Cars Buyers DB'!$A:$A,'RAWDATA Cars Buyers DB'!L:L)</f>
        <v>No</v>
      </c>
    </row>
    <row r="25" spans="1:13">
      <c r="A25" s="6">
        <v>38693</v>
      </c>
      <c r="B25" s="10" t="str">
        <f>IF(_xlfn.XLOOKUP($A25,'RAWDATA Cars Buyers DB'!$A:$A,'RAWDATA Cars Buyers DB'!B:B)="S","Single","Married")</f>
        <v>Married</v>
      </c>
      <c r="C25" s="10" t="str">
        <f>IF(_xlfn.XLOOKUP($A25,'RAWDATA Cars Buyers DB'!$A:$A,'RAWDATA Cars Buyers DB'!C:C)="F","Female","Male")</f>
        <v>Male</v>
      </c>
      <c r="D25" s="7">
        <f>_xlfn.XLOOKUP($A25,'RAWDATA Cars Buyers DB'!$A:$A,'RAWDATA Cars Buyers DB'!D:D)</f>
        <v>114611</v>
      </c>
      <c r="E25" s="8">
        <f>_xlfn.XLOOKUP($A25,'RAWDATA Cars Buyers DB'!$A:$A,'RAWDATA Cars Buyers DB'!E:E)</f>
        <v>4</v>
      </c>
      <c r="F25" s="8" t="str">
        <f>_xlfn.XLOOKUP($A25,'RAWDATA Cars Buyers DB'!$A:$A,'RAWDATA Cars Buyers DB'!F:F)</f>
        <v>Partial College</v>
      </c>
      <c r="G25" s="8" t="str">
        <f>_xlfn.XLOOKUP($A25,'RAWDATA Cars Buyers DB'!$A:$A,'RAWDATA Cars Buyers DB'!G:G)</f>
        <v>Clerical</v>
      </c>
      <c r="H25" s="8" t="str">
        <f>_xlfn.XLOOKUP($A25,'RAWDATA Cars Buyers DB'!$A:$A,'RAWDATA Cars Buyers DB'!H:H)</f>
        <v>Yes</v>
      </c>
      <c r="I25" s="8" t="str">
        <f>_xlfn.XLOOKUP($A25,'RAWDATA Cars Buyers DB'!$A:$A,'RAWDATA Cars Buyers DB'!I:I)</f>
        <v>0–1 Kilometre</v>
      </c>
      <c r="J25" s="8" t="str">
        <f>_xlfn.XLOOKUP($A25,'RAWDATA Cars Buyers DB'!$A:$A,'RAWDATA Cars Buyers DB'!J:J)</f>
        <v>Brandenburg</v>
      </c>
      <c r="K25" s="8">
        <f>_xlfn.XLOOKUP($A25,'RAWDATA Cars Buyers DB'!$A:$A,'RAWDATA Cars Buyers DB'!K:K)</f>
        <v>56</v>
      </c>
      <c r="L25" s="10" t="str">
        <f>IF(_xlfn.XLOOKUP($A25,'RAWDATA Cars Buyers DB'!$A:$A,'RAWDATA Cars Buyers DB'!K:K)&gt;54,"Old ",IF(_xlfn.XLOOKUP($A25,'RAWDATA Cars Buyers DB'!$A:$A,'RAWDATA Cars Buyers DB'!K:K)&gt;=31,"Middle Age ",IF(_xlfn.XLOOKUP($A25,'RAWDATA Cars Buyers DB'!$A:$A,'RAWDATA Cars Buyers DB'!K:K)&lt;31,"Adolescent","Invalid")))</f>
        <v xml:space="preserve">Old </v>
      </c>
      <c r="M25" s="8" t="str">
        <f>_xlfn.XLOOKUP($A25,'RAWDATA Cars Buyers DB'!$A:$A,'RAWDATA Cars Buyers DB'!L:L)</f>
        <v>Yes</v>
      </c>
    </row>
    <row r="26" spans="1:13">
      <c r="A26" s="6">
        <v>81932</v>
      </c>
      <c r="B26" s="10" t="str">
        <f>IF(_xlfn.XLOOKUP($A26,'RAWDATA Cars Buyers DB'!$A:$A,'RAWDATA Cars Buyers DB'!B:B)="S","Single","Married")</f>
        <v>Married</v>
      </c>
      <c r="C26" s="10" t="str">
        <f>IF(_xlfn.XLOOKUP($A26,'RAWDATA Cars Buyers DB'!$A:$A,'RAWDATA Cars Buyers DB'!C:C)="F","Female","Male")</f>
        <v>Male</v>
      </c>
      <c r="D26" s="7">
        <f>_xlfn.XLOOKUP($A26,'RAWDATA Cars Buyers DB'!$A:$A,'RAWDATA Cars Buyers DB'!D:D)</f>
        <v>116038</v>
      </c>
      <c r="E26" s="8">
        <f>_xlfn.XLOOKUP($A26,'RAWDATA Cars Buyers DB'!$A:$A,'RAWDATA Cars Buyers DB'!E:E)</f>
        <v>0</v>
      </c>
      <c r="F26" s="8" t="str">
        <f>_xlfn.XLOOKUP($A26,'RAWDATA Cars Buyers DB'!$A:$A,'RAWDATA Cars Buyers DB'!F:F)</f>
        <v>Partial College</v>
      </c>
      <c r="G26" s="8" t="str">
        <f>_xlfn.XLOOKUP($A26,'RAWDATA Cars Buyers DB'!$A:$A,'RAWDATA Cars Buyers DB'!G:G)</f>
        <v>Management</v>
      </c>
      <c r="H26" s="8" t="str">
        <f>_xlfn.XLOOKUP($A26,'RAWDATA Cars Buyers DB'!$A:$A,'RAWDATA Cars Buyers DB'!H:H)</f>
        <v>Yes</v>
      </c>
      <c r="I26" s="8" t="str">
        <f>_xlfn.XLOOKUP($A26,'RAWDATA Cars Buyers DB'!$A:$A,'RAWDATA Cars Buyers DB'!I:I)</f>
        <v>6+ Kilometre</v>
      </c>
      <c r="J26" s="8" t="str">
        <f>_xlfn.XLOOKUP($A26,'RAWDATA Cars Buyers DB'!$A:$A,'RAWDATA Cars Buyers DB'!J:J)</f>
        <v>Saxony</v>
      </c>
      <c r="K26" s="8">
        <f>_xlfn.XLOOKUP($A26,'RAWDATA Cars Buyers DB'!$A:$A,'RAWDATA Cars Buyers DB'!K:K)</f>
        <v>34</v>
      </c>
      <c r="L26" s="10" t="str">
        <f>IF(_xlfn.XLOOKUP($A26,'RAWDATA Cars Buyers DB'!$A:$A,'RAWDATA Cars Buyers DB'!K:K)&gt;54,"Old ",IF(_xlfn.XLOOKUP($A26,'RAWDATA Cars Buyers DB'!$A:$A,'RAWDATA Cars Buyers DB'!K:K)&gt;=31,"Middle Age ",IF(_xlfn.XLOOKUP($A26,'RAWDATA Cars Buyers DB'!$A:$A,'RAWDATA Cars Buyers DB'!K:K)&lt;31,"Adolescent","Invalid")))</f>
        <v xml:space="preserve">Middle Age </v>
      </c>
      <c r="M26" s="8" t="str">
        <f>_xlfn.XLOOKUP($A26,'RAWDATA Cars Buyers DB'!$A:$A,'RAWDATA Cars Buyers DB'!L:L)</f>
        <v>No</v>
      </c>
    </row>
    <row r="27" spans="1:13">
      <c r="A27" s="6">
        <v>35658</v>
      </c>
      <c r="B27" s="10" t="str">
        <f>IF(_xlfn.XLOOKUP($A27,'RAWDATA Cars Buyers DB'!$A:$A,'RAWDATA Cars Buyers DB'!B:B)="S","Single","Married")</f>
        <v>Married</v>
      </c>
      <c r="C27" s="10" t="str">
        <f>IF(_xlfn.XLOOKUP($A27,'RAWDATA Cars Buyers DB'!$A:$A,'RAWDATA Cars Buyers DB'!C:C)="F","Female","Male")</f>
        <v>Female</v>
      </c>
      <c r="D27" s="7">
        <f>_xlfn.XLOOKUP($A27,'RAWDATA Cars Buyers DB'!$A:$A,'RAWDATA Cars Buyers DB'!D:D)</f>
        <v>36724</v>
      </c>
      <c r="E27" s="8">
        <f>_xlfn.XLOOKUP($A27,'RAWDATA Cars Buyers DB'!$A:$A,'RAWDATA Cars Buyers DB'!E:E)</f>
        <v>4</v>
      </c>
      <c r="F27" s="8" t="str">
        <f>_xlfn.XLOOKUP($A27,'RAWDATA Cars Buyers DB'!$A:$A,'RAWDATA Cars Buyers DB'!F:F)</f>
        <v>Partial College</v>
      </c>
      <c r="G27" s="8" t="str">
        <f>_xlfn.XLOOKUP($A27,'RAWDATA Cars Buyers DB'!$A:$A,'RAWDATA Cars Buyers DB'!G:G)</f>
        <v>Professional</v>
      </c>
      <c r="H27" s="8" t="str">
        <f>_xlfn.XLOOKUP($A27,'RAWDATA Cars Buyers DB'!$A:$A,'RAWDATA Cars Buyers DB'!H:H)</f>
        <v>No</v>
      </c>
      <c r="I27" s="8" t="str">
        <f>_xlfn.XLOOKUP($A27,'RAWDATA Cars Buyers DB'!$A:$A,'RAWDATA Cars Buyers DB'!I:I)</f>
        <v>1–2 Kilometre</v>
      </c>
      <c r="J27" s="8" t="str">
        <f>_xlfn.XLOOKUP($A27,'RAWDATA Cars Buyers DB'!$A:$A,'RAWDATA Cars Buyers DB'!J:J)</f>
        <v>Saarland</v>
      </c>
      <c r="K27" s="8">
        <f>_xlfn.XLOOKUP($A27,'RAWDATA Cars Buyers DB'!$A:$A,'RAWDATA Cars Buyers DB'!K:K)</f>
        <v>27</v>
      </c>
      <c r="L27" s="10" t="str">
        <f>IF(_xlfn.XLOOKUP($A27,'RAWDATA Cars Buyers DB'!$A:$A,'RAWDATA Cars Buyers DB'!K:K)&gt;54,"Old ",IF(_xlfn.XLOOKUP($A27,'RAWDATA Cars Buyers DB'!$A:$A,'RAWDATA Cars Buyers DB'!K:K)&gt;=31,"Middle Age ",IF(_xlfn.XLOOKUP($A27,'RAWDATA Cars Buyers DB'!$A:$A,'RAWDATA Cars Buyers DB'!K:K)&lt;31,"Adolescent","Invalid")))</f>
        <v>Adolescent</v>
      </c>
      <c r="M27" s="8" t="str">
        <f>_xlfn.XLOOKUP($A27,'RAWDATA Cars Buyers DB'!$A:$A,'RAWDATA Cars Buyers DB'!L:L)</f>
        <v>No</v>
      </c>
    </row>
    <row r="28" spans="1:13">
      <c r="A28" s="6">
        <v>94478</v>
      </c>
      <c r="B28" s="10" t="str">
        <f>IF(_xlfn.XLOOKUP($A28,'RAWDATA Cars Buyers DB'!$A:$A,'RAWDATA Cars Buyers DB'!B:B)="S","Single","Married")</f>
        <v>Married</v>
      </c>
      <c r="C28" s="10" t="str">
        <f>IF(_xlfn.XLOOKUP($A28,'RAWDATA Cars Buyers DB'!$A:$A,'RAWDATA Cars Buyers DB'!C:C)="F","Female","Male")</f>
        <v>Female</v>
      </c>
      <c r="D28" s="7">
        <f>_xlfn.XLOOKUP($A28,'RAWDATA Cars Buyers DB'!$A:$A,'RAWDATA Cars Buyers DB'!D:D)</f>
        <v>23828</v>
      </c>
      <c r="E28" s="8">
        <f>_xlfn.XLOOKUP($A28,'RAWDATA Cars Buyers DB'!$A:$A,'RAWDATA Cars Buyers DB'!E:E)</f>
        <v>5</v>
      </c>
      <c r="F28" s="8" t="str">
        <f>_xlfn.XLOOKUP($A28,'RAWDATA Cars Buyers DB'!$A:$A,'RAWDATA Cars Buyers DB'!F:F)</f>
        <v>High School</v>
      </c>
      <c r="G28" s="8" t="str">
        <f>_xlfn.XLOOKUP($A28,'RAWDATA Cars Buyers DB'!$A:$A,'RAWDATA Cars Buyers DB'!G:G)</f>
        <v>Clerical</v>
      </c>
      <c r="H28" s="8" t="str">
        <f>_xlfn.XLOOKUP($A28,'RAWDATA Cars Buyers DB'!$A:$A,'RAWDATA Cars Buyers DB'!H:H)</f>
        <v>No</v>
      </c>
      <c r="I28" s="8" t="str">
        <f>_xlfn.XLOOKUP($A28,'RAWDATA Cars Buyers DB'!$A:$A,'RAWDATA Cars Buyers DB'!I:I)</f>
        <v>0–1 Kilometre</v>
      </c>
      <c r="J28" s="8" t="str">
        <f>_xlfn.XLOOKUP($A28,'RAWDATA Cars Buyers DB'!$A:$A,'RAWDATA Cars Buyers DB'!J:J)</f>
        <v>Lower Saxony</v>
      </c>
      <c r="K28" s="8">
        <f>_xlfn.XLOOKUP($A28,'RAWDATA Cars Buyers DB'!$A:$A,'RAWDATA Cars Buyers DB'!K:K)</f>
        <v>57</v>
      </c>
      <c r="L28" s="10" t="str">
        <f>IF(_xlfn.XLOOKUP($A28,'RAWDATA Cars Buyers DB'!$A:$A,'RAWDATA Cars Buyers DB'!K:K)&gt;54,"Old ",IF(_xlfn.XLOOKUP($A28,'RAWDATA Cars Buyers DB'!$A:$A,'RAWDATA Cars Buyers DB'!K:K)&gt;=31,"Middle Age ",IF(_xlfn.XLOOKUP($A28,'RAWDATA Cars Buyers DB'!$A:$A,'RAWDATA Cars Buyers DB'!K:K)&lt;31,"Adolescent","Invalid")))</f>
        <v xml:space="preserve">Old </v>
      </c>
      <c r="M28" s="8" t="str">
        <f>_xlfn.XLOOKUP($A28,'RAWDATA Cars Buyers DB'!$A:$A,'RAWDATA Cars Buyers DB'!L:L)</f>
        <v>Yes</v>
      </c>
    </row>
    <row r="29" spans="1:13">
      <c r="A29" s="6">
        <v>28431</v>
      </c>
      <c r="B29" s="10" t="str">
        <f>IF(_xlfn.XLOOKUP($A29,'RAWDATA Cars Buyers DB'!$A:$A,'RAWDATA Cars Buyers DB'!B:B)="S","Single","Married")</f>
        <v>Single</v>
      </c>
      <c r="C29" s="10" t="str">
        <f>IF(_xlfn.XLOOKUP($A29,'RAWDATA Cars Buyers DB'!$A:$A,'RAWDATA Cars Buyers DB'!C:C)="F","Female","Male")</f>
        <v>Male</v>
      </c>
      <c r="D29" s="7">
        <f>_xlfn.XLOOKUP($A29,'RAWDATA Cars Buyers DB'!$A:$A,'RAWDATA Cars Buyers DB'!D:D)</f>
        <v>37087</v>
      </c>
      <c r="E29" s="8">
        <f>_xlfn.XLOOKUP($A29,'RAWDATA Cars Buyers DB'!$A:$A,'RAWDATA Cars Buyers DB'!E:E)</f>
        <v>5</v>
      </c>
      <c r="F29" s="8" t="str">
        <f>_xlfn.XLOOKUP($A29,'RAWDATA Cars Buyers DB'!$A:$A,'RAWDATA Cars Buyers DB'!F:F)</f>
        <v>Bachelors</v>
      </c>
      <c r="G29" s="8" t="str">
        <f>_xlfn.XLOOKUP($A29,'RAWDATA Cars Buyers DB'!$A:$A,'RAWDATA Cars Buyers DB'!G:G)</f>
        <v>Management</v>
      </c>
      <c r="H29" s="8" t="str">
        <f>_xlfn.XLOOKUP($A29,'RAWDATA Cars Buyers DB'!$A:$A,'RAWDATA Cars Buyers DB'!H:H)</f>
        <v>Yes</v>
      </c>
      <c r="I29" s="8" t="str">
        <f>_xlfn.XLOOKUP($A29,'RAWDATA Cars Buyers DB'!$A:$A,'RAWDATA Cars Buyers DB'!I:I)</f>
        <v>4–6 Kilometre</v>
      </c>
      <c r="J29" s="8" t="str">
        <f>_xlfn.XLOOKUP($A29,'RAWDATA Cars Buyers DB'!$A:$A,'RAWDATA Cars Buyers DB'!J:J)</f>
        <v>Berlin</v>
      </c>
      <c r="K29" s="8">
        <f>_xlfn.XLOOKUP($A29,'RAWDATA Cars Buyers DB'!$A:$A,'RAWDATA Cars Buyers DB'!K:K)</f>
        <v>69</v>
      </c>
      <c r="L29" s="10" t="str">
        <f>IF(_xlfn.XLOOKUP($A29,'RAWDATA Cars Buyers DB'!$A:$A,'RAWDATA Cars Buyers DB'!K:K)&gt;54,"Old ",IF(_xlfn.XLOOKUP($A29,'RAWDATA Cars Buyers DB'!$A:$A,'RAWDATA Cars Buyers DB'!K:K)&gt;=31,"Middle Age ",IF(_xlfn.XLOOKUP($A29,'RAWDATA Cars Buyers DB'!$A:$A,'RAWDATA Cars Buyers DB'!K:K)&lt;31,"Adolescent","Invalid")))</f>
        <v xml:space="preserve">Old </v>
      </c>
      <c r="M29" s="8" t="str">
        <f>_xlfn.XLOOKUP($A29,'RAWDATA Cars Buyers DB'!$A:$A,'RAWDATA Cars Buyers DB'!L:L)</f>
        <v>Yes</v>
      </c>
    </row>
    <row r="30" spans="1:13">
      <c r="A30" s="6">
        <v>12747</v>
      </c>
      <c r="B30" s="10" t="str">
        <f>IF(_xlfn.XLOOKUP($A30,'RAWDATA Cars Buyers DB'!$A:$A,'RAWDATA Cars Buyers DB'!B:B)="S","Single","Married")</f>
        <v>Married</v>
      </c>
      <c r="C30" s="10" t="str">
        <f>IF(_xlfn.XLOOKUP($A30,'RAWDATA Cars Buyers DB'!$A:$A,'RAWDATA Cars Buyers DB'!C:C)="F","Female","Male")</f>
        <v>Female</v>
      </c>
      <c r="D30" s="7">
        <f>_xlfn.XLOOKUP($A30,'RAWDATA Cars Buyers DB'!$A:$A,'RAWDATA Cars Buyers DB'!D:D)</f>
        <v>32605</v>
      </c>
      <c r="E30" s="8">
        <f>_xlfn.XLOOKUP($A30,'RAWDATA Cars Buyers DB'!$A:$A,'RAWDATA Cars Buyers DB'!E:E)</f>
        <v>3</v>
      </c>
      <c r="F30" s="8" t="str">
        <f>_xlfn.XLOOKUP($A30,'RAWDATA Cars Buyers DB'!$A:$A,'RAWDATA Cars Buyers DB'!F:F)</f>
        <v>High School</v>
      </c>
      <c r="G30" s="8" t="str">
        <f>_xlfn.XLOOKUP($A30,'RAWDATA Cars Buyers DB'!$A:$A,'RAWDATA Cars Buyers DB'!G:G)</f>
        <v>Professional</v>
      </c>
      <c r="H30" s="8" t="str">
        <f>_xlfn.XLOOKUP($A30,'RAWDATA Cars Buyers DB'!$A:$A,'RAWDATA Cars Buyers DB'!H:H)</f>
        <v>No</v>
      </c>
      <c r="I30" s="8" t="str">
        <f>_xlfn.XLOOKUP($A30,'RAWDATA Cars Buyers DB'!$A:$A,'RAWDATA Cars Buyers DB'!I:I)</f>
        <v>4–6 Kilometre</v>
      </c>
      <c r="J30" s="8" t="str">
        <f>_xlfn.XLOOKUP($A30,'RAWDATA Cars Buyers DB'!$A:$A,'RAWDATA Cars Buyers DB'!J:J)</f>
        <v>Brandenburg</v>
      </c>
      <c r="K30" s="8">
        <f>_xlfn.XLOOKUP($A30,'RAWDATA Cars Buyers DB'!$A:$A,'RAWDATA Cars Buyers DB'!K:K)</f>
        <v>38</v>
      </c>
      <c r="L30" s="10" t="str">
        <f>IF(_xlfn.XLOOKUP($A30,'RAWDATA Cars Buyers DB'!$A:$A,'RAWDATA Cars Buyers DB'!K:K)&gt;54,"Old ",IF(_xlfn.XLOOKUP($A30,'RAWDATA Cars Buyers DB'!$A:$A,'RAWDATA Cars Buyers DB'!K:K)&gt;=31,"Middle Age ",IF(_xlfn.XLOOKUP($A30,'RAWDATA Cars Buyers DB'!$A:$A,'RAWDATA Cars Buyers DB'!K:K)&lt;31,"Adolescent","Invalid")))</f>
        <v xml:space="preserve">Middle Age </v>
      </c>
      <c r="M30" s="8" t="str">
        <f>_xlfn.XLOOKUP($A30,'RAWDATA Cars Buyers DB'!$A:$A,'RAWDATA Cars Buyers DB'!L:L)</f>
        <v>Yes</v>
      </c>
    </row>
    <row r="31" spans="1:13">
      <c r="A31" s="6">
        <v>69150</v>
      </c>
      <c r="B31" s="10" t="str">
        <f>IF(_xlfn.XLOOKUP($A31,'RAWDATA Cars Buyers DB'!$A:$A,'RAWDATA Cars Buyers DB'!B:B)="S","Single","Married")</f>
        <v>Married</v>
      </c>
      <c r="C31" s="10" t="str">
        <f>IF(_xlfn.XLOOKUP($A31,'RAWDATA Cars Buyers DB'!$A:$A,'RAWDATA Cars Buyers DB'!C:C)="F","Female","Male")</f>
        <v>Female</v>
      </c>
      <c r="D31" s="7">
        <f>_xlfn.XLOOKUP($A31,'RAWDATA Cars Buyers DB'!$A:$A,'RAWDATA Cars Buyers DB'!D:D)</f>
        <v>51337</v>
      </c>
      <c r="E31" s="8">
        <f>_xlfn.XLOOKUP($A31,'RAWDATA Cars Buyers DB'!$A:$A,'RAWDATA Cars Buyers DB'!E:E)</f>
        <v>3</v>
      </c>
      <c r="F31" s="8" t="str">
        <f>_xlfn.XLOOKUP($A31,'RAWDATA Cars Buyers DB'!$A:$A,'RAWDATA Cars Buyers DB'!F:F)</f>
        <v>Partial College</v>
      </c>
      <c r="G31" s="8" t="str">
        <f>_xlfn.XLOOKUP($A31,'RAWDATA Cars Buyers DB'!$A:$A,'RAWDATA Cars Buyers DB'!G:G)</f>
        <v>Clerical</v>
      </c>
      <c r="H31" s="8" t="str">
        <f>_xlfn.XLOOKUP($A31,'RAWDATA Cars Buyers DB'!$A:$A,'RAWDATA Cars Buyers DB'!H:H)</f>
        <v>Yes</v>
      </c>
      <c r="I31" s="8" t="str">
        <f>_xlfn.XLOOKUP($A31,'RAWDATA Cars Buyers DB'!$A:$A,'RAWDATA Cars Buyers DB'!I:I)</f>
        <v>1–2 Kilometre</v>
      </c>
      <c r="J31" s="8" t="str">
        <f>_xlfn.XLOOKUP($A31,'RAWDATA Cars Buyers DB'!$A:$A,'RAWDATA Cars Buyers DB'!J:J)</f>
        <v>Schleswig-Holstein</v>
      </c>
      <c r="K31" s="8">
        <f>_xlfn.XLOOKUP($A31,'RAWDATA Cars Buyers DB'!$A:$A,'RAWDATA Cars Buyers DB'!K:K)</f>
        <v>66</v>
      </c>
      <c r="L31" s="10" t="str">
        <f>IF(_xlfn.XLOOKUP($A31,'RAWDATA Cars Buyers DB'!$A:$A,'RAWDATA Cars Buyers DB'!K:K)&gt;54,"Old ",IF(_xlfn.XLOOKUP($A31,'RAWDATA Cars Buyers DB'!$A:$A,'RAWDATA Cars Buyers DB'!K:K)&gt;=31,"Middle Age ",IF(_xlfn.XLOOKUP($A31,'RAWDATA Cars Buyers DB'!$A:$A,'RAWDATA Cars Buyers DB'!K:K)&lt;31,"Adolescent","Invalid")))</f>
        <v xml:space="preserve">Old </v>
      </c>
      <c r="M31" s="8" t="str">
        <f>_xlfn.XLOOKUP($A31,'RAWDATA Cars Buyers DB'!$A:$A,'RAWDATA Cars Buyers DB'!L:L)</f>
        <v>No</v>
      </c>
    </row>
    <row r="32" spans="1:13">
      <c r="A32" s="6">
        <v>75725</v>
      </c>
      <c r="B32" s="10" t="str">
        <f>IF(_xlfn.XLOOKUP($A32,'RAWDATA Cars Buyers DB'!$A:$A,'RAWDATA Cars Buyers DB'!B:B)="S","Single","Married")</f>
        <v>Married</v>
      </c>
      <c r="C32" s="10" t="str">
        <f>IF(_xlfn.XLOOKUP($A32,'RAWDATA Cars Buyers DB'!$A:$A,'RAWDATA Cars Buyers DB'!C:C)="F","Female","Male")</f>
        <v>Male</v>
      </c>
      <c r="D32" s="7">
        <f>_xlfn.XLOOKUP($A32,'RAWDATA Cars Buyers DB'!$A:$A,'RAWDATA Cars Buyers DB'!D:D)</f>
        <v>25482</v>
      </c>
      <c r="E32" s="8">
        <f>_xlfn.XLOOKUP($A32,'RAWDATA Cars Buyers DB'!$A:$A,'RAWDATA Cars Buyers DB'!E:E)</f>
        <v>4</v>
      </c>
      <c r="F32" s="8" t="str">
        <f>_xlfn.XLOOKUP($A32,'RAWDATA Cars Buyers DB'!$A:$A,'RAWDATA Cars Buyers DB'!F:F)</f>
        <v>High School</v>
      </c>
      <c r="G32" s="8" t="str">
        <f>_xlfn.XLOOKUP($A32,'RAWDATA Cars Buyers DB'!$A:$A,'RAWDATA Cars Buyers DB'!G:G)</f>
        <v>Management</v>
      </c>
      <c r="H32" s="8" t="str">
        <f>_xlfn.XLOOKUP($A32,'RAWDATA Cars Buyers DB'!$A:$A,'RAWDATA Cars Buyers DB'!H:H)</f>
        <v>Yes</v>
      </c>
      <c r="I32" s="8" t="str">
        <f>_xlfn.XLOOKUP($A32,'RAWDATA Cars Buyers DB'!$A:$A,'RAWDATA Cars Buyers DB'!I:I)</f>
        <v>6+ Kilometre</v>
      </c>
      <c r="J32" s="8" t="str">
        <f>_xlfn.XLOOKUP($A32,'RAWDATA Cars Buyers DB'!$A:$A,'RAWDATA Cars Buyers DB'!J:J)</f>
        <v>Saxony-Anhalt</v>
      </c>
      <c r="K32" s="8">
        <f>_xlfn.XLOOKUP($A32,'RAWDATA Cars Buyers DB'!$A:$A,'RAWDATA Cars Buyers DB'!K:K)</f>
        <v>45</v>
      </c>
      <c r="L32" s="10" t="str">
        <f>IF(_xlfn.XLOOKUP($A32,'RAWDATA Cars Buyers DB'!$A:$A,'RAWDATA Cars Buyers DB'!K:K)&gt;54,"Old ",IF(_xlfn.XLOOKUP($A32,'RAWDATA Cars Buyers DB'!$A:$A,'RAWDATA Cars Buyers DB'!K:K)&gt;=31,"Middle Age ",IF(_xlfn.XLOOKUP($A32,'RAWDATA Cars Buyers DB'!$A:$A,'RAWDATA Cars Buyers DB'!K:K)&lt;31,"Adolescent","Invalid")))</f>
        <v xml:space="preserve">Middle Age </v>
      </c>
      <c r="M32" s="8" t="str">
        <f>_xlfn.XLOOKUP($A32,'RAWDATA Cars Buyers DB'!$A:$A,'RAWDATA Cars Buyers DB'!L:L)</f>
        <v>Yes</v>
      </c>
    </row>
    <row r="33" spans="1:13">
      <c r="A33" s="6">
        <v>94654</v>
      </c>
      <c r="B33" s="10" t="str">
        <f>IF(_xlfn.XLOOKUP($A33,'RAWDATA Cars Buyers DB'!$A:$A,'RAWDATA Cars Buyers DB'!B:B)="S","Single","Married")</f>
        <v>Married</v>
      </c>
      <c r="C33" s="10" t="str">
        <f>IF(_xlfn.XLOOKUP($A33,'RAWDATA Cars Buyers DB'!$A:$A,'RAWDATA Cars Buyers DB'!C:C)="F","Female","Male")</f>
        <v>Male</v>
      </c>
      <c r="D33" s="7">
        <f>_xlfn.XLOOKUP($A33,'RAWDATA Cars Buyers DB'!$A:$A,'RAWDATA Cars Buyers DB'!D:D)</f>
        <v>85333</v>
      </c>
      <c r="E33" s="8">
        <f>_xlfn.XLOOKUP($A33,'RAWDATA Cars Buyers DB'!$A:$A,'RAWDATA Cars Buyers DB'!E:E)</f>
        <v>2</v>
      </c>
      <c r="F33" s="8" t="str">
        <f>_xlfn.XLOOKUP($A33,'RAWDATA Cars Buyers DB'!$A:$A,'RAWDATA Cars Buyers DB'!F:F)</f>
        <v>Graduate Degree</v>
      </c>
      <c r="G33" s="8" t="str">
        <f>_xlfn.XLOOKUP($A33,'RAWDATA Cars Buyers DB'!$A:$A,'RAWDATA Cars Buyers DB'!G:G)</f>
        <v>Management</v>
      </c>
      <c r="H33" s="8" t="str">
        <f>_xlfn.XLOOKUP($A33,'RAWDATA Cars Buyers DB'!$A:$A,'RAWDATA Cars Buyers DB'!H:H)</f>
        <v>No</v>
      </c>
      <c r="I33" s="8" t="str">
        <f>_xlfn.XLOOKUP($A33,'RAWDATA Cars Buyers DB'!$A:$A,'RAWDATA Cars Buyers DB'!I:I)</f>
        <v>4–6 Kilometre</v>
      </c>
      <c r="J33" s="8" t="str">
        <f>_xlfn.XLOOKUP($A33,'RAWDATA Cars Buyers DB'!$A:$A,'RAWDATA Cars Buyers DB'!J:J)</f>
        <v>Bavaria</v>
      </c>
      <c r="K33" s="8">
        <f>_xlfn.XLOOKUP($A33,'RAWDATA Cars Buyers DB'!$A:$A,'RAWDATA Cars Buyers DB'!K:K)</f>
        <v>58</v>
      </c>
      <c r="L33" s="10" t="str">
        <f>IF(_xlfn.XLOOKUP($A33,'RAWDATA Cars Buyers DB'!$A:$A,'RAWDATA Cars Buyers DB'!K:K)&gt;54,"Old ",IF(_xlfn.XLOOKUP($A33,'RAWDATA Cars Buyers DB'!$A:$A,'RAWDATA Cars Buyers DB'!K:K)&gt;=31,"Middle Age ",IF(_xlfn.XLOOKUP($A33,'RAWDATA Cars Buyers DB'!$A:$A,'RAWDATA Cars Buyers DB'!K:K)&lt;31,"Adolescent","Invalid")))</f>
        <v xml:space="preserve">Old </v>
      </c>
      <c r="M33" s="8" t="str">
        <f>_xlfn.XLOOKUP($A33,'RAWDATA Cars Buyers DB'!$A:$A,'RAWDATA Cars Buyers DB'!L:L)</f>
        <v>Yes</v>
      </c>
    </row>
    <row r="34" spans="1:13">
      <c r="A34" s="6">
        <v>45773</v>
      </c>
      <c r="B34" s="10" t="str">
        <f>IF(_xlfn.XLOOKUP($A34,'RAWDATA Cars Buyers DB'!$A:$A,'RAWDATA Cars Buyers DB'!B:B)="S","Single","Married")</f>
        <v>Single</v>
      </c>
      <c r="C34" s="10" t="str">
        <f>IF(_xlfn.XLOOKUP($A34,'RAWDATA Cars Buyers DB'!$A:$A,'RAWDATA Cars Buyers DB'!C:C)="F","Female","Male")</f>
        <v>Male</v>
      </c>
      <c r="D34" s="7">
        <f>_xlfn.XLOOKUP($A34,'RAWDATA Cars Buyers DB'!$A:$A,'RAWDATA Cars Buyers DB'!D:D)</f>
        <v>112541</v>
      </c>
      <c r="E34" s="8">
        <f>_xlfn.XLOOKUP($A34,'RAWDATA Cars Buyers DB'!$A:$A,'RAWDATA Cars Buyers DB'!E:E)</f>
        <v>0</v>
      </c>
      <c r="F34" s="8" t="str">
        <f>_xlfn.XLOOKUP($A34,'RAWDATA Cars Buyers DB'!$A:$A,'RAWDATA Cars Buyers DB'!F:F)</f>
        <v>Bachelors</v>
      </c>
      <c r="G34" s="8" t="str">
        <f>_xlfn.XLOOKUP($A34,'RAWDATA Cars Buyers DB'!$A:$A,'RAWDATA Cars Buyers DB'!G:G)</f>
        <v>Professional</v>
      </c>
      <c r="H34" s="8" t="str">
        <f>_xlfn.XLOOKUP($A34,'RAWDATA Cars Buyers DB'!$A:$A,'RAWDATA Cars Buyers DB'!H:H)</f>
        <v>Yes</v>
      </c>
      <c r="I34" s="8" t="str">
        <f>_xlfn.XLOOKUP($A34,'RAWDATA Cars Buyers DB'!$A:$A,'RAWDATA Cars Buyers DB'!I:I)</f>
        <v>4–6 Kilometre</v>
      </c>
      <c r="J34" s="8" t="str">
        <f>_xlfn.XLOOKUP($A34,'RAWDATA Cars Buyers DB'!$A:$A,'RAWDATA Cars Buyers DB'!J:J)</f>
        <v>Bavaria</v>
      </c>
      <c r="K34" s="8">
        <f>_xlfn.XLOOKUP($A34,'RAWDATA Cars Buyers DB'!$A:$A,'RAWDATA Cars Buyers DB'!K:K)</f>
        <v>29</v>
      </c>
      <c r="L34" s="10" t="str">
        <f>IF(_xlfn.XLOOKUP($A34,'RAWDATA Cars Buyers DB'!$A:$A,'RAWDATA Cars Buyers DB'!K:K)&gt;54,"Old ",IF(_xlfn.XLOOKUP($A34,'RAWDATA Cars Buyers DB'!$A:$A,'RAWDATA Cars Buyers DB'!K:K)&gt;=31,"Middle Age ",IF(_xlfn.XLOOKUP($A34,'RAWDATA Cars Buyers DB'!$A:$A,'RAWDATA Cars Buyers DB'!K:K)&lt;31,"Adolescent","Invalid")))</f>
        <v>Adolescent</v>
      </c>
      <c r="M34" s="8" t="str">
        <f>_xlfn.XLOOKUP($A34,'RAWDATA Cars Buyers DB'!$A:$A,'RAWDATA Cars Buyers DB'!L:L)</f>
        <v>Yes</v>
      </c>
    </row>
    <row r="35" spans="1:13">
      <c r="A35" s="6">
        <v>77435</v>
      </c>
      <c r="B35" s="10" t="str">
        <f>IF(_xlfn.XLOOKUP($A35,'RAWDATA Cars Buyers DB'!$A:$A,'RAWDATA Cars Buyers DB'!B:B)="S","Single","Married")</f>
        <v>Married</v>
      </c>
      <c r="C35" s="10" t="str">
        <f>IF(_xlfn.XLOOKUP($A35,'RAWDATA Cars Buyers DB'!$A:$A,'RAWDATA Cars Buyers DB'!C:C)="F","Female","Male")</f>
        <v>Female</v>
      </c>
      <c r="D35" s="7">
        <f>_xlfn.XLOOKUP($A35,'RAWDATA Cars Buyers DB'!$A:$A,'RAWDATA Cars Buyers DB'!D:D)</f>
        <v>108296</v>
      </c>
      <c r="E35" s="8">
        <f>_xlfn.XLOOKUP($A35,'RAWDATA Cars Buyers DB'!$A:$A,'RAWDATA Cars Buyers DB'!E:E)</f>
        <v>0</v>
      </c>
      <c r="F35" s="8" t="str">
        <f>_xlfn.XLOOKUP($A35,'RAWDATA Cars Buyers DB'!$A:$A,'RAWDATA Cars Buyers DB'!F:F)</f>
        <v>High School</v>
      </c>
      <c r="G35" s="8" t="str">
        <f>_xlfn.XLOOKUP($A35,'RAWDATA Cars Buyers DB'!$A:$A,'RAWDATA Cars Buyers DB'!G:G)</f>
        <v>Management</v>
      </c>
      <c r="H35" s="8" t="str">
        <f>_xlfn.XLOOKUP($A35,'RAWDATA Cars Buyers DB'!$A:$A,'RAWDATA Cars Buyers DB'!H:H)</f>
        <v>Yes</v>
      </c>
      <c r="I35" s="8" t="str">
        <f>_xlfn.XLOOKUP($A35,'RAWDATA Cars Buyers DB'!$A:$A,'RAWDATA Cars Buyers DB'!I:I)</f>
        <v>6+ Kilometre</v>
      </c>
      <c r="J35" s="8" t="str">
        <f>_xlfn.XLOOKUP($A35,'RAWDATA Cars Buyers DB'!$A:$A,'RAWDATA Cars Buyers DB'!J:J)</f>
        <v>Brandenburg</v>
      </c>
      <c r="K35" s="8">
        <f>_xlfn.XLOOKUP($A35,'RAWDATA Cars Buyers DB'!$A:$A,'RAWDATA Cars Buyers DB'!K:K)</f>
        <v>57</v>
      </c>
      <c r="L35" s="10" t="str">
        <f>IF(_xlfn.XLOOKUP($A35,'RAWDATA Cars Buyers DB'!$A:$A,'RAWDATA Cars Buyers DB'!K:K)&gt;54,"Old ",IF(_xlfn.XLOOKUP($A35,'RAWDATA Cars Buyers DB'!$A:$A,'RAWDATA Cars Buyers DB'!K:K)&gt;=31,"Middle Age ",IF(_xlfn.XLOOKUP($A35,'RAWDATA Cars Buyers DB'!$A:$A,'RAWDATA Cars Buyers DB'!K:K)&lt;31,"Adolescent","Invalid")))</f>
        <v xml:space="preserve">Old </v>
      </c>
      <c r="M35" s="8" t="str">
        <f>_xlfn.XLOOKUP($A35,'RAWDATA Cars Buyers DB'!$A:$A,'RAWDATA Cars Buyers DB'!L:L)</f>
        <v>Yes</v>
      </c>
    </row>
    <row r="36" spans="1:13">
      <c r="A36" s="6">
        <v>66886</v>
      </c>
      <c r="B36" s="10" t="str">
        <f>IF(_xlfn.XLOOKUP($A36,'RAWDATA Cars Buyers DB'!$A:$A,'RAWDATA Cars Buyers DB'!B:B)="S","Single","Married")</f>
        <v>Single</v>
      </c>
      <c r="C36" s="10" t="str">
        <f>IF(_xlfn.XLOOKUP($A36,'RAWDATA Cars Buyers DB'!$A:$A,'RAWDATA Cars Buyers DB'!C:C)="F","Female","Male")</f>
        <v>Male</v>
      </c>
      <c r="D36" s="7">
        <f>_xlfn.XLOOKUP($A36,'RAWDATA Cars Buyers DB'!$A:$A,'RAWDATA Cars Buyers DB'!D:D)</f>
        <v>70952</v>
      </c>
      <c r="E36" s="8">
        <f>_xlfn.XLOOKUP($A36,'RAWDATA Cars Buyers DB'!$A:$A,'RAWDATA Cars Buyers DB'!E:E)</f>
        <v>3</v>
      </c>
      <c r="F36" s="8" t="str">
        <f>_xlfn.XLOOKUP($A36,'RAWDATA Cars Buyers DB'!$A:$A,'RAWDATA Cars Buyers DB'!F:F)</f>
        <v>Graduate Degree</v>
      </c>
      <c r="G36" s="8" t="str">
        <f>_xlfn.XLOOKUP($A36,'RAWDATA Cars Buyers DB'!$A:$A,'RAWDATA Cars Buyers DB'!G:G)</f>
        <v>Professional</v>
      </c>
      <c r="H36" s="8" t="str">
        <f>_xlfn.XLOOKUP($A36,'RAWDATA Cars Buyers DB'!$A:$A,'RAWDATA Cars Buyers DB'!H:H)</f>
        <v>Yes</v>
      </c>
      <c r="I36" s="8" t="str">
        <f>_xlfn.XLOOKUP($A36,'RAWDATA Cars Buyers DB'!$A:$A,'RAWDATA Cars Buyers DB'!I:I)</f>
        <v>0–1 Kilometre</v>
      </c>
      <c r="J36" s="8" t="str">
        <f>_xlfn.XLOOKUP($A36,'RAWDATA Cars Buyers DB'!$A:$A,'RAWDATA Cars Buyers DB'!J:J)</f>
        <v>Baden-Württemberg</v>
      </c>
      <c r="K36" s="8">
        <f>_xlfn.XLOOKUP($A36,'RAWDATA Cars Buyers DB'!$A:$A,'RAWDATA Cars Buyers DB'!K:K)</f>
        <v>33</v>
      </c>
      <c r="L36" s="10" t="str">
        <f>IF(_xlfn.XLOOKUP($A36,'RAWDATA Cars Buyers DB'!$A:$A,'RAWDATA Cars Buyers DB'!K:K)&gt;54,"Old ",IF(_xlfn.XLOOKUP($A36,'RAWDATA Cars Buyers DB'!$A:$A,'RAWDATA Cars Buyers DB'!K:K)&gt;=31,"Middle Age ",IF(_xlfn.XLOOKUP($A36,'RAWDATA Cars Buyers DB'!$A:$A,'RAWDATA Cars Buyers DB'!K:K)&lt;31,"Adolescent","Invalid")))</f>
        <v xml:space="preserve">Middle Age </v>
      </c>
      <c r="M36" s="8" t="str">
        <f>_xlfn.XLOOKUP($A36,'RAWDATA Cars Buyers DB'!$A:$A,'RAWDATA Cars Buyers DB'!L:L)</f>
        <v>No</v>
      </c>
    </row>
    <row r="37" spans="1:13">
      <c r="A37" s="6">
        <v>76803</v>
      </c>
      <c r="B37" s="10" t="str">
        <f>IF(_xlfn.XLOOKUP($A37,'RAWDATA Cars Buyers DB'!$A:$A,'RAWDATA Cars Buyers DB'!B:B)="S","Single","Married")</f>
        <v>Single</v>
      </c>
      <c r="C37" s="10" t="str">
        <f>IF(_xlfn.XLOOKUP($A37,'RAWDATA Cars Buyers DB'!$A:$A,'RAWDATA Cars Buyers DB'!C:C)="F","Female","Male")</f>
        <v>Female</v>
      </c>
      <c r="D37" s="7">
        <f>_xlfn.XLOOKUP($A37,'RAWDATA Cars Buyers DB'!$A:$A,'RAWDATA Cars Buyers DB'!D:D)</f>
        <v>25463</v>
      </c>
      <c r="E37" s="8">
        <f>_xlfn.XLOOKUP($A37,'RAWDATA Cars Buyers DB'!$A:$A,'RAWDATA Cars Buyers DB'!E:E)</f>
        <v>4</v>
      </c>
      <c r="F37" s="8" t="str">
        <f>_xlfn.XLOOKUP($A37,'RAWDATA Cars Buyers DB'!$A:$A,'RAWDATA Cars Buyers DB'!F:F)</f>
        <v>Bachelors</v>
      </c>
      <c r="G37" s="8" t="str">
        <f>_xlfn.XLOOKUP($A37,'RAWDATA Cars Buyers DB'!$A:$A,'RAWDATA Cars Buyers DB'!G:G)</f>
        <v>Professional</v>
      </c>
      <c r="H37" s="8" t="str">
        <f>_xlfn.XLOOKUP($A37,'RAWDATA Cars Buyers DB'!$A:$A,'RAWDATA Cars Buyers DB'!H:H)</f>
        <v>No</v>
      </c>
      <c r="I37" s="8" t="str">
        <f>_xlfn.XLOOKUP($A37,'RAWDATA Cars Buyers DB'!$A:$A,'RAWDATA Cars Buyers DB'!I:I)</f>
        <v>4–6 Kilometre</v>
      </c>
      <c r="J37" s="8" t="str">
        <f>_xlfn.XLOOKUP($A37,'RAWDATA Cars Buyers DB'!$A:$A,'RAWDATA Cars Buyers DB'!J:J)</f>
        <v>Mecklenburg-Vorpommern</v>
      </c>
      <c r="K37" s="8">
        <f>_xlfn.XLOOKUP($A37,'RAWDATA Cars Buyers DB'!$A:$A,'RAWDATA Cars Buyers DB'!K:K)</f>
        <v>68</v>
      </c>
      <c r="L37" s="10" t="str">
        <f>IF(_xlfn.XLOOKUP($A37,'RAWDATA Cars Buyers DB'!$A:$A,'RAWDATA Cars Buyers DB'!K:K)&gt;54,"Old ",IF(_xlfn.XLOOKUP($A37,'RAWDATA Cars Buyers DB'!$A:$A,'RAWDATA Cars Buyers DB'!K:K)&gt;=31,"Middle Age ",IF(_xlfn.XLOOKUP($A37,'RAWDATA Cars Buyers DB'!$A:$A,'RAWDATA Cars Buyers DB'!K:K)&lt;31,"Adolescent","Invalid")))</f>
        <v xml:space="preserve">Old </v>
      </c>
      <c r="M37" s="8" t="str">
        <f>_xlfn.XLOOKUP($A37,'RAWDATA Cars Buyers DB'!$A:$A,'RAWDATA Cars Buyers DB'!L:L)</f>
        <v>Yes</v>
      </c>
    </row>
    <row r="38" spans="1:13">
      <c r="A38" s="6">
        <v>41551</v>
      </c>
      <c r="B38" s="10" t="str">
        <f>IF(_xlfn.XLOOKUP($A38,'RAWDATA Cars Buyers DB'!$A:$A,'RAWDATA Cars Buyers DB'!B:B)="S","Single","Married")</f>
        <v>Single</v>
      </c>
      <c r="C38" s="10" t="str">
        <f>IF(_xlfn.XLOOKUP($A38,'RAWDATA Cars Buyers DB'!$A:$A,'RAWDATA Cars Buyers DB'!C:C)="F","Female","Male")</f>
        <v>Male</v>
      </c>
      <c r="D38" s="7">
        <f>_xlfn.XLOOKUP($A38,'RAWDATA Cars Buyers DB'!$A:$A,'RAWDATA Cars Buyers DB'!D:D)</f>
        <v>90448</v>
      </c>
      <c r="E38" s="8">
        <f>_xlfn.XLOOKUP($A38,'RAWDATA Cars Buyers DB'!$A:$A,'RAWDATA Cars Buyers DB'!E:E)</f>
        <v>0</v>
      </c>
      <c r="F38" s="8" t="str">
        <f>_xlfn.XLOOKUP($A38,'RAWDATA Cars Buyers DB'!$A:$A,'RAWDATA Cars Buyers DB'!F:F)</f>
        <v>Graduate Degree</v>
      </c>
      <c r="G38" s="8" t="str">
        <f>_xlfn.XLOOKUP($A38,'RAWDATA Cars Buyers DB'!$A:$A,'RAWDATA Cars Buyers DB'!G:G)</f>
        <v>Professional</v>
      </c>
      <c r="H38" s="8" t="str">
        <f>_xlfn.XLOOKUP($A38,'RAWDATA Cars Buyers DB'!$A:$A,'RAWDATA Cars Buyers DB'!H:H)</f>
        <v>No</v>
      </c>
      <c r="I38" s="8" t="str">
        <f>_xlfn.XLOOKUP($A38,'RAWDATA Cars Buyers DB'!$A:$A,'RAWDATA Cars Buyers DB'!I:I)</f>
        <v>2–4 Kilometre</v>
      </c>
      <c r="J38" s="8" t="str">
        <f>_xlfn.XLOOKUP($A38,'RAWDATA Cars Buyers DB'!$A:$A,'RAWDATA Cars Buyers DB'!J:J)</f>
        <v>Lower Saxony</v>
      </c>
      <c r="K38" s="8">
        <f>_xlfn.XLOOKUP($A38,'RAWDATA Cars Buyers DB'!$A:$A,'RAWDATA Cars Buyers DB'!K:K)</f>
        <v>60</v>
      </c>
      <c r="L38" s="10" t="str">
        <f>IF(_xlfn.XLOOKUP($A38,'RAWDATA Cars Buyers DB'!$A:$A,'RAWDATA Cars Buyers DB'!K:K)&gt;54,"Old ",IF(_xlfn.XLOOKUP($A38,'RAWDATA Cars Buyers DB'!$A:$A,'RAWDATA Cars Buyers DB'!K:K)&gt;=31,"Middle Age ",IF(_xlfn.XLOOKUP($A38,'RAWDATA Cars Buyers DB'!$A:$A,'RAWDATA Cars Buyers DB'!K:K)&lt;31,"Adolescent","Invalid")))</f>
        <v xml:space="preserve">Old </v>
      </c>
      <c r="M38" s="8" t="str">
        <f>_xlfn.XLOOKUP($A38,'RAWDATA Cars Buyers DB'!$A:$A,'RAWDATA Cars Buyers DB'!L:L)</f>
        <v>No</v>
      </c>
    </row>
    <row r="39" spans="1:13">
      <c r="A39" s="6">
        <v>21394</v>
      </c>
      <c r="B39" s="10" t="str">
        <f>IF(_xlfn.XLOOKUP($A39,'RAWDATA Cars Buyers DB'!$A:$A,'RAWDATA Cars Buyers DB'!B:B)="S","Single","Married")</f>
        <v>Single</v>
      </c>
      <c r="C39" s="10" t="str">
        <f>IF(_xlfn.XLOOKUP($A39,'RAWDATA Cars Buyers DB'!$A:$A,'RAWDATA Cars Buyers DB'!C:C)="F","Female","Male")</f>
        <v>Male</v>
      </c>
      <c r="D39" s="7">
        <f>_xlfn.XLOOKUP($A39,'RAWDATA Cars Buyers DB'!$A:$A,'RAWDATA Cars Buyers DB'!D:D)</f>
        <v>24648</v>
      </c>
      <c r="E39" s="8">
        <f>_xlfn.XLOOKUP($A39,'RAWDATA Cars Buyers DB'!$A:$A,'RAWDATA Cars Buyers DB'!E:E)</f>
        <v>0</v>
      </c>
      <c r="F39" s="8" t="str">
        <f>_xlfn.XLOOKUP($A39,'RAWDATA Cars Buyers DB'!$A:$A,'RAWDATA Cars Buyers DB'!F:F)</f>
        <v>Bachelors</v>
      </c>
      <c r="G39" s="8" t="str">
        <f>_xlfn.XLOOKUP($A39,'RAWDATA Cars Buyers DB'!$A:$A,'RAWDATA Cars Buyers DB'!G:G)</f>
        <v>Skilled Manual</v>
      </c>
      <c r="H39" s="8" t="str">
        <f>_xlfn.XLOOKUP($A39,'RAWDATA Cars Buyers DB'!$A:$A,'RAWDATA Cars Buyers DB'!H:H)</f>
        <v>No</v>
      </c>
      <c r="I39" s="8" t="str">
        <f>_xlfn.XLOOKUP($A39,'RAWDATA Cars Buyers DB'!$A:$A,'RAWDATA Cars Buyers DB'!I:I)</f>
        <v>4–6 Kilometre</v>
      </c>
      <c r="J39" s="8" t="str">
        <f>_xlfn.XLOOKUP($A39,'RAWDATA Cars Buyers DB'!$A:$A,'RAWDATA Cars Buyers DB'!J:J)</f>
        <v>Hesse</v>
      </c>
      <c r="K39" s="8">
        <f>_xlfn.XLOOKUP($A39,'RAWDATA Cars Buyers DB'!$A:$A,'RAWDATA Cars Buyers DB'!K:K)</f>
        <v>38</v>
      </c>
      <c r="L39" s="10" t="str">
        <f>IF(_xlfn.XLOOKUP($A39,'RAWDATA Cars Buyers DB'!$A:$A,'RAWDATA Cars Buyers DB'!K:K)&gt;54,"Old ",IF(_xlfn.XLOOKUP($A39,'RAWDATA Cars Buyers DB'!$A:$A,'RAWDATA Cars Buyers DB'!K:K)&gt;=31,"Middle Age ",IF(_xlfn.XLOOKUP($A39,'RAWDATA Cars Buyers DB'!$A:$A,'RAWDATA Cars Buyers DB'!K:K)&lt;31,"Adolescent","Invalid")))</f>
        <v xml:space="preserve">Middle Age </v>
      </c>
      <c r="M39" s="8" t="str">
        <f>_xlfn.XLOOKUP($A39,'RAWDATA Cars Buyers DB'!$A:$A,'RAWDATA Cars Buyers DB'!L:L)</f>
        <v>No</v>
      </c>
    </row>
    <row r="40" spans="1:13">
      <c r="A40" s="6">
        <v>79092</v>
      </c>
      <c r="B40" s="10" t="str">
        <f>IF(_xlfn.XLOOKUP($A40,'RAWDATA Cars Buyers DB'!$A:$A,'RAWDATA Cars Buyers DB'!B:B)="S","Single","Married")</f>
        <v>Single</v>
      </c>
      <c r="C40" s="10" t="str">
        <f>IF(_xlfn.XLOOKUP($A40,'RAWDATA Cars Buyers DB'!$A:$A,'RAWDATA Cars Buyers DB'!C:C)="F","Female","Male")</f>
        <v>Male</v>
      </c>
      <c r="D40" s="7">
        <f>_xlfn.XLOOKUP($A40,'RAWDATA Cars Buyers DB'!$A:$A,'RAWDATA Cars Buyers DB'!D:D)</f>
        <v>53623</v>
      </c>
      <c r="E40" s="8">
        <f>_xlfn.XLOOKUP($A40,'RAWDATA Cars Buyers DB'!$A:$A,'RAWDATA Cars Buyers DB'!E:E)</f>
        <v>2</v>
      </c>
      <c r="F40" s="8" t="str">
        <f>_xlfn.XLOOKUP($A40,'RAWDATA Cars Buyers DB'!$A:$A,'RAWDATA Cars Buyers DB'!F:F)</f>
        <v>High School</v>
      </c>
      <c r="G40" s="8" t="str">
        <f>_xlfn.XLOOKUP($A40,'RAWDATA Cars Buyers DB'!$A:$A,'RAWDATA Cars Buyers DB'!G:G)</f>
        <v>Management</v>
      </c>
      <c r="H40" s="8" t="str">
        <f>_xlfn.XLOOKUP($A40,'RAWDATA Cars Buyers DB'!$A:$A,'RAWDATA Cars Buyers DB'!H:H)</f>
        <v>No</v>
      </c>
      <c r="I40" s="8" t="str">
        <f>_xlfn.XLOOKUP($A40,'RAWDATA Cars Buyers DB'!$A:$A,'RAWDATA Cars Buyers DB'!I:I)</f>
        <v>0–1 Kilometre</v>
      </c>
      <c r="J40" s="8" t="str">
        <f>_xlfn.XLOOKUP($A40,'RAWDATA Cars Buyers DB'!$A:$A,'RAWDATA Cars Buyers DB'!J:J)</f>
        <v>North Rhine-Westphalia</v>
      </c>
      <c r="K40" s="8">
        <f>_xlfn.XLOOKUP($A40,'RAWDATA Cars Buyers DB'!$A:$A,'RAWDATA Cars Buyers DB'!K:K)</f>
        <v>49</v>
      </c>
      <c r="L40" s="10" t="str">
        <f>IF(_xlfn.XLOOKUP($A40,'RAWDATA Cars Buyers DB'!$A:$A,'RAWDATA Cars Buyers DB'!K:K)&gt;54,"Old ",IF(_xlfn.XLOOKUP($A40,'RAWDATA Cars Buyers DB'!$A:$A,'RAWDATA Cars Buyers DB'!K:K)&gt;=31,"Middle Age ",IF(_xlfn.XLOOKUP($A40,'RAWDATA Cars Buyers DB'!$A:$A,'RAWDATA Cars Buyers DB'!K:K)&lt;31,"Adolescent","Invalid")))</f>
        <v xml:space="preserve">Middle Age </v>
      </c>
      <c r="M40" s="8" t="str">
        <f>_xlfn.XLOOKUP($A40,'RAWDATA Cars Buyers DB'!$A:$A,'RAWDATA Cars Buyers DB'!L:L)</f>
        <v>No</v>
      </c>
    </row>
    <row r="41" spans="1:13">
      <c r="A41" s="6">
        <v>13890</v>
      </c>
      <c r="B41" s="10" t="str">
        <f>IF(_xlfn.XLOOKUP($A41,'RAWDATA Cars Buyers DB'!$A:$A,'RAWDATA Cars Buyers DB'!B:B)="S","Single","Married")</f>
        <v>Single</v>
      </c>
      <c r="C41" s="10" t="str">
        <f>IF(_xlfn.XLOOKUP($A41,'RAWDATA Cars Buyers DB'!$A:$A,'RAWDATA Cars Buyers DB'!C:C)="F","Female","Male")</f>
        <v>Female</v>
      </c>
      <c r="D41" s="7">
        <f>_xlfn.XLOOKUP($A41,'RAWDATA Cars Buyers DB'!$A:$A,'RAWDATA Cars Buyers DB'!D:D)</f>
        <v>79156</v>
      </c>
      <c r="E41" s="8">
        <f>_xlfn.XLOOKUP($A41,'RAWDATA Cars Buyers DB'!$A:$A,'RAWDATA Cars Buyers DB'!E:E)</f>
        <v>1</v>
      </c>
      <c r="F41" s="8" t="str">
        <f>_xlfn.XLOOKUP($A41,'RAWDATA Cars Buyers DB'!$A:$A,'RAWDATA Cars Buyers DB'!F:F)</f>
        <v>Graduate Degree</v>
      </c>
      <c r="G41" s="8" t="str">
        <f>_xlfn.XLOOKUP($A41,'RAWDATA Cars Buyers DB'!$A:$A,'RAWDATA Cars Buyers DB'!G:G)</f>
        <v>Professional</v>
      </c>
      <c r="H41" s="8" t="str">
        <f>_xlfn.XLOOKUP($A41,'RAWDATA Cars Buyers DB'!$A:$A,'RAWDATA Cars Buyers DB'!H:H)</f>
        <v>Yes</v>
      </c>
      <c r="I41" s="8" t="str">
        <f>_xlfn.XLOOKUP($A41,'RAWDATA Cars Buyers DB'!$A:$A,'RAWDATA Cars Buyers DB'!I:I)</f>
        <v>0–1 Kilometre</v>
      </c>
      <c r="J41" s="8" t="str">
        <f>_xlfn.XLOOKUP($A41,'RAWDATA Cars Buyers DB'!$A:$A,'RAWDATA Cars Buyers DB'!J:J)</f>
        <v>Saxony</v>
      </c>
      <c r="K41" s="8">
        <f>_xlfn.XLOOKUP($A41,'RAWDATA Cars Buyers DB'!$A:$A,'RAWDATA Cars Buyers DB'!K:K)</f>
        <v>24</v>
      </c>
      <c r="L41" s="10" t="str">
        <f>IF(_xlfn.XLOOKUP($A41,'RAWDATA Cars Buyers DB'!$A:$A,'RAWDATA Cars Buyers DB'!K:K)&gt;54,"Old ",IF(_xlfn.XLOOKUP($A41,'RAWDATA Cars Buyers DB'!$A:$A,'RAWDATA Cars Buyers DB'!K:K)&gt;=31,"Middle Age ",IF(_xlfn.XLOOKUP($A41,'RAWDATA Cars Buyers DB'!$A:$A,'RAWDATA Cars Buyers DB'!K:K)&lt;31,"Adolescent","Invalid")))</f>
        <v>Adolescent</v>
      </c>
      <c r="M41" s="8" t="str">
        <f>_xlfn.XLOOKUP($A41,'RAWDATA Cars Buyers DB'!$A:$A,'RAWDATA Cars Buyers DB'!L:L)</f>
        <v>Yes</v>
      </c>
    </row>
    <row r="42" spans="1:13">
      <c r="A42" s="6">
        <v>51606</v>
      </c>
      <c r="B42" s="10" t="str">
        <f>IF(_xlfn.XLOOKUP($A42,'RAWDATA Cars Buyers DB'!$A:$A,'RAWDATA Cars Buyers DB'!B:B)="S","Single","Married")</f>
        <v>Married</v>
      </c>
      <c r="C42" s="10" t="str">
        <f>IF(_xlfn.XLOOKUP($A42,'RAWDATA Cars Buyers DB'!$A:$A,'RAWDATA Cars Buyers DB'!C:C)="F","Female","Male")</f>
        <v>Female</v>
      </c>
      <c r="D42" s="7">
        <f>_xlfn.XLOOKUP($A42,'RAWDATA Cars Buyers DB'!$A:$A,'RAWDATA Cars Buyers DB'!D:D)</f>
        <v>55634</v>
      </c>
      <c r="E42" s="8">
        <f>_xlfn.XLOOKUP($A42,'RAWDATA Cars Buyers DB'!$A:$A,'RAWDATA Cars Buyers DB'!E:E)</f>
        <v>3</v>
      </c>
      <c r="F42" s="8" t="str">
        <f>_xlfn.XLOOKUP($A42,'RAWDATA Cars Buyers DB'!$A:$A,'RAWDATA Cars Buyers DB'!F:F)</f>
        <v>Partial College</v>
      </c>
      <c r="G42" s="8" t="str">
        <f>_xlfn.XLOOKUP($A42,'RAWDATA Cars Buyers DB'!$A:$A,'RAWDATA Cars Buyers DB'!G:G)</f>
        <v>Clerical</v>
      </c>
      <c r="H42" s="8" t="str">
        <f>_xlfn.XLOOKUP($A42,'RAWDATA Cars Buyers DB'!$A:$A,'RAWDATA Cars Buyers DB'!H:H)</f>
        <v>No</v>
      </c>
      <c r="I42" s="8" t="str">
        <f>_xlfn.XLOOKUP($A42,'RAWDATA Cars Buyers DB'!$A:$A,'RAWDATA Cars Buyers DB'!I:I)</f>
        <v>1–2 Kilometre</v>
      </c>
      <c r="J42" s="8" t="str">
        <f>_xlfn.XLOOKUP($A42,'RAWDATA Cars Buyers DB'!$A:$A,'RAWDATA Cars Buyers DB'!J:J)</f>
        <v>Thuringia</v>
      </c>
      <c r="K42" s="8">
        <f>_xlfn.XLOOKUP($A42,'RAWDATA Cars Buyers DB'!$A:$A,'RAWDATA Cars Buyers DB'!K:K)</f>
        <v>50</v>
      </c>
      <c r="L42" s="10" t="str">
        <f>IF(_xlfn.XLOOKUP($A42,'RAWDATA Cars Buyers DB'!$A:$A,'RAWDATA Cars Buyers DB'!K:K)&gt;54,"Old ",IF(_xlfn.XLOOKUP($A42,'RAWDATA Cars Buyers DB'!$A:$A,'RAWDATA Cars Buyers DB'!K:K)&gt;=31,"Middle Age ",IF(_xlfn.XLOOKUP($A42,'RAWDATA Cars Buyers DB'!$A:$A,'RAWDATA Cars Buyers DB'!K:K)&lt;31,"Adolescent","Invalid")))</f>
        <v xml:space="preserve">Middle Age </v>
      </c>
      <c r="M42" s="8" t="str">
        <f>_xlfn.XLOOKUP($A42,'RAWDATA Cars Buyers DB'!$A:$A,'RAWDATA Cars Buyers DB'!L:L)</f>
        <v>No</v>
      </c>
    </row>
    <row r="43" spans="1:13">
      <c r="A43" s="6">
        <v>90038</v>
      </c>
      <c r="B43" s="10" t="str">
        <f>IF(_xlfn.XLOOKUP($A43,'RAWDATA Cars Buyers DB'!$A:$A,'RAWDATA Cars Buyers DB'!B:B)="S","Single","Married")</f>
        <v>Married</v>
      </c>
      <c r="C43" s="10" t="str">
        <f>IF(_xlfn.XLOOKUP($A43,'RAWDATA Cars Buyers DB'!$A:$A,'RAWDATA Cars Buyers DB'!C:C)="F","Female","Male")</f>
        <v>Male</v>
      </c>
      <c r="D43" s="7">
        <f>_xlfn.XLOOKUP($A43,'RAWDATA Cars Buyers DB'!$A:$A,'RAWDATA Cars Buyers DB'!D:D)</f>
        <v>64602</v>
      </c>
      <c r="E43" s="8">
        <f>_xlfn.XLOOKUP($A43,'RAWDATA Cars Buyers DB'!$A:$A,'RAWDATA Cars Buyers DB'!E:E)</f>
        <v>3</v>
      </c>
      <c r="F43" s="8" t="str">
        <f>_xlfn.XLOOKUP($A43,'RAWDATA Cars Buyers DB'!$A:$A,'RAWDATA Cars Buyers DB'!F:F)</f>
        <v>Graduate Degree</v>
      </c>
      <c r="G43" s="8" t="str">
        <f>_xlfn.XLOOKUP($A43,'RAWDATA Cars Buyers DB'!$A:$A,'RAWDATA Cars Buyers DB'!G:G)</f>
        <v>Skilled Manual</v>
      </c>
      <c r="H43" s="8" t="str">
        <f>_xlfn.XLOOKUP($A43,'RAWDATA Cars Buyers DB'!$A:$A,'RAWDATA Cars Buyers DB'!H:H)</f>
        <v>No</v>
      </c>
      <c r="I43" s="8" t="str">
        <f>_xlfn.XLOOKUP($A43,'RAWDATA Cars Buyers DB'!$A:$A,'RAWDATA Cars Buyers DB'!I:I)</f>
        <v>2–4 Kilometre</v>
      </c>
      <c r="J43" s="8" t="str">
        <f>_xlfn.XLOOKUP($A43,'RAWDATA Cars Buyers DB'!$A:$A,'RAWDATA Cars Buyers DB'!J:J)</f>
        <v>Hesse</v>
      </c>
      <c r="K43" s="8">
        <f>_xlfn.XLOOKUP($A43,'RAWDATA Cars Buyers DB'!$A:$A,'RAWDATA Cars Buyers DB'!K:K)</f>
        <v>26</v>
      </c>
      <c r="L43" s="10" t="str">
        <f>IF(_xlfn.XLOOKUP($A43,'RAWDATA Cars Buyers DB'!$A:$A,'RAWDATA Cars Buyers DB'!K:K)&gt;54,"Old ",IF(_xlfn.XLOOKUP($A43,'RAWDATA Cars Buyers DB'!$A:$A,'RAWDATA Cars Buyers DB'!K:K)&gt;=31,"Middle Age ",IF(_xlfn.XLOOKUP($A43,'RAWDATA Cars Buyers DB'!$A:$A,'RAWDATA Cars Buyers DB'!K:K)&lt;31,"Adolescent","Invalid")))</f>
        <v>Adolescent</v>
      </c>
      <c r="M43" s="8" t="str">
        <f>_xlfn.XLOOKUP($A43,'RAWDATA Cars Buyers DB'!$A:$A,'RAWDATA Cars Buyers DB'!L:L)</f>
        <v>No</v>
      </c>
    </row>
    <row r="44" spans="1:13">
      <c r="A44" s="6">
        <v>97313</v>
      </c>
      <c r="B44" s="10" t="str">
        <f>IF(_xlfn.XLOOKUP($A44,'RAWDATA Cars Buyers DB'!$A:$A,'RAWDATA Cars Buyers DB'!B:B)="S","Single","Married")</f>
        <v>Married</v>
      </c>
      <c r="C44" s="10" t="str">
        <f>IF(_xlfn.XLOOKUP($A44,'RAWDATA Cars Buyers DB'!$A:$A,'RAWDATA Cars Buyers DB'!C:C)="F","Female","Male")</f>
        <v>Male</v>
      </c>
      <c r="D44" s="7">
        <f>_xlfn.XLOOKUP($A44,'RAWDATA Cars Buyers DB'!$A:$A,'RAWDATA Cars Buyers DB'!D:D)</f>
        <v>69334</v>
      </c>
      <c r="E44" s="8">
        <f>_xlfn.XLOOKUP($A44,'RAWDATA Cars Buyers DB'!$A:$A,'RAWDATA Cars Buyers DB'!E:E)</f>
        <v>1</v>
      </c>
      <c r="F44" s="8" t="str">
        <f>_xlfn.XLOOKUP($A44,'RAWDATA Cars Buyers DB'!$A:$A,'RAWDATA Cars Buyers DB'!F:F)</f>
        <v>Bachelors</v>
      </c>
      <c r="G44" s="8" t="str">
        <f>_xlfn.XLOOKUP($A44,'RAWDATA Cars Buyers DB'!$A:$A,'RAWDATA Cars Buyers DB'!G:G)</f>
        <v>Skilled Manual</v>
      </c>
      <c r="H44" s="8" t="str">
        <f>_xlfn.XLOOKUP($A44,'RAWDATA Cars Buyers DB'!$A:$A,'RAWDATA Cars Buyers DB'!H:H)</f>
        <v>No</v>
      </c>
      <c r="I44" s="8" t="str">
        <f>_xlfn.XLOOKUP($A44,'RAWDATA Cars Buyers DB'!$A:$A,'RAWDATA Cars Buyers DB'!I:I)</f>
        <v>0–1 Kilometre</v>
      </c>
      <c r="J44" s="8" t="str">
        <f>_xlfn.XLOOKUP($A44,'RAWDATA Cars Buyers DB'!$A:$A,'RAWDATA Cars Buyers DB'!J:J)</f>
        <v>Thuringia</v>
      </c>
      <c r="K44" s="8">
        <f>_xlfn.XLOOKUP($A44,'RAWDATA Cars Buyers DB'!$A:$A,'RAWDATA Cars Buyers DB'!K:K)</f>
        <v>38</v>
      </c>
      <c r="L44" s="10" t="str">
        <f>IF(_xlfn.XLOOKUP($A44,'RAWDATA Cars Buyers DB'!$A:$A,'RAWDATA Cars Buyers DB'!K:K)&gt;54,"Old ",IF(_xlfn.XLOOKUP($A44,'RAWDATA Cars Buyers DB'!$A:$A,'RAWDATA Cars Buyers DB'!K:K)&gt;=31,"Middle Age ",IF(_xlfn.XLOOKUP($A44,'RAWDATA Cars Buyers DB'!$A:$A,'RAWDATA Cars Buyers DB'!K:K)&lt;31,"Adolescent","Invalid")))</f>
        <v xml:space="preserve">Middle Age </v>
      </c>
      <c r="M44" s="8" t="str">
        <f>_xlfn.XLOOKUP($A44,'RAWDATA Cars Buyers DB'!$A:$A,'RAWDATA Cars Buyers DB'!L:L)</f>
        <v>Yes</v>
      </c>
    </row>
    <row r="45" spans="1:13">
      <c r="A45" s="6">
        <v>20627</v>
      </c>
      <c r="B45" s="10" t="str">
        <f>IF(_xlfn.XLOOKUP($A45,'RAWDATA Cars Buyers DB'!$A:$A,'RAWDATA Cars Buyers DB'!B:B)="S","Single","Married")</f>
        <v>Married</v>
      </c>
      <c r="C45" s="10" t="str">
        <f>IF(_xlfn.XLOOKUP($A45,'RAWDATA Cars Buyers DB'!$A:$A,'RAWDATA Cars Buyers DB'!C:C)="F","Female","Male")</f>
        <v>Male</v>
      </c>
      <c r="D45" s="7">
        <f>_xlfn.XLOOKUP($A45,'RAWDATA Cars Buyers DB'!$A:$A,'RAWDATA Cars Buyers DB'!D:D)</f>
        <v>88648</v>
      </c>
      <c r="E45" s="8">
        <f>_xlfn.XLOOKUP($A45,'RAWDATA Cars Buyers DB'!$A:$A,'RAWDATA Cars Buyers DB'!E:E)</f>
        <v>0</v>
      </c>
      <c r="F45" s="8" t="str">
        <f>_xlfn.XLOOKUP($A45,'RAWDATA Cars Buyers DB'!$A:$A,'RAWDATA Cars Buyers DB'!F:F)</f>
        <v>High School</v>
      </c>
      <c r="G45" s="8" t="str">
        <f>_xlfn.XLOOKUP($A45,'RAWDATA Cars Buyers DB'!$A:$A,'RAWDATA Cars Buyers DB'!G:G)</f>
        <v>Management</v>
      </c>
      <c r="H45" s="8" t="str">
        <f>_xlfn.XLOOKUP($A45,'RAWDATA Cars Buyers DB'!$A:$A,'RAWDATA Cars Buyers DB'!H:H)</f>
        <v>No</v>
      </c>
      <c r="I45" s="8" t="str">
        <f>_xlfn.XLOOKUP($A45,'RAWDATA Cars Buyers DB'!$A:$A,'RAWDATA Cars Buyers DB'!I:I)</f>
        <v>6+ Kilometre</v>
      </c>
      <c r="J45" s="8" t="str">
        <f>_xlfn.XLOOKUP($A45,'RAWDATA Cars Buyers DB'!$A:$A,'RAWDATA Cars Buyers DB'!J:J)</f>
        <v>Saarland</v>
      </c>
      <c r="K45" s="8">
        <f>_xlfn.XLOOKUP($A45,'RAWDATA Cars Buyers DB'!$A:$A,'RAWDATA Cars Buyers DB'!K:K)</f>
        <v>50</v>
      </c>
      <c r="L45" s="10" t="str">
        <f>IF(_xlfn.XLOOKUP($A45,'RAWDATA Cars Buyers DB'!$A:$A,'RAWDATA Cars Buyers DB'!K:K)&gt;54,"Old ",IF(_xlfn.XLOOKUP($A45,'RAWDATA Cars Buyers DB'!$A:$A,'RAWDATA Cars Buyers DB'!K:K)&gt;=31,"Middle Age ",IF(_xlfn.XLOOKUP($A45,'RAWDATA Cars Buyers DB'!$A:$A,'RAWDATA Cars Buyers DB'!K:K)&lt;31,"Adolescent","Invalid")))</f>
        <v xml:space="preserve">Middle Age </v>
      </c>
      <c r="M45" s="8" t="str">
        <f>_xlfn.XLOOKUP($A45,'RAWDATA Cars Buyers DB'!$A:$A,'RAWDATA Cars Buyers DB'!L:L)</f>
        <v>Yes</v>
      </c>
    </row>
    <row r="46" spans="1:13">
      <c r="A46" s="6">
        <v>18792</v>
      </c>
      <c r="B46" s="10" t="str">
        <f>IF(_xlfn.XLOOKUP($A46,'RAWDATA Cars Buyers DB'!$A:$A,'RAWDATA Cars Buyers DB'!B:B)="S","Single","Married")</f>
        <v>Single</v>
      </c>
      <c r="C46" s="10" t="str">
        <f>IF(_xlfn.XLOOKUP($A46,'RAWDATA Cars Buyers DB'!$A:$A,'RAWDATA Cars Buyers DB'!C:C)="F","Female","Male")</f>
        <v>Female</v>
      </c>
      <c r="D46" s="7">
        <f>_xlfn.XLOOKUP($A46,'RAWDATA Cars Buyers DB'!$A:$A,'RAWDATA Cars Buyers DB'!D:D)</f>
        <v>42054</v>
      </c>
      <c r="E46" s="8">
        <f>_xlfn.XLOOKUP($A46,'RAWDATA Cars Buyers DB'!$A:$A,'RAWDATA Cars Buyers DB'!E:E)</f>
        <v>2</v>
      </c>
      <c r="F46" s="8" t="str">
        <f>_xlfn.XLOOKUP($A46,'RAWDATA Cars Buyers DB'!$A:$A,'RAWDATA Cars Buyers DB'!F:F)</f>
        <v>Bachelors</v>
      </c>
      <c r="G46" s="8" t="str">
        <f>_xlfn.XLOOKUP($A46,'RAWDATA Cars Buyers DB'!$A:$A,'RAWDATA Cars Buyers DB'!G:G)</f>
        <v>Professional</v>
      </c>
      <c r="H46" s="8" t="str">
        <f>_xlfn.XLOOKUP($A46,'RAWDATA Cars Buyers DB'!$A:$A,'RAWDATA Cars Buyers DB'!H:H)</f>
        <v>Yes</v>
      </c>
      <c r="I46" s="8" t="str">
        <f>_xlfn.XLOOKUP($A46,'RAWDATA Cars Buyers DB'!$A:$A,'RAWDATA Cars Buyers DB'!I:I)</f>
        <v>2–4 Kilometre</v>
      </c>
      <c r="J46" s="8" t="str">
        <f>_xlfn.XLOOKUP($A46,'RAWDATA Cars Buyers DB'!$A:$A,'RAWDATA Cars Buyers DB'!J:J)</f>
        <v>Mecklenburg-Vorpommern</v>
      </c>
      <c r="K46" s="8">
        <f>_xlfn.XLOOKUP($A46,'RAWDATA Cars Buyers DB'!$A:$A,'RAWDATA Cars Buyers DB'!K:K)</f>
        <v>58</v>
      </c>
      <c r="L46" s="10" t="str">
        <f>IF(_xlfn.XLOOKUP($A46,'RAWDATA Cars Buyers DB'!$A:$A,'RAWDATA Cars Buyers DB'!K:K)&gt;54,"Old ",IF(_xlfn.XLOOKUP($A46,'RAWDATA Cars Buyers DB'!$A:$A,'RAWDATA Cars Buyers DB'!K:K)&gt;=31,"Middle Age ",IF(_xlfn.XLOOKUP($A46,'RAWDATA Cars Buyers DB'!$A:$A,'RAWDATA Cars Buyers DB'!K:K)&lt;31,"Adolescent","Invalid")))</f>
        <v xml:space="preserve">Old </v>
      </c>
      <c r="M46" s="8" t="str">
        <f>_xlfn.XLOOKUP($A46,'RAWDATA Cars Buyers DB'!$A:$A,'RAWDATA Cars Buyers DB'!L:L)</f>
        <v>Yes</v>
      </c>
    </row>
    <row r="47" spans="1:13">
      <c r="A47" s="6">
        <v>83969</v>
      </c>
      <c r="B47" s="10" t="str">
        <f>IF(_xlfn.XLOOKUP($A47,'RAWDATA Cars Buyers DB'!$A:$A,'RAWDATA Cars Buyers DB'!B:B)="S","Single","Married")</f>
        <v>Single</v>
      </c>
      <c r="C47" s="10" t="str">
        <f>IF(_xlfn.XLOOKUP($A47,'RAWDATA Cars Buyers DB'!$A:$A,'RAWDATA Cars Buyers DB'!C:C)="F","Female","Male")</f>
        <v>Male</v>
      </c>
      <c r="D47" s="7">
        <f>_xlfn.XLOOKUP($A47,'RAWDATA Cars Buyers DB'!$A:$A,'RAWDATA Cars Buyers DB'!D:D)</f>
        <v>90028</v>
      </c>
      <c r="E47" s="8">
        <f>_xlfn.XLOOKUP($A47,'RAWDATA Cars Buyers DB'!$A:$A,'RAWDATA Cars Buyers DB'!E:E)</f>
        <v>2</v>
      </c>
      <c r="F47" s="8" t="str">
        <f>_xlfn.XLOOKUP($A47,'RAWDATA Cars Buyers DB'!$A:$A,'RAWDATA Cars Buyers DB'!F:F)</f>
        <v>Graduate Degree</v>
      </c>
      <c r="G47" s="8" t="str">
        <f>_xlfn.XLOOKUP($A47,'RAWDATA Cars Buyers DB'!$A:$A,'RAWDATA Cars Buyers DB'!G:G)</f>
        <v>Management</v>
      </c>
      <c r="H47" s="8" t="str">
        <f>_xlfn.XLOOKUP($A47,'RAWDATA Cars Buyers DB'!$A:$A,'RAWDATA Cars Buyers DB'!H:H)</f>
        <v>Yes</v>
      </c>
      <c r="I47" s="8" t="str">
        <f>_xlfn.XLOOKUP($A47,'RAWDATA Cars Buyers DB'!$A:$A,'RAWDATA Cars Buyers DB'!I:I)</f>
        <v>2–4 Kilometre</v>
      </c>
      <c r="J47" s="8" t="str">
        <f>_xlfn.XLOOKUP($A47,'RAWDATA Cars Buyers DB'!$A:$A,'RAWDATA Cars Buyers DB'!J:J)</f>
        <v>Thuringia</v>
      </c>
      <c r="K47" s="8">
        <f>_xlfn.XLOOKUP($A47,'RAWDATA Cars Buyers DB'!$A:$A,'RAWDATA Cars Buyers DB'!K:K)</f>
        <v>43</v>
      </c>
      <c r="L47" s="10" t="str">
        <f>IF(_xlfn.XLOOKUP($A47,'RAWDATA Cars Buyers DB'!$A:$A,'RAWDATA Cars Buyers DB'!K:K)&gt;54,"Old ",IF(_xlfn.XLOOKUP($A47,'RAWDATA Cars Buyers DB'!$A:$A,'RAWDATA Cars Buyers DB'!K:K)&gt;=31,"Middle Age ",IF(_xlfn.XLOOKUP($A47,'RAWDATA Cars Buyers DB'!$A:$A,'RAWDATA Cars Buyers DB'!K:K)&lt;31,"Adolescent","Invalid")))</f>
        <v xml:space="preserve">Middle Age </v>
      </c>
      <c r="M47" s="8" t="str">
        <f>_xlfn.XLOOKUP($A47,'RAWDATA Cars Buyers DB'!$A:$A,'RAWDATA Cars Buyers DB'!L:L)</f>
        <v>Yes</v>
      </c>
    </row>
    <row r="48" spans="1:13">
      <c r="A48" s="6">
        <v>53001</v>
      </c>
      <c r="B48" s="10" t="str">
        <f>IF(_xlfn.XLOOKUP($A48,'RAWDATA Cars Buyers DB'!$A:$A,'RAWDATA Cars Buyers DB'!B:B)="S","Single","Married")</f>
        <v>Married</v>
      </c>
      <c r="C48" s="10" t="str">
        <f>IF(_xlfn.XLOOKUP($A48,'RAWDATA Cars Buyers DB'!$A:$A,'RAWDATA Cars Buyers DB'!C:C)="F","Female","Male")</f>
        <v>Female</v>
      </c>
      <c r="D48" s="7">
        <f>_xlfn.XLOOKUP($A48,'RAWDATA Cars Buyers DB'!$A:$A,'RAWDATA Cars Buyers DB'!D:D)</f>
        <v>42207</v>
      </c>
      <c r="E48" s="8">
        <f>_xlfn.XLOOKUP($A48,'RAWDATA Cars Buyers DB'!$A:$A,'RAWDATA Cars Buyers DB'!E:E)</f>
        <v>3</v>
      </c>
      <c r="F48" s="8" t="str">
        <f>_xlfn.XLOOKUP($A48,'RAWDATA Cars Buyers DB'!$A:$A,'RAWDATA Cars Buyers DB'!F:F)</f>
        <v>Graduate Degree</v>
      </c>
      <c r="G48" s="8" t="str">
        <f>_xlfn.XLOOKUP($A48,'RAWDATA Cars Buyers DB'!$A:$A,'RAWDATA Cars Buyers DB'!G:G)</f>
        <v>Skilled Manual</v>
      </c>
      <c r="H48" s="8" t="str">
        <f>_xlfn.XLOOKUP($A48,'RAWDATA Cars Buyers DB'!$A:$A,'RAWDATA Cars Buyers DB'!H:H)</f>
        <v>Yes</v>
      </c>
      <c r="I48" s="8" t="str">
        <f>_xlfn.XLOOKUP($A48,'RAWDATA Cars Buyers DB'!$A:$A,'RAWDATA Cars Buyers DB'!I:I)</f>
        <v>6+ Kilometre</v>
      </c>
      <c r="J48" s="8" t="str">
        <f>_xlfn.XLOOKUP($A48,'RAWDATA Cars Buyers DB'!$A:$A,'RAWDATA Cars Buyers DB'!J:J)</f>
        <v>Hamburg</v>
      </c>
      <c r="K48" s="8">
        <f>_xlfn.XLOOKUP($A48,'RAWDATA Cars Buyers DB'!$A:$A,'RAWDATA Cars Buyers DB'!K:K)</f>
        <v>53</v>
      </c>
      <c r="L48" s="10" t="str">
        <f>IF(_xlfn.XLOOKUP($A48,'RAWDATA Cars Buyers DB'!$A:$A,'RAWDATA Cars Buyers DB'!K:K)&gt;54,"Old ",IF(_xlfn.XLOOKUP($A48,'RAWDATA Cars Buyers DB'!$A:$A,'RAWDATA Cars Buyers DB'!K:K)&gt;=31,"Middle Age ",IF(_xlfn.XLOOKUP($A48,'RAWDATA Cars Buyers DB'!$A:$A,'RAWDATA Cars Buyers DB'!K:K)&lt;31,"Adolescent","Invalid")))</f>
        <v xml:space="preserve">Middle Age </v>
      </c>
      <c r="M48" s="8" t="str">
        <f>_xlfn.XLOOKUP($A48,'RAWDATA Cars Buyers DB'!$A:$A,'RAWDATA Cars Buyers DB'!L:L)</f>
        <v>Yes</v>
      </c>
    </row>
    <row r="49" spans="1:13">
      <c r="A49" s="6">
        <v>86552</v>
      </c>
      <c r="B49" s="10" t="str">
        <f>IF(_xlfn.XLOOKUP($A49,'RAWDATA Cars Buyers DB'!$A:$A,'RAWDATA Cars Buyers DB'!B:B)="S","Single","Married")</f>
        <v>Married</v>
      </c>
      <c r="C49" s="10" t="str">
        <f>IF(_xlfn.XLOOKUP($A49,'RAWDATA Cars Buyers DB'!$A:$A,'RAWDATA Cars Buyers DB'!C:C)="F","Female","Male")</f>
        <v>Male</v>
      </c>
      <c r="D49" s="7">
        <f>_xlfn.XLOOKUP($A49,'RAWDATA Cars Buyers DB'!$A:$A,'RAWDATA Cars Buyers DB'!D:D)</f>
        <v>100650</v>
      </c>
      <c r="E49" s="8">
        <f>_xlfn.XLOOKUP($A49,'RAWDATA Cars Buyers DB'!$A:$A,'RAWDATA Cars Buyers DB'!E:E)</f>
        <v>2</v>
      </c>
      <c r="F49" s="8" t="str">
        <f>_xlfn.XLOOKUP($A49,'RAWDATA Cars Buyers DB'!$A:$A,'RAWDATA Cars Buyers DB'!F:F)</f>
        <v>Partial College</v>
      </c>
      <c r="G49" s="8" t="str">
        <f>_xlfn.XLOOKUP($A49,'RAWDATA Cars Buyers DB'!$A:$A,'RAWDATA Cars Buyers DB'!G:G)</f>
        <v>Professional</v>
      </c>
      <c r="H49" s="8" t="str">
        <f>_xlfn.XLOOKUP($A49,'RAWDATA Cars Buyers DB'!$A:$A,'RAWDATA Cars Buyers DB'!H:H)</f>
        <v>No</v>
      </c>
      <c r="I49" s="8" t="str">
        <f>_xlfn.XLOOKUP($A49,'RAWDATA Cars Buyers DB'!$A:$A,'RAWDATA Cars Buyers DB'!I:I)</f>
        <v>4–6 Kilometre</v>
      </c>
      <c r="J49" s="8" t="str">
        <f>_xlfn.XLOOKUP($A49,'RAWDATA Cars Buyers DB'!$A:$A,'RAWDATA Cars Buyers DB'!J:J)</f>
        <v>Baden-Württemberg</v>
      </c>
      <c r="K49" s="8">
        <f>_xlfn.XLOOKUP($A49,'RAWDATA Cars Buyers DB'!$A:$A,'RAWDATA Cars Buyers DB'!K:K)</f>
        <v>42</v>
      </c>
      <c r="L49" s="10" t="str">
        <f>IF(_xlfn.XLOOKUP($A49,'RAWDATA Cars Buyers DB'!$A:$A,'RAWDATA Cars Buyers DB'!K:K)&gt;54,"Old ",IF(_xlfn.XLOOKUP($A49,'RAWDATA Cars Buyers DB'!$A:$A,'RAWDATA Cars Buyers DB'!K:K)&gt;=31,"Middle Age ",IF(_xlfn.XLOOKUP($A49,'RAWDATA Cars Buyers DB'!$A:$A,'RAWDATA Cars Buyers DB'!K:K)&lt;31,"Adolescent","Invalid")))</f>
        <v xml:space="preserve">Middle Age </v>
      </c>
      <c r="M49" s="8" t="str">
        <f>_xlfn.XLOOKUP($A49,'RAWDATA Cars Buyers DB'!$A:$A,'RAWDATA Cars Buyers DB'!L:L)</f>
        <v>No</v>
      </c>
    </row>
    <row r="50" spans="1:13">
      <c r="A50" s="6">
        <v>33897</v>
      </c>
      <c r="B50" s="10" t="str">
        <f>IF(_xlfn.XLOOKUP($A50,'RAWDATA Cars Buyers DB'!$A:$A,'RAWDATA Cars Buyers DB'!B:B)="S","Single","Married")</f>
        <v>Married</v>
      </c>
      <c r="C50" s="10" t="str">
        <f>IF(_xlfn.XLOOKUP($A50,'RAWDATA Cars Buyers DB'!$A:$A,'RAWDATA Cars Buyers DB'!C:C)="F","Female","Male")</f>
        <v>Male</v>
      </c>
      <c r="D50" s="7">
        <f>_xlfn.XLOOKUP($A50,'RAWDATA Cars Buyers DB'!$A:$A,'RAWDATA Cars Buyers DB'!D:D)</f>
        <v>119821</v>
      </c>
      <c r="E50" s="8">
        <f>_xlfn.XLOOKUP($A50,'RAWDATA Cars Buyers DB'!$A:$A,'RAWDATA Cars Buyers DB'!E:E)</f>
        <v>5</v>
      </c>
      <c r="F50" s="8" t="str">
        <f>_xlfn.XLOOKUP($A50,'RAWDATA Cars Buyers DB'!$A:$A,'RAWDATA Cars Buyers DB'!F:F)</f>
        <v>High School</v>
      </c>
      <c r="G50" s="8" t="str">
        <f>_xlfn.XLOOKUP($A50,'RAWDATA Cars Buyers DB'!$A:$A,'RAWDATA Cars Buyers DB'!G:G)</f>
        <v>Clerical</v>
      </c>
      <c r="H50" s="8" t="str">
        <f>_xlfn.XLOOKUP($A50,'RAWDATA Cars Buyers DB'!$A:$A,'RAWDATA Cars Buyers DB'!H:H)</f>
        <v>No</v>
      </c>
      <c r="I50" s="8" t="str">
        <f>_xlfn.XLOOKUP($A50,'RAWDATA Cars Buyers DB'!$A:$A,'RAWDATA Cars Buyers DB'!I:I)</f>
        <v>6+ Kilometre</v>
      </c>
      <c r="J50" s="8" t="str">
        <f>_xlfn.XLOOKUP($A50,'RAWDATA Cars Buyers DB'!$A:$A,'RAWDATA Cars Buyers DB'!J:J)</f>
        <v>Hamburg</v>
      </c>
      <c r="K50" s="8">
        <f>_xlfn.XLOOKUP($A50,'RAWDATA Cars Buyers DB'!$A:$A,'RAWDATA Cars Buyers DB'!K:K)</f>
        <v>67</v>
      </c>
      <c r="L50" s="10" t="str">
        <f>IF(_xlfn.XLOOKUP($A50,'RAWDATA Cars Buyers DB'!$A:$A,'RAWDATA Cars Buyers DB'!K:K)&gt;54,"Old ",IF(_xlfn.XLOOKUP($A50,'RAWDATA Cars Buyers DB'!$A:$A,'RAWDATA Cars Buyers DB'!K:K)&gt;=31,"Middle Age ",IF(_xlfn.XLOOKUP($A50,'RAWDATA Cars Buyers DB'!$A:$A,'RAWDATA Cars Buyers DB'!K:K)&lt;31,"Adolescent","Invalid")))</f>
        <v xml:space="preserve">Old </v>
      </c>
      <c r="M50" s="8" t="str">
        <f>_xlfn.XLOOKUP($A50,'RAWDATA Cars Buyers DB'!$A:$A,'RAWDATA Cars Buyers DB'!L:L)</f>
        <v>Yes</v>
      </c>
    </row>
    <row r="51" spans="1:13">
      <c r="A51" s="6">
        <v>78148</v>
      </c>
      <c r="B51" s="10" t="str">
        <f>IF(_xlfn.XLOOKUP($A51,'RAWDATA Cars Buyers DB'!$A:$A,'RAWDATA Cars Buyers DB'!B:B)="S","Single","Married")</f>
        <v>Single</v>
      </c>
      <c r="C51" s="10" t="str">
        <f>IF(_xlfn.XLOOKUP($A51,'RAWDATA Cars Buyers DB'!$A:$A,'RAWDATA Cars Buyers DB'!C:C)="F","Female","Male")</f>
        <v>Male</v>
      </c>
      <c r="D51" s="7">
        <f>_xlfn.XLOOKUP($A51,'RAWDATA Cars Buyers DB'!$A:$A,'RAWDATA Cars Buyers DB'!D:D)</f>
        <v>101554</v>
      </c>
      <c r="E51" s="8">
        <f>_xlfn.XLOOKUP($A51,'RAWDATA Cars Buyers DB'!$A:$A,'RAWDATA Cars Buyers DB'!E:E)</f>
        <v>1</v>
      </c>
      <c r="F51" s="8" t="str">
        <f>_xlfn.XLOOKUP($A51,'RAWDATA Cars Buyers DB'!$A:$A,'RAWDATA Cars Buyers DB'!F:F)</f>
        <v>High School</v>
      </c>
      <c r="G51" s="8" t="str">
        <f>_xlfn.XLOOKUP($A51,'RAWDATA Cars Buyers DB'!$A:$A,'RAWDATA Cars Buyers DB'!G:G)</f>
        <v>Professional</v>
      </c>
      <c r="H51" s="8" t="str">
        <f>_xlfn.XLOOKUP($A51,'RAWDATA Cars Buyers DB'!$A:$A,'RAWDATA Cars Buyers DB'!H:H)</f>
        <v>Yes</v>
      </c>
      <c r="I51" s="8" t="str">
        <f>_xlfn.XLOOKUP($A51,'RAWDATA Cars Buyers DB'!$A:$A,'RAWDATA Cars Buyers DB'!I:I)</f>
        <v>6+ Kilometre</v>
      </c>
      <c r="J51" s="8" t="str">
        <f>_xlfn.XLOOKUP($A51,'RAWDATA Cars Buyers DB'!$A:$A,'RAWDATA Cars Buyers DB'!J:J)</f>
        <v>Mecklenburg-Vorpommern</v>
      </c>
      <c r="K51" s="8">
        <f>_xlfn.XLOOKUP($A51,'RAWDATA Cars Buyers DB'!$A:$A,'RAWDATA Cars Buyers DB'!K:K)</f>
        <v>64</v>
      </c>
      <c r="L51" s="10" t="str">
        <f>IF(_xlfn.XLOOKUP($A51,'RAWDATA Cars Buyers DB'!$A:$A,'RAWDATA Cars Buyers DB'!K:K)&gt;54,"Old ",IF(_xlfn.XLOOKUP($A51,'RAWDATA Cars Buyers DB'!$A:$A,'RAWDATA Cars Buyers DB'!K:K)&gt;=31,"Middle Age ",IF(_xlfn.XLOOKUP($A51,'RAWDATA Cars Buyers DB'!$A:$A,'RAWDATA Cars Buyers DB'!K:K)&lt;31,"Adolescent","Invalid")))</f>
        <v xml:space="preserve">Old </v>
      </c>
      <c r="M51" s="8" t="str">
        <f>_xlfn.XLOOKUP($A51,'RAWDATA Cars Buyers DB'!$A:$A,'RAWDATA Cars Buyers DB'!L:L)</f>
        <v>No</v>
      </c>
    </row>
    <row r="52" spans="1:13">
      <c r="A52" s="6">
        <v>33483</v>
      </c>
      <c r="B52" s="10" t="str">
        <f>IF(_xlfn.XLOOKUP($A52,'RAWDATA Cars Buyers DB'!$A:$A,'RAWDATA Cars Buyers DB'!B:B)="S","Single","Married")</f>
        <v>Single</v>
      </c>
      <c r="C52" s="10" t="str">
        <f>IF(_xlfn.XLOOKUP($A52,'RAWDATA Cars Buyers DB'!$A:$A,'RAWDATA Cars Buyers DB'!C:C)="F","Female","Male")</f>
        <v>Male</v>
      </c>
      <c r="D52" s="7">
        <f>_xlfn.XLOOKUP($A52,'RAWDATA Cars Buyers DB'!$A:$A,'RAWDATA Cars Buyers DB'!D:D)</f>
        <v>41386</v>
      </c>
      <c r="E52" s="8">
        <f>_xlfn.XLOOKUP($A52,'RAWDATA Cars Buyers DB'!$A:$A,'RAWDATA Cars Buyers DB'!E:E)</f>
        <v>0</v>
      </c>
      <c r="F52" s="8" t="str">
        <f>_xlfn.XLOOKUP($A52,'RAWDATA Cars Buyers DB'!$A:$A,'RAWDATA Cars Buyers DB'!F:F)</f>
        <v>Graduate Degree</v>
      </c>
      <c r="G52" s="8" t="str">
        <f>_xlfn.XLOOKUP($A52,'RAWDATA Cars Buyers DB'!$A:$A,'RAWDATA Cars Buyers DB'!G:G)</f>
        <v>Skilled Manual</v>
      </c>
      <c r="H52" s="8" t="str">
        <f>_xlfn.XLOOKUP($A52,'RAWDATA Cars Buyers DB'!$A:$A,'RAWDATA Cars Buyers DB'!H:H)</f>
        <v>No</v>
      </c>
      <c r="I52" s="8" t="str">
        <f>_xlfn.XLOOKUP($A52,'RAWDATA Cars Buyers DB'!$A:$A,'RAWDATA Cars Buyers DB'!I:I)</f>
        <v>4–6 Kilometre</v>
      </c>
      <c r="J52" s="8" t="str">
        <f>_xlfn.XLOOKUP($A52,'RAWDATA Cars Buyers DB'!$A:$A,'RAWDATA Cars Buyers DB'!J:J)</f>
        <v>Saarland</v>
      </c>
      <c r="K52" s="8">
        <f>_xlfn.XLOOKUP($A52,'RAWDATA Cars Buyers DB'!$A:$A,'RAWDATA Cars Buyers DB'!K:K)</f>
        <v>59</v>
      </c>
      <c r="L52" s="10" t="str">
        <f>IF(_xlfn.XLOOKUP($A52,'RAWDATA Cars Buyers DB'!$A:$A,'RAWDATA Cars Buyers DB'!K:K)&gt;54,"Old ",IF(_xlfn.XLOOKUP($A52,'RAWDATA Cars Buyers DB'!$A:$A,'RAWDATA Cars Buyers DB'!K:K)&gt;=31,"Middle Age ",IF(_xlfn.XLOOKUP($A52,'RAWDATA Cars Buyers DB'!$A:$A,'RAWDATA Cars Buyers DB'!K:K)&lt;31,"Adolescent","Invalid")))</f>
        <v xml:space="preserve">Old </v>
      </c>
      <c r="M52" s="8" t="str">
        <f>_xlfn.XLOOKUP($A52,'RAWDATA Cars Buyers DB'!$A:$A,'RAWDATA Cars Buyers DB'!L:L)</f>
        <v>No</v>
      </c>
    </row>
    <row r="53" spans="1:13">
      <c r="A53" s="6">
        <v>58555</v>
      </c>
      <c r="B53" s="10" t="str">
        <f>IF(_xlfn.XLOOKUP($A53,'RAWDATA Cars Buyers DB'!$A:$A,'RAWDATA Cars Buyers DB'!B:B)="S","Single","Married")</f>
        <v>Married</v>
      </c>
      <c r="C53" s="10" t="str">
        <f>IF(_xlfn.XLOOKUP($A53,'RAWDATA Cars Buyers DB'!$A:$A,'RAWDATA Cars Buyers DB'!C:C)="F","Female","Male")</f>
        <v>Male</v>
      </c>
      <c r="D53" s="7">
        <f>_xlfn.XLOOKUP($A53,'RAWDATA Cars Buyers DB'!$A:$A,'RAWDATA Cars Buyers DB'!D:D)</f>
        <v>103276</v>
      </c>
      <c r="E53" s="8">
        <f>_xlfn.XLOOKUP($A53,'RAWDATA Cars Buyers DB'!$A:$A,'RAWDATA Cars Buyers DB'!E:E)</f>
        <v>5</v>
      </c>
      <c r="F53" s="8" t="str">
        <f>_xlfn.XLOOKUP($A53,'RAWDATA Cars Buyers DB'!$A:$A,'RAWDATA Cars Buyers DB'!F:F)</f>
        <v>High School</v>
      </c>
      <c r="G53" s="8" t="str">
        <f>_xlfn.XLOOKUP($A53,'RAWDATA Cars Buyers DB'!$A:$A,'RAWDATA Cars Buyers DB'!G:G)</f>
        <v>Clerical</v>
      </c>
      <c r="H53" s="8" t="str">
        <f>_xlfn.XLOOKUP($A53,'RAWDATA Cars Buyers DB'!$A:$A,'RAWDATA Cars Buyers DB'!H:H)</f>
        <v>No</v>
      </c>
      <c r="I53" s="8" t="str">
        <f>_xlfn.XLOOKUP($A53,'RAWDATA Cars Buyers DB'!$A:$A,'RAWDATA Cars Buyers DB'!I:I)</f>
        <v>4–6 Kilometre</v>
      </c>
      <c r="J53" s="8" t="str">
        <f>_xlfn.XLOOKUP($A53,'RAWDATA Cars Buyers DB'!$A:$A,'RAWDATA Cars Buyers DB'!J:J)</f>
        <v>Schleswig-Holstein</v>
      </c>
      <c r="K53" s="8">
        <f>_xlfn.XLOOKUP($A53,'RAWDATA Cars Buyers DB'!$A:$A,'RAWDATA Cars Buyers DB'!K:K)</f>
        <v>25</v>
      </c>
      <c r="L53" s="10" t="str">
        <f>IF(_xlfn.XLOOKUP($A53,'RAWDATA Cars Buyers DB'!$A:$A,'RAWDATA Cars Buyers DB'!K:K)&gt;54,"Old ",IF(_xlfn.XLOOKUP($A53,'RAWDATA Cars Buyers DB'!$A:$A,'RAWDATA Cars Buyers DB'!K:K)&gt;=31,"Middle Age ",IF(_xlfn.XLOOKUP($A53,'RAWDATA Cars Buyers DB'!$A:$A,'RAWDATA Cars Buyers DB'!K:K)&lt;31,"Adolescent","Invalid")))</f>
        <v>Adolescent</v>
      </c>
      <c r="M53" s="8" t="str">
        <f>_xlfn.XLOOKUP($A53,'RAWDATA Cars Buyers DB'!$A:$A,'RAWDATA Cars Buyers DB'!L:L)</f>
        <v>No</v>
      </c>
    </row>
    <row r="54" spans="1:13">
      <c r="A54" s="6">
        <v>27159</v>
      </c>
      <c r="B54" s="10" t="str">
        <f>IF(_xlfn.XLOOKUP($A54,'RAWDATA Cars Buyers DB'!$A:$A,'RAWDATA Cars Buyers DB'!B:B)="S","Single","Married")</f>
        <v>Single</v>
      </c>
      <c r="C54" s="10" t="str">
        <f>IF(_xlfn.XLOOKUP($A54,'RAWDATA Cars Buyers DB'!$A:$A,'RAWDATA Cars Buyers DB'!C:C)="F","Female","Male")</f>
        <v>Male</v>
      </c>
      <c r="D54" s="7">
        <f>_xlfn.XLOOKUP($A54,'RAWDATA Cars Buyers DB'!$A:$A,'RAWDATA Cars Buyers DB'!D:D)</f>
        <v>79518</v>
      </c>
      <c r="E54" s="8">
        <f>_xlfn.XLOOKUP($A54,'RAWDATA Cars Buyers DB'!$A:$A,'RAWDATA Cars Buyers DB'!E:E)</f>
        <v>1</v>
      </c>
      <c r="F54" s="8" t="str">
        <f>_xlfn.XLOOKUP($A54,'RAWDATA Cars Buyers DB'!$A:$A,'RAWDATA Cars Buyers DB'!F:F)</f>
        <v>Partial College</v>
      </c>
      <c r="G54" s="8" t="str">
        <f>_xlfn.XLOOKUP($A54,'RAWDATA Cars Buyers DB'!$A:$A,'RAWDATA Cars Buyers DB'!G:G)</f>
        <v>Professional</v>
      </c>
      <c r="H54" s="8" t="str">
        <f>_xlfn.XLOOKUP($A54,'RAWDATA Cars Buyers DB'!$A:$A,'RAWDATA Cars Buyers DB'!H:H)</f>
        <v>Yes</v>
      </c>
      <c r="I54" s="8" t="str">
        <f>_xlfn.XLOOKUP($A54,'RAWDATA Cars Buyers DB'!$A:$A,'RAWDATA Cars Buyers DB'!I:I)</f>
        <v>4–6 Kilometre</v>
      </c>
      <c r="J54" s="8" t="str">
        <f>_xlfn.XLOOKUP($A54,'RAWDATA Cars Buyers DB'!$A:$A,'RAWDATA Cars Buyers DB'!J:J)</f>
        <v>Bavaria</v>
      </c>
      <c r="K54" s="8">
        <f>_xlfn.XLOOKUP($A54,'RAWDATA Cars Buyers DB'!$A:$A,'RAWDATA Cars Buyers DB'!K:K)</f>
        <v>57</v>
      </c>
      <c r="L54" s="10" t="str">
        <f>IF(_xlfn.XLOOKUP($A54,'RAWDATA Cars Buyers DB'!$A:$A,'RAWDATA Cars Buyers DB'!K:K)&gt;54,"Old ",IF(_xlfn.XLOOKUP($A54,'RAWDATA Cars Buyers DB'!$A:$A,'RAWDATA Cars Buyers DB'!K:K)&gt;=31,"Middle Age ",IF(_xlfn.XLOOKUP($A54,'RAWDATA Cars Buyers DB'!$A:$A,'RAWDATA Cars Buyers DB'!K:K)&lt;31,"Adolescent","Invalid")))</f>
        <v xml:space="preserve">Old </v>
      </c>
      <c r="M54" s="8" t="str">
        <f>_xlfn.XLOOKUP($A54,'RAWDATA Cars Buyers DB'!$A:$A,'RAWDATA Cars Buyers DB'!L:L)</f>
        <v>No</v>
      </c>
    </row>
    <row r="55" spans="1:13">
      <c r="A55" s="6">
        <v>90077</v>
      </c>
      <c r="B55" s="10" t="str">
        <f>IF(_xlfn.XLOOKUP($A55,'RAWDATA Cars Buyers DB'!$A:$A,'RAWDATA Cars Buyers DB'!B:B)="S","Single","Married")</f>
        <v>Single</v>
      </c>
      <c r="C55" s="10" t="str">
        <f>IF(_xlfn.XLOOKUP($A55,'RAWDATA Cars Buyers DB'!$A:$A,'RAWDATA Cars Buyers DB'!C:C)="F","Female","Male")</f>
        <v>Female</v>
      </c>
      <c r="D55" s="7">
        <f>_xlfn.XLOOKUP($A55,'RAWDATA Cars Buyers DB'!$A:$A,'RAWDATA Cars Buyers DB'!D:D)</f>
        <v>72781</v>
      </c>
      <c r="E55" s="8">
        <f>_xlfn.XLOOKUP($A55,'RAWDATA Cars Buyers DB'!$A:$A,'RAWDATA Cars Buyers DB'!E:E)</f>
        <v>4</v>
      </c>
      <c r="F55" s="8" t="str">
        <f>_xlfn.XLOOKUP($A55,'RAWDATA Cars Buyers DB'!$A:$A,'RAWDATA Cars Buyers DB'!F:F)</f>
        <v>Bachelors</v>
      </c>
      <c r="G55" s="8" t="str">
        <f>_xlfn.XLOOKUP($A55,'RAWDATA Cars Buyers DB'!$A:$A,'RAWDATA Cars Buyers DB'!G:G)</f>
        <v>Clerical</v>
      </c>
      <c r="H55" s="8" t="str">
        <f>_xlfn.XLOOKUP($A55,'RAWDATA Cars Buyers DB'!$A:$A,'RAWDATA Cars Buyers DB'!H:H)</f>
        <v>Yes</v>
      </c>
      <c r="I55" s="8" t="str">
        <f>_xlfn.XLOOKUP($A55,'RAWDATA Cars Buyers DB'!$A:$A,'RAWDATA Cars Buyers DB'!I:I)</f>
        <v>4–6 Kilometre</v>
      </c>
      <c r="J55" s="8" t="str">
        <f>_xlfn.XLOOKUP($A55,'RAWDATA Cars Buyers DB'!$A:$A,'RAWDATA Cars Buyers DB'!J:J)</f>
        <v>Berlin</v>
      </c>
      <c r="K55" s="8">
        <f>_xlfn.XLOOKUP($A55,'RAWDATA Cars Buyers DB'!$A:$A,'RAWDATA Cars Buyers DB'!K:K)</f>
        <v>60</v>
      </c>
      <c r="L55" s="10" t="str">
        <f>IF(_xlfn.XLOOKUP($A55,'RAWDATA Cars Buyers DB'!$A:$A,'RAWDATA Cars Buyers DB'!K:K)&gt;54,"Old ",IF(_xlfn.XLOOKUP($A55,'RAWDATA Cars Buyers DB'!$A:$A,'RAWDATA Cars Buyers DB'!K:K)&gt;=31,"Middle Age ",IF(_xlfn.XLOOKUP($A55,'RAWDATA Cars Buyers DB'!$A:$A,'RAWDATA Cars Buyers DB'!K:K)&lt;31,"Adolescent","Invalid")))</f>
        <v xml:space="preserve">Old </v>
      </c>
      <c r="M55" s="8" t="str">
        <f>_xlfn.XLOOKUP($A55,'RAWDATA Cars Buyers DB'!$A:$A,'RAWDATA Cars Buyers DB'!L:L)</f>
        <v>Yes</v>
      </c>
    </row>
    <row r="56" spans="1:13">
      <c r="A56" s="6">
        <v>45920</v>
      </c>
      <c r="B56" s="10" t="str">
        <f>IF(_xlfn.XLOOKUP($A56,'RAWDATA Cars Buyers DB'!$A:$A,'RAWDATA Cars Buyers DB'!B:B)="S","Single","Married")</f>
        <v>Married</v>
      </c>
      <c r="C56" s="10" t="str">
        <f>IF(_xlfn.XLOOKUP($A56,'RAWDATA Cars Buyers DB'!$A:$A,'RAWDATA Cars Buyers DB'!C:C)="F","Female","Male")</f>
        <v>Male</v>
      </c>
      <c r="D56" s="7">
        <f>_xlfn.XLOOKUP($A56,'RAWDATA Cars Buyers DB'!$A:$A,'RAWDATA Cars Buyers DB'!D:D)</f>
        <v>72780</v>
      </c>
      <c r="E56" s="8">
        <f>_xlfn.XLOOKUP($A56,'RAWDATA Cars Buyers DB'!$A:$A,'RAWDATA Cars Buyers DB'!E:E)</f>
        <v>3</v>
      </c>
      <c r="F56" s="8" t="str">
        <f>_xlfn.XLOOKUP($A56,'RAWDATA Cars Buyers DB'!$A:$A,'RAWDATA Cars Buyers DB'!F:F)</f>
        <v>High School</v>
      </c>
      <c r="G56" s="8" t="str">
        <f>_xlfn.XLOOKUP($A56,'RAWDATA Cars Buyers DB'!$A:$A,'RAWDATA Cars Buyers DB'!G:G)</f>
        <v>Clerical</v>
      </c>
      <c r="H56" s="8" t="str">
        <f>_xlfn.XLOOKUP($A56,'RAWDATA Cars Buyers DB'!$A:$A,'RAWDATA Cars Buyers DB'!H:H)</f>
        <v>No</v>
      </c>
      <c r="I56" s="8" t="str">
        <f>_xlfn.XLOOKUP($A56,'RAWDATA Cars Buyers DB'!$A:$A,'RAWDATA Cars Buyers DB'!I:I)</f>
        <v>4–6 Kilometre</v>
      </c>
      <c r="J56" s="8" t="str">
        <f>_xlfn.XLOOKUP($A56,'RAWDATA Cars Buyers DB'!$A:$A,'RAWDATA Cars Buyers DB'!J:J)</f>
        <v>Saxony</v>
      </c>
      <c r="K56" s="8">
        <f>_xlfn.XLOOKUP($A56,'RAWDATA Cars Buyers DB'!$A:$A,'RAWDATA Cars Buyers DB'!K:K)</f>
        <v>55</v>
      </c>
      <c r="L56" s="10" t="str">
        <f>IF(_xlfn.XLOOKUP($A56,'RAWDATA Cars Buyers DB'!$A:$A,'RAWDATA Cars Buyers DB'!K:K)&gt;54,"Old ",IF(_xlfn.XLOOKUP($A56,'RAWDATA Cars Buyers DB'!$A:$A,'RAWDATA Cars Buyers DB'!K:K)&gt;=31,"Middle Age ",IF(_xlfn.XLOOKUP($A56,'RAWDATA Cars Buyers DB'!$A:$A,'RAWDATA Cars Buyers DB'!K:K)&lt;31,"Adolescent","Invalid")))</f>
        <v xml:space="preserve">Old </v>
      </c>
      <c r="M56" s="8" t="str">
        <f>_xlfn.XLOOKUP($A56,'RAWDATA Cars Buyers DB'!$A:$A,'RAWDATA Cars Buyers DB'!L:L)</f>
        <v>No</v>
      </c>
    </row>
    <row r="57" spans="1:13">
      <c r="A57" s="6">
        <v>77121</v>
      </c>
      <c r="B57" s="10" t="str">
        <f>IF(_xlfn.XLOOKUP($A57,'RAWDATA Cars Buyers DB'!$A:$A,'RAWDATA Cars Buyers DB'!B:B)="S","Single","Married")</f>
        <v>Single</v>
      </c>
      <c r="C57" s="10" t="str">
        <f>IF(_xlfn.XLOOKUP($A57,'RAWDATA Cars Buyers DB'!$A:$A,'RAWDATA Cars Buyers DB'!C:C)="F","Female","Male")</f>
        <v>Female</v>
      </c>
      <c r="D57" s="7">
        <f>_xlfn.XLOOKUP($A57,'RAWDATA Cars Buyers DB'!$A:$A,'RAWDATA Cars Buyers DB'!D:D)</f>
        <v>81440</v>
      </c>
      <c r="E57" s="8">
        <f>_xlfn.XLOOKUP($A57,'RAWDATA Cars Buyers DB'!$A:$A,'RAWDATA Cars Buyers DB'!E:E)</f>
        <v>2</v>
      </c>
      <c r="F57" s="8" t="str">
        <f>_xlfn.XLOOKUP($A57,'RAWDATA Cars Buyers DB'!$A:$A,'RAWDATA Cars Buyers DB'!F:F)</f>
        <v>Graduate Degree</v>
      </c>
      <c r="G57" s="8" t="str">
        <f>_xlfn.XLOOKUP($A57,'RAWDATA Cars Buyers DB'!$A:$A,'RAWDATA Cars Buyers DB'!G:G)</f>
        <v>Skilled Manual</v>
      </c>
      <c r="H57" s="8" t="str">
        <f>_xlfn.XLOOKUP($A57,'RAWDATA Cars Buyers DB'!$A:$A,'RAWDATA Cars Buyers DB'!H:H)</f>
        <v>No</v>
      </c>
      <c r="I57" s="8" t="str">
        <f>_xlfn.XLOOKUP($A57,'RAWDATA Cars Buyers DB'!$A:$A,'RAWDATA Cars Buyers DB'!I:I)</f>
        <v>6+ Kilometre</v>
      </c>
      <c r="J57" s="8" t="str">
        <f>_xlfn.XLOOKUP($A57,'RAWDATA Cars Buyers DB'!$A:$A,'RAWDATA Cars Buyers DB'!J:J)</f>
        <v>Berlin</v>
      </c>
      <c r="K57" s="8">
        <f>_xlfn.XLOOKUP($A57,'RAWDATA Cars Buyers DB'!$A:$A,'RAWDATA Cars Buyers DB'!K:K)</f>
        <v>46</v>
      </c>
      <c r="L57" s="10" t="str">
        <f>IF(_xlfn.XLOOKUP($A57,'RAWDATA Cars Buyers DB'!$A:$A,'RAWDATA Cars Buyers DB'!K:K)&gt;54,"Old ",IF(_xlfn.XLOOKUP($A57,'RAWDATA Cars Buyers DB'!$A:$A,'RAWDATA Cars Buyers DB'!K:K)&gt;=31,"Middle Age ",IF(_xlfn.XLOOKUP($A57,'RAWDATA Cars Buyers DB'!$A:$A,'RAWDATA Cars Buyers DB'!K:K)&lt;31,"Adolescent","Invalid")))</f>
        <v xml:space="preserve">Middle Age </v>
      </c>
      <c r="M57" s="8" t="str">
        <f>_xlfn.XLOOKUP($A57,'RAWDATA Cars Buyers DB'!$A:$A,'RAWDATA Cars Buyers DB'!L:L)</f>
        <v>No</v>
      </c>
    </row>
    <row r="58" spans="1:13">
      <c r="A58" s="6">
        <v>79479</v>
      </c>
      <c r="B58" s="10" t="str">
        <f>IF(_xlfn.XLOOKUP($A58,'RAWDATA Cars Buyers DB'!$A:$A,'RAWDATA Cars Buyers DB'!B:B)="S","Single","Married")</f>
        <v>Single</v>
      </c>
      <c r="C58" s="10" t="str">
        <f>IF(_xlfn.XLOOKUP($A58,'RAWDATA Cars Buyers DB'!$A:$A,'RAWDATA Cars Buyers DB'!C:C)="F","Female","Male")</f>
        <v>Male</v>
      </c>
      <c r="D58" s="7">
        <f>_xlfn.XLOOKUP($A58,'RAWDATA Cars Buyers DB'!$A:$A,'RAWDATA Cars Buyers DB'!D:D)</f>
        <v>64199</v>
      </c>
      <c r="E58" s="8">
        <f>_xlfn.XLOOKUP($A58,'RAWDATA Cars Buyers DB'!$A:$A,'RAWDATA Cars Buyers DB'!E:E)</f>
        <v>4</v>
      </c>
      <c r="F58" s="8" t="str">
        <f>_xlfn.XLOOKUP($A58,'RAWDATA Cars Buyers DB'!$A:$A,'RAWDATA Cars Buyers DB'!F:F)</f>
        <v>Bachelors</v>
      </c>
      <c r="G58" s="8" t="str">
        <f>_xlfn.XLOOKUP($A58,'RAWDATA Cars Buyers DB'!$A:$A,'RAWDATA Cars Buyers DB'!G:G)</f>
        <v>Clerical</v>
      </c>
      <c r="H58" s="8" t="str">
        <f>_xlfn.XLOOKUP($A58,'RAWDATA Cars Buyers DB'!$A:$A,'RAWDATA Cars Buyers DB'!H:H)</f>
        <v>No</v>
      </c>
      <c r="I58" s="8" t="str">
        <f>_xlfn.XLOOKUP($A58,'RAWDATA Cars Buyers DB'!$A:$A,'RAWDATA Cars Buyers DB'!I:I)</f>
        <v>1–2 Kilometre</v>
      </c>
      <c r="J58" s="8" t="str">
        <f>_xlfn.XLOOKUP($A58,'RAWDATA Cars Buyers DB'!$A:$A,'RAWDATA Cars Buyers DB'!J:J)</f>
        <v>Baden-Württemberg</v>
      </c>
      <c r="K58" s="8">
        <f>_xlfn.XLOOKUP($A58,'RAWDATA Cars Buyers DB'!$A:$A,'RAWDATA Cars Buyers DB'!K:K)</f>
        <v>30</v>
      </c>
      <c r="L58" s="10" t="str">
        <f>IF(_xlfn.XLOOKUP($A58,'RAWDATA Cars Buyers DB'!$A:$A,'RAWDATA Cars Buyers DB'!K:K)&gt;54,"Old ",IF(_xlfn.XLOOKUP($A58,'RAWDATA Cars Buyers DB'!$A:$A,'RAWDATA Cars Buyers DB'!K:K)&gt;=31,"Middle Age ",IF(_xlfn.XLOOKUP($A58,'RAWDATA Cars Buyers DB'!$A:$A,'RAWDATA Cars Buyers DB'!K:K)&lt;31,"Adolescent","Invalid")))</f>
        <v>Adolescent</v>
      </c>
      <c r="M58" s="8" t="str">
        <f>_xlfn.XLOOKUP($A58,'RAWDATA Cars Buyers DB'!$A:$A,'RAWDATA Cars Buyers DB'!L:L)</f>
        <v>No</v>
      </c>
    </row>
    <row r="59" spans="1:13">
      <c r="A59" s="6">
        <v>99475</v>
      </c>
      <c r="B59" s="10" t="str">
        <f>IF(_xlfn.XLOOKUP($A59,'RAWDATA Cars Buyers DB'!$A:$A,'RAWDATA Cars Buyers DB'!B:B)="S","Single","Married")</f>
        <v>Married</v>
      </c>
      <c r="C59" s="10" t="str">
        <f>IF(_xlfn.XLOOKUP($A59,'RAWDATA Cars Buyers DB'!$A:$A,'RAWDATA Cars Buyers DB'!C:C)="F","Female","Male")</f>
        <v>Male</v>
      </c>
      <c r="D59" s="7">
        <f>_xlfn.XLOOKUP($A59,'RAWDATA Cars Buyers DB'!$A:$A,'RAWDATA Cars Buyers DB'!D:D)</f>
        <v>81035</v>
      </c>
      <c r="E59" s="8">
        <f>_xlfn.XLOOKUP($A59,'RAWDATA Cars Buyers DB'!$A:$A,'RAWDATA Cars Buyers DB'!E:E)</f>
        <v>2</v>
      </c>
      <c r="F59" s="8" t="str">
        <f>_xlfn.XLOOKUP($A59,'RAWDATA Cars Buyers DB'!$A:$A,'RAWDATA Cars Buyers DB'!F:F)</f>
        <v>Bachelors</v>
      </c>
      <c r="G59" s="8" t="str">
        <f>_xlfn.XLOOKUP($A59,'RAWDATA Cars Buyers DB'!$A:$A,'RAWDATA Cars Buyers DB'!G:G)</f>
        <v>Management</v>
      </c>
      <c r="H59" s="8" t="str">
        <f>_xlfn.XLOOKUP($A59,'RAWDATA Cars Buyers DB'!$A:$A,'RAWDATA Cars Buyers DB'!H:H)</f>
        <v>Yes</v>
      </c>
      <c r="I59" s="8" t="str">
        <f>_xlfn.XLOOKUP($A59,'RAWDATA Cars Buyers DB'!$A:$A,'RAWDATA Cars Buyers DB'!I:I)</f>
        <v>1–2 Kilometre</v>
      </c>
      <c r="J59" s="8" t="str">
        <f>_xlfn.XLOOKUP($A59,'RAWDATA Cars Buyers DB'!$A:$A,'RAWDATA Cars Buyers DB'!J:J)</f>
        <v>Lower Saxony</v>
      </c>
      <c r="K59" s="8">
        <f>_xlfn.XLOOKUP($A59,'RAWDATA Cars Buyers DB'!$A:$A,'RAWDATA Cars Buyers DB'!K:K)</f>
        <v>24</v>
      </c>
      <c r="L59" s="10" t="str">
        <f>IF(_xlfn.XLOOKUP($A59,'RAWDATA Cars Buyers DB'!$A:$A,'RAWDATA Cars Buyers DB'!K:K)&gt;54,"Old ",IF(_xlfn.XLOOKUP($A59,'RAWDATA Cars Buyers DB'!$A:$A,'RAWDATA Cars Buyers DB'!K:K)&gt;=31,"Middle Age ",IF(_xlfn.XLOOKUP($A59,'RAWDATA Cars Buyers DB'!$A:$A,'RAWDATA Cars Buyers DB'!K:K)&lt;31,"Adolescent","Invalid")))</f>
        <v>Adolescent</v>
      </c>
      <c r="M59" s="8" t="str">
        <f>_xlfn.XLOOKUP($A59,'RAWDATA Cars Buyers DB'!$A:$A,'RAWDATA Cars Buyers DB'!L:L)</f>
        <v>No</v>
      </c>
    </row>
    <row r="60" spans="1:13">
      <c r="A60" s="6">
        <v>29457</v>
      </c>
      <c r="B60" s="10" t="str">
        <f>IF(_xlfn.XLOOKUP($A60,'RAWDATA Cars Buyers DB'!$A:$A,'RAWDATA Cars Buyers DB'!B:B)="S","Single","Married")</f>
        <v>Married</v>
      </c>
      <c r="C60" s="10" t="str">
        <f>IF(_xlfn.XLOOKUP($A60,'RAWDATA Cars Buyers DB'!$A:$A,'RAWDATA Cars Buyers DB'!C:C)="F","Female","Male")</f>
        <v>Female</v>
      </c>
      <c r="D60" s="7">
        <f>_xlfn.XLOOKUP($A60,'RAWDATA Cars Buyers DB'!$A:$A,'RAWDATA Cars Buyers DB'!D:D)</f>
        <v>28210</v>
      </c>
      <c r="E60" s="8">
        <f>_xlfn.XLOOKUP($A60,'RAWDATA Cars Buyers DB'!$A:$A,'RAWDATA Cars Buyers DB'!E:E)</f>
        <v>5</v>
      </c>
      <c r="F60" s="8" t="str">
        <f>_xlfn.XLOOKUP($A60,'RAWDATA Cars Buyers DB'!$A:$A,'RAWDATA Cars Buyers DB'!F:F)</f>
        <v>Partial College</v>
      </c>
      <c r="G60" s="8" t="str">
        <f>_xlfn.XLOOKUP($A60,'RAWDATA Cars Buyers DB'!$A:$A,'RAWDATA Cars Buyers DB'!G:G)</f>
        <v>Skilled Manual</v>
      </c>
      <c r="H60" s="8" t="str">
        <f>_xlfn.XLOOKUP($A60,'RAWDATA Cars Buyers DB'!$A:$A,'RAWDATA Cars Buyers DB'!H:H)</f>
        <v>Yes</v>
      </c>
      <c r="I60" s="8" t="str">
        <f>_xlfn.XLOOKUP($A60,'RAWDATA Cars Buyers DB'!$A:$A,'RAWDATA Cars Buyers DB'!I:I)</f>
        <v>0–1 Kilometre</v>
      </c>
      <c r="J60" s="8" t="str">
        <f>_xlfn.XLOOKUP($A60,'RAWDATA Cars Buyers DB'!$A:$A,'RAWDATA Cars Buyers DB'!J:J)</f>
        <v>Thuringia</v>
      </c>
      <c r="K60" s="8">
        <f>_xlfn.XLOOKUP($A60,'RAWDATA Cars Buyers DB'!$A:$A,'RAWDATA Cars Buyers DB'!K:K)</f>
        <v>36</v>
      </c>
      <c r="L60" s="10" t="str">
        <f>IF(_xlfn.XLOOKUP($A60,'RAWDATA Cars Buyers DB'!$A:$A,'RAWDATA Cars Buyers DB'!K:K)&gt;54,"Old ",IF(_xlfn.XLOOKUP($A60,'RAWDATA Cars Buyers DB'!$A:$A,'RAWDATA Cars Buyers DB'!K:K)&gt;=31,"Middle Age ",IF(_xlfn.XLOOKUP($A60,'RAWDATA Cars Buyers DB'!$A:$A,'RAWDATA Cars Buyers DB'!K:K)&lt;31,"Adolescent","Invalid")))</f>
        <v xml:space="preserve">Middle Age </v>
      </c>
      <c r="M60" s="8" t="str">
        <f>_xlfn.XLOOKUP($A60,'RAWDATA Cars Buyers DB'!$A:$A,'RAWDATA Cars Buyers DB'!L:L)</f>
        <v>Yes</v>
      </c>
    </row>
    <row r="61" spans="1:13">
      <c r="A61" s="6">
        <v>76557</v>
      </c>
      <c r="B61" s="10" t="str">
        <f>IF(_xlfn.XLOOKUP($A61,'RAWDATA Cars Buyers DB'!$A:$A,'RAWDATA Cars Buyers DB'!B:B)="S","Single","Married")</f>
        <v>Married</v>
      </c>
      <c r="C61" s="10" t="str">
        <f>IF(_xlfn.XLOOKUP($A61,'RAWDATA Cars Buyers DB'!$A:$A,'RAWDATA Cars Buyers DB'!C:C)="F","Female","Male")</f>
        <v>Male</v>
      </c>
      <c r="D61" s="7">
        <f>_xlfn.XLOOKUP($A61,'RAWDATA Cars Buyers DB'!$A:$A,'RAWDATA Cars Buyers DB'!D:D)</f>
        <v>64363</v>
      </c>
      <c r="E61" s="8">
        <f>_xlfn.XLOOKUP($A61,'RAWDATA Cars Buyers DB'!$A:$A,'RAWDATA Cars Buyers DB'!E:E)</f>
        <v>0</v>
      </c>
      <c r="F61" s="8" t="str">
        <f>_xlfn.XLOOKUP($A61,'RAWDATA Cars Buyers DB'!$A:$A,'RAWDATA Cars Buyers DB'!F:F)</f>
        <v>Graduate Degree</v>
      </c>
      <c r="G61" s="8" t="str">
        <f>_xlfn.XLOOKUP($A61,'RAWDATA Cars Buyers DB'!$A:$A,'RAWDATA Cars Buyers DB'!G:G)</f>
        <v>Management</v>
      </c>
      <c r="H61" s="8" t="str">
        <f>_xlfn.XLOOKUP($A61,'RAWDATA Cars Buyers DB'!$A:$A,'RAWDATA Cars Buyers DB'!H:H)</f>
        <v>Yes</v>
      </c>
      <c r="I61" s="8" t="str">
        <f>_xlfn.XLOOKUP($A61,'RAWDATA Cars Buyers DB'!$A:$A,'RAWDATA Cars Buyers DB'!I:I)</f>
        <v>1–2 Kilometre</v>
      </c>
      <c r="J61" s="8" t="str">
        <f>_xlfn.XLOOKUP($A61,'RAWDATA Cars Buyers DB'!$A:$A,'RAWDATA Cars Buyers DB'!J:J)</f>
        <v>Brandenburg</v>
      </c>
      <c r="K61" s="8">
        <f>_xlfn.XLOOKUP($A61,'RAWDATA Cars Buyers DB'!$A:$A,'RAWDATA Cars Buyers DB'!K:K)</f>
        <v>26</v>
      </c>
      <c r="L61" s="10" t="str">
        <f>IF(_xlfn.XLOOKUP($A61,'RAWDATA Cars Buyers DB'!$A:$A,'RAWDATA Cars Buyers DB'!K:K)&gt;54,"Old ",IF(_xlfn.XLOOKUP($A61,'RAWDATA Cars Buyers DB'!$A:$A,'RAWDATA Cars Buyers DB'!K:K)&gt;=31,"Middle Age ",IF(_xlfn.XLOOKUP($A61,'RAWDATA Cars Buyers DB'!$A:$A,'RAWDATA Cars Buyers DB'!K:K)&lt;31,"Adolescent","Invalid")))</f>
        <v>Adolescent</v>
      </c>
      <c r="M61" s="8" t="str">
        <f>_xlfn.XLOOKUP($A61,'RAWDATA Cars Buyers DB'!$A:$A,'RAWDATA Cars Buyers DB'!L:L)</f>
        <v>Yes</v>
      </c>
    </row>
    <row r="62" spans="1:13">
      <c r="A62" s="6">
        <v>87189</v>
      </c>
      <c r="B62" s="10" t="str">
        <f>IF(_xlfn.XLOOKUP($A62,'RAWDATA Cars Buyers DB'!$A:$A,'RAWDATA Cars Buyers DB'!B:B)="S","Single","Married")</f>
        <v>Married</v>
      </c>
      <c r="C62" s="10" t="str">
        <f>IF(_xlfn.XLOOKUP($A62,'RAWDATA Cars Buyers DB'!$A:$A,'RAWDATA Cars Buyers DB'!C:C)="F","Female","Male")</f>
        <v>Female</v>
      </c>
      <c r="D62" s="7">
        <f>_xlfn.XLOOKUP($A62,'RAWDATA Cars Buyers DB'!$A:$A,'RAWDATA Cars Buyers DB'!D:D)</f>
        <v>98279</v>
      </c>
      <c r="E62" s="8">
        <f>_xlfn.XLOOKUP($A62,'RAWDATA Cars Buyers DB'!$A:$A,'RAWDATA Cars Buyers DB'!E:E)</f>
        <v>0</v>
      </c>
      <c r="F62" s="8" t="str">
        <f>_xlfn.XLOOKUP($A62,'RAWDATA Cars Buyers DB'!$A:$A,'RAWDATA Cars Buyers DB'!F:F)</f>
        <v>High School</v>
      </c>
      <c r="G62" s="8" t="str">
        <f>_xlfn.XLOOKUP($A62,'RAWDATA Cars Buyers DB'!$A:$A,'RAWDATA Cars Buyers DB'!G:G)</f>
        <v>Clerical</v>
      </c>
      <c r="H62" s="8" t="str">
        <f>_xlfn.XLOOKUP($A62,'RAWDATA Cars Buyers DB'!$A:$A,'RAWDATA Cars Buyers DB'!H:H)</f>
        <v>Yes</v>
      </c>
      <c r="I62" s="8" t="str">
        <f>_xlfn.XLOOKUP($A62,'RAWDATA Cars Buyers DB'!$A:$A,'RAWDATA Cars Buyers DB'!I:I)</f>
        <v>1–2 Kilometre</v>
      </c>
      <c r="J62" s="8" t="str">
        <f>_xlfn.XLOOKUP($A62,'RAWDATA Cars Buyers DB'!$A:$A,'RAWDATA Cars Buyers DB'!J:J)</f>
        <v>Berlin</v>
      </c>
      <c r="K62" s="8">
        <f>_xlfn.XLOOKUP($A62,'RAWDATA Cars Buyers DB'!$A:$A,'RAWDATA Cars Buyers DB'!K:K)</f>
        <v>46</v>
      </c>
      <c r="L62" s="10" t="str">
        <f>IF(_xlfn.XLOOKUP($A62,'RAWDATA Cars Buyers DB'!$A:$A,'RAWDATA Cars Buyers DB'!K:K)&gt;54,"Old ",IF(_xlfn.XLOOKUP($A62,'RAWDATA Cars Buyers DB'!$A:$A,'RAWDATA Cars Buyers DB'!K:K)&gt;=31,"Middle Age ",IF(_xlfn.XLOOKUP($A62,'RAWDATA Cars Buyers DB'!$A:$A,'RAWDATA Cars Buyers DB'!K:K)&lt;31,"Adolescent","Invalid")))</f>
        <v xml:space="preserve">Middle Age </v>
      </c>
      <c r="M62" s="8" t="str">
        <f>_xlfn.XLOOKUP($A62,'RAWDATA Cars Buyers DB'!$A:$A,'RAWDATA Cars Buyers DB'!L:L)</f>
        <v>No</v>
      </c>
    </row>
    <row r="63" spans="1:13">
      <c r="A63" s="6">
        <v>88953</v>
      </c>
      <c r="B63" s="10" t="str">
        <f>IF(_xlfn.XLOOKUP($A63,'RAWDATA Cars Buyers DB'!$A:$A,'RAWDATA Cars Buyers DB'!B:B)="S","Single","Married")</f>
        <v>Single</v>
      </c>
      <c r="C63" s="10" t="str">
        <f>IF(_xlfn.XLOOKUP($A63,'RAWDATA Cars Buyers DB'!$A:$A,'RAWDATA Cars Buyers DB'!C:C)="F","Female","Male")</f>
        <v>Female</v>
      </c>
      <c r="D63" s="7">
        <f>_xlfn.XLOOKUP($A63,'RAWDATA Cars Buyers DB'!$A:$A,'RAWDATA Cars Buyers DB'!D:D)</f>
        <v>80348</v>
      </c>
      <c r="E63" s="8">
        <f>_xlfn.XLOOKUP($A63,'RAWDATA Cars Buyers DB'!$A:$A,'RAWDATA Cars Buyers DB'!E:E)</f>
        <v>0</v>
      </c>
      <c r="F63" s="8" t="str">
        <f>_xlfn.XLOOKUP($A63,'RAWDATA Cars Buyers DB'!$A:$A,'RAWDATA Cars Buyers DB'!F:F)</f>
        <v>Graduate Degree</v>
      </c>
      <c r="G63" s="8" t="str">
        <f>_xlfn.XLOOKUP($A63,'RAWDATA Cars Buyers DB'!$A:$A,'RAWDATA Cars Buyers DB'!G:G)</f>
        <v>Management</v>
      </c>
      <c r="H63" s="8" t="str">
        <f>_xlfn.XLOOKUP($A63,'RAWDATA Cars Buyers DB'!$A:$A,'RAWDATA Cars Buyers DB'!H:H)</f>
        <v>No</v>
      </c>
      <c r="I63" s="8" t="str">
        <f>_xlfn.XLOOKUP($A63,'RAWDATA Cars Buyers DB'!$A:$A,'RAWDATA Cars Buyers DB'!I:I)</f>
        <v>6+ Kilometre</v>
      </c>
      <c r="J63" s="8" t="str">
        <f>_xlfn.XLOOKUP($A63,'RAWDATA Cars Buyers DB'!$A:$A,'RAWDATA Cars Buyers DB'!J:J)</f>
        <v>Rhineland-Palatinate</v>
      </c>
      <c r="K63" s="8">
        <f>_xlfn.XLOOKUP($A63,'RAWDATA Cars Buyers DB'!$A:$A,'RAWDATA Cars Buyers DB'!K:K)</f>
        <v>66</v>
      </c>
      <c r="L63" s="10" t="str">
        <f>IF(_xlfn.XLOOKUP($A63,'RAWDATA Cars Buyers DB'!$A:$A,'RAWDATA Cars Buyers DB'!K:K)&gt;54,"Old ",IF(_xlfn.XLOOKUP($A63,'RAWDATA Cars Buyers DB'!$A:$A,'RAWDATA Cars Buyers DB'!K:K)&gt;=31,"Middle Age ",IF(_xlfn.XLOOKUP($A63,'RAWDATA Cars Buyers DB'!$A:$A,'RAWDATA Cars Buyers DB'!K:K)&lt;31,"Adolescent","Invalid")))</f>
        <v xml:space="preserve">Old </v>
      </c>
      <c r="M63" s="8" t="str">
        <f>_xlfn.XLOOKUP($A63,'RAWDATA Cars Buyers DB'!$A:$A,'RAWDATA Cars Buyers DB'!L:L)</f>
        <v>No</v>
      </c>
    </row>
    <row r="64" spans="1:13">
      <c r="A64" s="6">
        <v>62995</v>
      </c>
      <c r="B64" s="10" t="str">
        <f>IF(_xlfn.XLOOKUP($A64,'RAWDATA Cars Buyers DB'!$A:$A,'RAWDATA Cars Buyers DB'!B:B)="S","Single","Married")</f>
        <v>Single</v>
      </c>
      <c r="C64" s="10" t="str">
        <f>IF(_xlfn.XLOOKUP($A64,'RAWDATA Cars Buyers DB'!$A:$A,'RAWDATA Cars Buyers DB'!C:C)="F","Female","Male")</f>
        <v>Male</v>
      </c>
      <c r="D64" s="7">
        <f>_xlfn.XLOOKUP($A64,'RAWDATA Cars Buyers DB'!$A:$A,'RAWDATA Cars Buyers DB'!D:D)</f>
        <v>75284</v>
      </c>
      <c r="E64" s="8">
        <f>_xlfn.XLOOKUP($A64,'RAWDATA Cars Buyers DB'!$A:$A,'RAWDATA Cars Buyers DB'!E:E)</f>
        <v>2</v>
      </c>
      <c r="F64" s="8" t="str">
        <f>_xlfn.XLOOKUP($A64,'RAWDATA Cars Buyers DB'!$A:$A,'RAWDATA Cars Buyers DB'!F:F)</f>
        <v>Bachelors</v>
      </c>
      <c r="G64" s="8" t="str">
        <f>_xlfn.XLOOKUP($A64,'RAWDATA Cars Buyers DB'!$A:$A,'RAWDATA Cars Buyers DB'!G:G)</f>
        <v>Professional</v>
      </c>
      <c r="H64" s="8" t="str">
        <f>_xlfn.XLOOKUP($A64,'RAWDATA Cars Buyers DB'!$A:$A,'RAWDATA Cars Buyers DB'!H:H)</f>
        <v>Yes</v>
      </c>
      <c r="I64" s="8" t="str">
        <f>_xlfn.XLOOKUP($A64,'RAWDATA Cars Buyers DB'!$A:$A,'RAWDATA Cars Buyers DB'!I:I)</f>
        <v>4–6 Kilometre</v>
      </c>
      <c r="J64" s="8" t="str">
        <f>_xlfn.XLOOKUP($A64,'RAWDATA Cars Buyers DB'!$A:$A,'RAWDATA Cars Buyers DB'!J:J)</f>
        <v>Bremen</v>
      </c>
      <c r="K64" s="8">
        <f>_xlfn.XLOOKUP($A64,'RAWDATA Cars Buyers DB'!$A:$A,'RAWDATA Cars Buyers DB'!K:K)</f>
        <v>34</v>
      </c>
      <c r="L64" s="10" t="str">
        <f>IF(_xlfn.XLOOKUP($A64,'RAWDATA Cars Buyers DB'!$A:$A,'RAWDATA Cars Buyers DB'!K:K)&gt;54,"Old ",IF(_xlfn.XLOOKUP($A64,'RAWDATA Cars Buyers DB'!$A:$A,'RAWDATA Cars Buyers DB'!K:K)&gt;=31,"Middle Age ",IF(_xlfn.XLOOKUP($A64,'RAWDATA Cars Buyers DB'!$A:$A,'RAWDATA Cars Buyers DB'!K:K)&lt;31,"Adolescent","Invalid")))</f>
        <v xml:space="preserve">Middle Age </v>
      </c>
      <c r="M64" s="8" t="str">
        <f>_xlfn.XLOOKUP($A64,'RAWDATA Cars Buyers DB'!$A:$A,'RAWDATA Cars Buyers DB'!L:L)</f>
        <v>No</v>
      </c>
    </row>
    <row r="65" spans="1:13">
      <c r="A65" s="6">
        <v>50757</v>
      </c>
      <c r="B65" s="10" t="str">
        <f>IF(_xlfn.XLOOKUP($A65,'RAWDATA Cars Buyers DB'!$A:$A,'RAWDATA Cars Buyers DB'!B:B)="S","Single","Married")</f>
        <v>Married</v>
      </c>
      <c r="C65" s="10" t="str">
        <f>IF(_xlfn.XLOOKUP($A65,'RAWDATA Cars Buyers DB'!$A:$A,'RAWDATA Cars Buyers DB'!C:C)="F","Female","Male")</f>
        <v>Female</v>
      </c>
      <c r="D65" s="7">
        <f>_xlfn.XLOOKUP($A65,'RAWDATA Cars Buyers DB'!$A:$A,'RAWDATA Cars Buyers DB'!D:D)</f>
        <v>92124</v>
      </c>
      <c r="E65" s="8">
        <f>_xlfn.XLOOKUP($A65,'RAWDATA Cars Buyers DB'!$A:$A,'RAWDATA Cars Buyers DB'!E:E)</f>
        <v>4</v>
      </c>
      <c r="F65" s="8" t="str">
        <f>_xlfn.XLOOKUP($A65,'RAWDATA Cars Buyers DB'!$A:$A,'RAWDATA Cars Buyers DB'!F:F)</f>
        <v>Graduate Degree</v>
      </c>
      <c r="G65" s="8" t="str">
        <f>_xlfn.XLOOKUP($A65,'RAWDATA Cars Buyers DB'!$A:$A,'RAWDATA Cars Buyers DB'!G:G)</f>
        <v>Clerical</v>
      </c>
      <c r="H65" s="8" t="str">
        <f>_xlfn.XLOOKUP($A65,'RAWDATA Cars Buyers DB'!$A:$A,'RAWDATA Cars Buyers DB'!H:H)</f>
        <v>Yes</v>
      </c>
      <c r="I65" s="8" t="str">
        <f>_xlfn.XLOOKUP($A65,'RAWDATA Cars Buyers DB'!$A:$A,'RAWDATA Cars Buyers DB'!I:I)</f>
        <v>4–6 Kilometre</v>
      </c>
      <c r="J65" s="8" t="str">
        <f>_xlfn.XLOOKUP($A65,'RAWDATA Cars Buyers DB'!$A:$A,'RAWDATA Cars Buyers DB'!J:J)</f>
        <v>Hesse</v>
      </c>
      <c r="K65" s="8">
        <f>_xlfn.XLOOKUP($A65,'RAWDATA Cars Buyers DB'!$A:$A,'RAWDATA Cars Buyers DB'!K:K)</f>
        <v>65</v>
      </c>
      <c r="L65" s="10" t="str">
        <f>IF(_xlfn.XLOOKUP($A65,'RAWDATA Cars Buyers DB'!$A:$A,'RAWDATA Cars Buyers DB'!K:K)&gt;54,"Old ",IF(_xlfn.XLOOKUP($A65,'RAWDATA Cars Buyers DB'!$A:$A,'RAWDATA Cars Buyers DB'!K:K)&gt;=31,"Middle Age ",IF(_xlfn.XLOOKUP($A65,'RAWDATA Cars Buyers DB'!$A:$A,'RAWDATA Cars Buyers DB'!K:K)&lt;31,"Adolescent","Invalid")))</f>
        <v xml:space="preserve">Old </v>
      </c>
      <c r="M65" s="8" t="str">
        <f>_xlfn.XLOOKUP($A65,'RAWDATA Cars Buyers DB'!$A:$A,'RAWDATA Cars Buyers DB'!L:L)</f>
        <v>No</v>
      </c>
    </row>
    <row r="66" spans="1:13">
      <c r="A66" s="6">
        <v>19692</v>
      </c>
      <c r="B66" s="10" t="str">
        <f>IF(_xlfn.XLOOKUP($A66,'RAWDATA Cars Buyers DB'!$A:$A,'RAWDATA Cars Buyers DB'!B:B)="S","Single","Married")</f>
        <v>Married</v>
      </c>
      <c r="C66" s="10" t="str">
        <f>IF(_xlfn.XLOOKUP($A66,'RAWDATA Cars Buyers DB'!$A:$A,'RAWDATA Cars Buyers DB'!C:C)="F","Female","Male")</f>
        <v>Female</v>
      </c>
      <c r="D66" s="7">
        <f>_xlfn.XLOOKUP($A66,'RAWDATA Cars Buyers DB'!$A:$A,'RAWDATA Cars Buyers DB'!D:D)</f>
        <v>88847</v>
      </c>
      <c r="E66" s="8">
        <f>_xlfn.XLOOKUP($A66,'RAWDATA Cars Buyers DB'!$A:$A,'RAWDATA Cars Buyers DB'!E:E)</f>
        <v>0</v>
      </c>
      <c r="F66" s="8" t="str">
        <f>_xlfn.XLOOKUP($A66,'RAWDATA Cars Buyers DB'!$A:$A,'RAWDATA Cars Buyers DB'!F:F)</f>
        <v>High School</v>
      </c>
      <c r="G66" s="8" t="str">
        <f>_xlfn.XLOOKUP($A66,'RAWDATA Cars Buyers DB'!$A:$A,'RAWDATA Cars Buyers DB'!G:G)</f>
        <v>Professional</v>
      </c>
      <c r="H66" s="8" t="str">
        <f>_xlfn.XLOOKUP($A66,'RAWDATA Cars Buyers DB'!$A:$A,'RAWDATA Cars Buyers DB'!H:H)</f>
        <v>No</v>
      </c>
      <c r="I66" s="8" t="str">
        <f>_xlfn.XLOOKUP($A66,'RAWDATA Cars Buyers DB'!$A:$A,'RAWDATA Cars Buyers DB'!I:I)</f>
        <v>6+ Kilometre</v>
      </c>
      <c r="J66" s="8" t="str">
        <f>_xlfn.XLOOKUP($A66,'RAWDATA Cars Buyers DB'!$A:$A,'RAWDATA Cars Buyers DB'!J:J)</f>
        <v>Baden-Württemberg</v>
      </c>
      <c r="K66" s="8">
        <f>_xlfn.XLOOKUP($A66,'RAWDATA Cars Buyers DB'!$A:$A,'RAWDATA Cars Buyers DB'!K:K)</f>
        <v>32</v>
      </c>
      <c r="L66" s="10" t="str">
        <f>IF(_xlfn.XLOOKUP($A66,'RAWDATA Cars Buyers DB'!$A:$A,'RAWDATA Cars Buyers DB'!K:K)&gt;54,"Old ",IF(_xlfn.XLOOKUP($A66,'RAWDATA Cars Buyers DB'!$A:$A,'RAWDATA Cars Buyers DB'!K:K)&gt;=31,"Middle Age ",IF(_xlfn.XLOOKUP($A66,'RAWDATA Cars Buyers DB'!$A:$A,'RAWDATA Cars Buyers DB'!K:K)&lt;31,"Adolescent","Invalid")))</f>
        <v xml:space="preserve">Middle Age </v>
      </c>
      <c r="M66" s="8" t="str">
        <f>_xlfn.XLOOKUP($A66,'RAWDATA Cars Buyers DB'!$A:$A,'RAWDATA Cars Buyers DB'!L:L)</f>
        <v>Yes</v>
      </c>
    </row>
    <row r="67" spans="1:13">
      <c r="A67" s="6">
        <v>55758</v>
      </c>
      <c r="B67" s="10" t="str">
        <f>IF(_xlfn.XLOOKUP($A67,'RAWDATA Cars Buyers DB'!$A:$A,'RAWDATA Cars Buyers DB'!B:B)="S","Single","Married")</f>
        <v>Married</v>
      </c>
      <c r="C67" s="10" t="str">
        <f>IF(_xlfn.XLOOKUP($A67,'RAWDATA Cars Buyers DB'!$A:$A,'RAWDATA Cars Buyers DB'!C:C)="F","Female","Male")</f>
        <v>Male</v>
      </c>
      <c r="D67" s="7">
        <f>_xlfn.XLOOKUP($A67,'RAWDATA Cars Buyers DB'!$A:$A,'RAWDATA Cars Buyers DB'!D:D)</f>
        <v>42432</v>
      </c>
      <c r="E67" s="8">
        <f>_xlfn.XLOOKUP($A67,'RAWDATA Cars Buyers DB'!$A:$A,'RAWDATA Cars Buyers DB'!E:E)</f>
        <v>4</v>
      </c>
      <c r="F67" s="8" t="str">
        <f>_xlfn.XLOOKUP($A67,'RAWDATA Cars Buyers DB'!$A:$A,'RAWDATA Cars Buyers DB'!F:F)</f>
        <v>High School</v>
      </c>
      <c r="G67" s="8" t="str">
        <f>_xlfn.XLOOKUP($A67,'RAWDATA Cars Buyers DB'!$A:$A,'RAWDATA Cars Buyers DB'!G:G)</f>
        <v>Management</v>
      </c>
      <c r="H67" s="8" t="str">
        <f>_xlfn.XLOOKUP($A67,'RAWDATA Cars Buyers DB'!$A:$A,'RAWDATA Cars Buyers DB'!H:H)</f>
        <v>No</v>
      </c>
      <c r="I67" s="8" t="str">
        <f>_xlfn.XLOOKUP($A67,'RAWDATA Cars Buyers DB'!$A:$A,'RAWDATA Cars Buyers DB'!I:I)</f>
        <v>1–2 Kilometre</v>
      </c>
      <c r="J67" s="8" t="str">
        <f>_xlfn.XLOOKUP($A67,'RAWDATA Cars Buyers DB'!$A:$A,'RAWDATA Cars Buyers DB'!J:J)</f>
        <v>Bremen</v>
      </c>
      <c r="K67" s="8">
        <f>_xlfn.XLOOKUP($A67,'RAWDATA Cars Buyers DB'!$A:$A,'RAWDATA Cars Buyers DB'!K:K)</f>
        <v>30</v>
      </c>
      <c r="L67" s="10" t="str">
        <f>IF(_xlfn.XLOOKUP($A67,'RAWDATA Cars Buyers DB'!$A:$A,'RAWDATA Cars Buyers DB'!K:K)&gt;54,"Old ",IF(_xlfn.XLOOKUP($A67,'RAWDATA Cars Buyers DB'!$A:$A,'RAWDATA Cars Buyers DB'!K:K)&gt;=31,"Middle Age ",IF(_xlfn.XLOOKUP($A67,'RAWDATA Cars Buyers DB'!$A:$A,'RAWDATA Cars Buyers DB'!K:K)&lt;31,"Adolescent","Invalid")))</f>
        <v>Adolescent</v>
      </c>
      <c r="M67" s="8" t="str">
        <f>_xlfn.XLOOKUP($A67,'RAWDATA Cars Buyers DB'!$A:$A,'RAWDATA Cars Buyers DB'!L:L)</f>
        <v>Yes</v>
      </c>
    </row>
    <row r="68" spans="1:13">
      <c r="A68" s="6">
        <v>82409</v>
      </c>
      <c r="B68" s="10" t="str">
        <f>IF(_xlfn.XLOOKUP($A68,'RAWDATA Cars Buyers DB'!$A:$A,'RAWDATA Cars Buyers DB'!B:B)="S","Single","Married")</f>
        <v>Married</v>
      </c>
      <c r="C68" s="10" t="str">
        <f>IF(_xlfn.XLOOKUP($A68,'RAWDATA Cars Buyers DB'!$A:$A,'RAWDATA Cars Buyers DB'!C:C)="F","Female","Male")</f>
        <v>Female</v>
      </c>
      <c r="D68" s="7">
        <f>_xlfn.XLOOKUP($A68,'RAWDATA Cars Buyers DB'!$A:$A,'RAWDATA Cars Buyers DB'!D:D)</f>
        <v>84089</v>
      </c>
      <c r="E68" s="8">
        <f>_xlfn.XLOOKUP($A68,'RAWDATA Cars Buyers DB'!$A:$A,'RAWDATA Cars Buyers DB'!E:E)</f>
        <v>2</v>
      </c>
      <c r="F68" s="8" t="str">
        <f>_xlfn.XLOOKUP($A68,'RAWDATA Cars Buyers DB'!$A:$A,'RAWDATA Cars Buyers DB'!F:F)</f>
        <v>Partial College</v>
      </c>
      <c r="G68" s="8" t="str">
        <f>_xlfn.XLOOKUP($A68,'RAWDATA Cars Buyers DB'!$A:$A,'RAWDATA Cars Buyers DB'!G:G)</f>
        <v>Professional</v>
      </c>
      <c r="H68" s="8" t="str">
        <f>_xlfn.XLOOKUP($A68,'RAWDATA Cars Buyers DB'!$A:$A,'RAWDATA Cars Buyers DB'!H:H)</f>
        <v>No</v>
      </c>
      <c r="I68" s="8" t="str">
        <f>_xlfn.XLOOKUP($A68,'RAWDATA Cars Buyers DB'!$A:$A,'RAWDATA Cars Buyers DB'!I:I)</f>
        <v>6+ Kilometre</v>
      </c>
      <c r="J68" s="8" t="str">
        <f>_xlfn.XLOOKUP($A68,'RAWDATA Cars Buyers DB'!$A:$A,'RAWDATA Cars Buyers DB'!J:J)</f>
        <v>Thuringia</v>
      </c>
      <c r="K68" s="8">
        <f>_xlfn.XLOOKUP($A68,'RAWDATA Cars Buyers DB'!$A:$A,'RAWDATA Cars Buyers DB'!K:K)</f>
        <v>64</v>
      </c>
      <c r="L68" s="10" t="str">
        <f>IF(_xlfn.XLOOKUP($A68,'RAWDATA Cars Buyers DB'!$A:$A,'RAWDATA Cars Buyers DB'!K:K)&gt;54,"Old ",IF(_xlfn.XLOOKUP($A68,'RAWDATA Cars Buyers DB'!$A:$A,'RAWDATA Cars Buyers DB'!K:K)&gt;=31,"Middle Age ",IF(_xlfn.XLOOKUP($A68,'RAWDATA Cars Buyers DB'!$A:$A,'RAWDATA Cars Buyers DB'!K:K)&lt;31,"Adolescent","Invalid")))</f>
        <v xml:space="preserve">Old </v>
      </c>
      <c r="M68" s="8" t="str">
        <f>_xlfn.XLOOKUP($A68,'RAWDATA Cars Buyers DB'!$A:$A,'RAWDATA Cars Buyers DB'!L:L)</f>
        <v>Yes</v>
      </c>
    </row>
    <row r="69" spans="1:13">
      <c r="A69" s="6">
        <v>81211</v>
      </c>
      <c r="B69" s="10" t="str">
        <f>IF(_xlfn.XLOOKUP($A69,'RAWDATA Cars Buyers DB'!$A:$A,'RAWDATA Cars Buyers DB'!B:B)="S","Single","Married")</f>
        <v>Single</v>
      </c>
      <c r="C69" s="10" t="str">
        <f>IF(_xlfn.XLOOKUP($A69,'RAWDATA Cars Buyers DB'!$A:$A,'RAWDATA Cars Buyers DB'!C:C)="F","Female","Male")</f>
        <v>Male</v>
      </c>
      <c r="D69" s="7">
        <f>_xlfn.XLOOKUP($A69,'RAWDATA Cars Buyers DB'!$A:$A,'RAWDATA Cars Buyers DB'!D:D)</f>
        <v>75398</v>
      </c>
      <c r="E69" s="8">
        <f>_xlfn.XLOOKUP($A69,'RAWDATA Cars Buyers DB'!$A:$A,'RAWDATA Cars Buyers DB'!E:E)</f>
        <v>5</v>
      </c>
      <c r="F69" s="8" t="str">
        <f>_xlfn.XLOOKUP($A69,'RAWDATA Cars Buyers DB'!$A:$A,'RAWDATA Cars Buyers DB'!F:F)</f>
        <v>High School</v>
      </c>
      <c r="G69" s="8" t="str">
        <f>_xlfn.XLOOKUP($A69,'RAWDATA Cars Buyers DB'!$A:$A,'RAWDATA Cars Buyers DB'!G:G)</f>
        <v>Clerical</v>
      </c>
      <c r="H69" s="8" t="str">
        <f>_xlfn.XLOOKUP($A69,'RAWDATA Cars Buyers DB'!$A:$A,'RAWDATA Cars Buyers DB'!H:H)</f>
        <v>Yes</v>
      </c>
      <c r="I69" s="8" t="str">
        <f>_xlfn.XLOOKUP($A69,'RAWDATA Cars Buyers DB'!$A:$A,'RAWDATA Cars Buyers DB'!I:I)</f>
        <v>0–1 Kilometre</v>
      </c>
      <c r="J69" s="8" t="str">
        <f>_xlfn.XLOOKUP($A69,'RAWDATA Cars Buyers DB'!$A:$A,'RAWDATA Cars Buyers DB'!J:J)</f>
        <v>Saxony</v>
      </c>
      <c r="K69" s="8">
        <f>_xlfn.XLOOKUP($A69,'RAWDATA Cars Buyers DB'!$A:$A,'RAWDATA Cars Buyers DB'!K:K)</f>
        <v>45</v>
      </c>
      <c r="L69" s="10" t="str">
        <f>IF(_xlfn.XLOOKUP($A69,'RAWDATA Cars Buyers DB'!$A:$A,'RAWDATA Cars Buyers DB'!K:K)&gt;54,"Old ",IF(_xlfn.XLOOKUP($A69,'RAWDATA Cars Buyers DB'!$A:$A,'RAWDATA Cars Buyers DB'!K:K)&gt;=31,"Middle Age ",IF(_xlfn.XLOOKUP($A69,'RAWDATA Cars Buyers DB'!$A:$A,'RAWDATA Cars Buyers DB'!K:K)&lt;31,"Adolescent","Invalid")))</f>
        <v xml:space="preserve">Middle Age </v>
      </c>
      <c r="M69" s="8" t="str">
        <f>_xlfn.XLOOKUP($A69,'RAWDATA Cars Buyers DB'!$A:$A,'RAWDATA Cars Buyers DB'!L:L)</f>
        <v>Yes</v>
      </c>
    </row>
    <row r="70" spans="1:13">
      <c r="A70" s="6">
        <v>75697</v>
      </c>
      <c r="B70" s="10" t="str">
        <f>IF(_xlfn.XLOOKUP($A70,'RAWDATA Cars Buyers DB'!$A:$A,'RAWDATA Cars Buyers DB'!B:B)="S","Single","Married")</f>
        <v>Married</v>
      </c>
      <c r="C70" s="10" t="str">
        <f>IF(_xlfn.XLOOKUP($A70,'RAWDATA Cars Buyers DB'!$A:$A,'RAWDATA Cars Buyers DB'!C:C)="F","Female","Male")</f>
        <v>Male</v>
      </c>
      <c r="D70" s="7">
        <f>_xlfn.XLOOKUP($A70,'RAWDATA Cars Buyers DB'!$A:$A,'RAWDATA Cars Buyers DB'!D:D)</f>
        <v>119291</v>
      </c>
      <c r="E70" s="8">
        <f>_xlfn.XLOOKUP($A70,'RAWDATA Cars Buyers DB'!$A:$A,'RAWDATA Cars Buyers DB'!E:E)</f>
        <v>4</v>
      </c>
      <c r="F70" s="8" t="str">
        <f>_xlfn.XLOOKUP($A70,'RAWDATA Cars Buyers DB'!$A:$A,'RAWDATA Cars Buyers DB'!F:F)</f>
        <v>High School</v>
      </c>
      <c r="G70" s="8" t="str">
        <f>_xlfn.XLOOKUP($A70,'RAWDATA Cars Buyers DB'!$A:$A,'RAWDATA Cars Buyers DB'!G:G)</f>
        <v>Professional</v>
      </c>
      <c r="H70" s="8" t="str">
        <f>_xlfn.XLOOKUP($A70,'RAWDATA Cars Buyers DB'!$A:$A,'RAWDATA Cars Buyers DB'!H:H)</f>
        <v>No</v>
      </c>
      <c r="I70" s="8" t="str">
        <f>_xlfn.XLOOKUP($A70,'RAWDATA Cars Buyers DB'!$A:$A,'RAWDATA Cars Buyers DB'!I:I)</f>
        <v>4–6 Kilometre</v>
      </c>
      <c r="J70" s="8" t="str">
        <f>_xlfn.XLOOKUP($A70,'RAWDATA Cars Buyers DB'!$A:$A,'RAWDATA Cars Buyers DB'!J:J)</f>
        <v>Hamburg</v>
      </c>
      <c r="K70" s="8">
        <f>_xlfn.XLOOKUP($A70,'RAWDATA Cars Buyers DB'!$A:$A,'RAWDATA Cars Buyers DB'!K:K)</f>
        <v>41</v>
      </c>
      <c r="L70" s="10" t="str">
        <f>IF(_xlfn.XLOOKUP($A70,'RAWDATA Cars Buyers DB'!$A:$A,'RAWDATA Cars Buyers DB'!K:K)&gt;54,"Old ",IF(_xlfn.XLOOKUP($A70,'RAWDATA Cars Buyers DB'!$A:$A,'RAWDATA Cars Buyers DB'!K:K)&gt;=31,"Middle Age ",IF(_xlfn.XLOOKUP($A70,'RAWDATA Cars Buyers DB'!$A:$A,'RAWDATA Cars Buyers DB'!K:K)&lt;31,"Adolescent","Invalid")))</f>
        <v xml:space="preserve">Middle Age </v>
      </c>
      <c r="M70" s="8" t="str">
        <f>_xlfn.XLOOKUP($A70,'RAWDATA Cars Buyers DB'!$A:$A,'RAWDATA Cars Buyers DB'!L:L)</f>
        <v>No</v>
      </c>
    </row>
    <row r="71" spans="1:13">
      <c r="A71" s="6">
        <v>47065</v>
      </c>
      <c r="B71" s="10" t="str">
        <f>IF(_xlfn.XLOOKUP($A71,'RAWDATA Cars Buyers DB'!$A:$A,'RAWDATA Cars Buyers DB'!B:B)="S","Single","Married")</f>
        <v>Married</v>
      </c>
      <c r="C71" s="10" t="str">
        <f>IF(_xlfn.XLOOKUP($A71,'RAWDATA Cars Buyers DB'!$A:$A,'RAWDATA Cars Buyers DB'!C:C)="F","Female","Male")</f>
        <v>Male</v>
      </c>
      <c r="D71" s="7">
        <f>_xlfn.XLOOKUP($A71,'RAWDATA Cars Buyers DB'!$A:$A,'RAWDATA Cars Buyers DB'!D:D)</f>
        <v>23321</v>
      </c>
      <c r="E71" s="8">
        <f>_xlfn.XLOOKUP($A71,'RAWDATA Cars Buyers DB'!$A:$A,'RAWDATA Cars Buyers DB'!E:E)</f>
        <v>5</v>
      </c>
      <c r="F71" s="8" t="str">
        <f>_xlfn.XLOOKUP($A71,'RAWDATA Cars Buyers DB'!$A:$A,'RAWDATA Cars Buyers DB'!F:F)</f>
        <v>Graduate Degree</v>
      </c>
      <c r="G71" s="8" t="str">
        <f>_xlfn.XLOOKUP($A71,'RAWDATA Cars Buyers DB'!$A:$A,'RAWDATA Cars Buyers DB'!G:G)</f>
        <v>Management</v>
      </c>
      <c r="H71" s="8" t="str">
        <f>_xlfn.XLOOKUP($A71,'RAWDATA Cars Buyers DB'!$A:$A,'RAWDATA Cars Buyers DB'!H:H)</f>
        <v>No</v>
      </c>
      <c r="I71" s="8" t="str">
        <f>_xlfn.XLOOKUP($A71,'RAWDATA Cars Buyers DB'!$A:$A,'RAWDATA Cars Buyers DB'!I:I)</f>
        <v>2–4 Kilometre</v>
      </c>
      <c r="J71" s="8" t="str">
        <f>_xlfn.XLOOKUP($A71,'RAWDATA Cars Buyers DB'!$A:$A,'RAWDATA Cars Buyers DB'!J:J)</f>
        <v>Berlin</v>
      </c>
      <c r="K71" s="8">
        <f>_xlfn.XLOOKUP($A71,'RAWDATA Cars Buyers DB'!$A:$A,'RAWDATA Cars Buyers DB'!K:K)</f>
        <v>47</v>
      </c>
      <c r="L71" s="10" t="str">
        <f>IF(_xlfn.XLOOKUP($A71,'RAWDATA Cars Buyers DB'!$A:$A,'RAWDATA Cars Buyers DB'!K:K)&gt;54,"Old ",IF(_xlfn.XLOOKUP($A71,'RAWDATA Cars Buyers DB'!$A:$A,'RAWDATA Cars Buyers DB'!K:K)&gt;=31,"Middle Age ",IF(_xlfn.XLOOKUP($A71,'RAWDATA Cars Buyers DB'!$A:$A,'RAWDATA Cars Buyers DB'!K:K)&lt;31,"Adolescent","Invalid")))</f>
        <v xml:space="preserve">Middle Age </v>
      </c>
      <c r="M71" s="8" t="str">
        <f>_xlfn.XLOOKUP($A71,'RAWDATA Cars Buyers DB'!$A:$A,'RAWDATA Cars Buyers DB'!L:L)</f>
        <v>No</v>
      </c>
    </row>
    <row r="72" spans="1:13">
      <c r="A72" s="6">
        <v>42606</v>
      </c>
      <c r="B72" s="10" t="str">
        <f>IF(_xlfn.XLOOKUP($A72,'RAWDATA Cars Buyers DB'!$A:$A,'RAWDATA Cars Buyers DB'!B:B)="S","Single","Married")</f>
        <v>Married</v>
      </c>
      <c r="C72" s="10" t="str">
        <f>IF(_xlfn.XLOOKUP($A72,'RAWDATA Cars Buyers DB'!$A:$A,'RAWDATA Cars Buyers DB'!C:C)="F","Female","Male")</f>
        <v>Male</v>
      </c>
      <c r="D72" s="7">
        <f>_xlfn.XLOOKUP($A72,'RAWDATA Cars Buyers DB'!$A:$A,'RAWDATA Cars Buyers DB'!D:D)</f>
        <v>101348</v>
      </c>
      <c r="E72" s="8">
        <f>_xlfn.XLOOKUP($A72,'RAWDATA Cars Buyers DB'!$A:$A,'RAWDATA Cars Buyers DB'!E:E)</f>
        <v>2</v>
      </c>
      <c r="F72" s="8" t="str">
        <f>_xlfn.XLOOKUP($A72,'RAWDATA Cars Buyers DB'!$A:$A,'RAWDATA Cars Buyers DB'!F:F)</f>
        <v>Graduate Degree</v>
      </c>
      <c r="G72" s="8" t="str">
        <f>_xlfn.XLOOKUP($A72,'RAWDATA Cars Buyers DB'!$A:$A,'RAWDATA Cars Buyers DB'!G:G)</f>
        <v>Management</v>
      </c>
      <c r="H72" s="8" t="str">
        <f>_xlfn.XLOOKUP($A72,'RAWDATA Cars Buyers DB'!$A:$A,'RAWDATA Cars Buyers DB'!H:H)</f>
        <v>Yes</v>
      </c>
      <c r="I72" s="8" t="str">
        <f>_xlfn.XLOOKUP($A72,'RAWDATA Cars Buyers DB'!$A:$A,'RAWDATA Cars Buyers DB'!I:I)</f>
        <v>0–1 Kilometre</v>
      </c>
      <c r="J72" s="8" t="str">
        <f>_xlfn.XLOOKUP($A72,'RAWDATA Cars Buyers DB'!$A:$A,'RAWDATA Cars Buyers DB'!J:J)</f>
        <v>Hesse</v>
      </c>
      <c r="K72" s="8">
        <f>_xlfn.XLOOKUP($A72,'RAWDATA Cars Buyers DB'!$A:$A,'RAWDATA Cars Buyers DB'!K:K)</f>
        <v>43</v>
      </c>
      <c r="L72" s="10" t="str">
        <f>IF(_xlfn.XLOOKUP($A72,'RAWDATA Cars Buyers DB'!$A:$A,'RAWDATA Cars Buyers DB'!K:K)&gt;54,"Old ",IF(_xlfn.XLOOKUP($A72,'RAWDATA Cars Buyers DB'!$A:$A,'RAWDATA Cars Buyers DB'!K:K)&gt;=31,"Middle Age ",IF(_xlfn.XLOOKUP($A72,'RAWDATA Cars Buyers DB'!$A:$A,'RAWDATA Cars Buyers DB'!K:K)&lt;31,"Adolescent","Invalid")))</f>
        <v xml:space="preserve">Middle Age </v>
      </c>
      <c r="M72" s="8" t="str">
        <f>_xlfn.XLOOKUP($A72,'RAWDATA Cars Buyers DB'!$A:$A,'RAWDATA Cars Buyers DB'!L:L)</f>
        <v>Yes</v>
      </c>
    </row>
    <row r="73" spans="1:13">
      <c r="A73" s="6">
        <v>62251</v>
      </c>
      <c r="B73" s="10" t="str">
        <f>IF(_xlfn.XLOOKUP($A73,'RAWDATA Cars Buyers DB'!$A:$A,'RAWDATA Cars Buyers DB'!B:B)="S","Single","Married")</f>
        <v>Married</v>
      </c>
      <c r="C73" s="10" t="str">
        <f>IF(_xlfn.XLOOKUP($A73,'RAWDATA Cars Buyers DB'!$A:$A,'RAWDATA Cars Buyers DB'!C:C)="F","Female","Male")</f>
        <v>Female</v>
      </c>
      <c r="D73" s="7">
        <f>_xlfn.XLOOKUP($A73,'RAWDATA Cars Buyers DB'!$A:$A,'RAWDATA Cars Buyers DB'!D:D)</f>
        <v>96917</v>
      </c>
      <c r="E73" s="8">
        <f>_xlfn.XLOOKUP($A73,'RAWDATA Cars Buyers DB'!$A:$A,'RAWDATA Cars Buyers DB'!E:E)</f>
        <v>4</v>
      </c>
      <c r="F73" s="8" t="str">
        <f>_xlfn.XLOOKUP($A73,'RAWDATA Cars Buyers DB'!$A:$A,'RAWDATA Cars Buyers DB'!F:F)</f>
        <v>Graduate Degree</v>
      </c>
      <c r="G73" s="8" t="str">
        <f>_xlfn.XLOOKUP($A73,'RAWDATA Cars Buyers DB'!$A:$A,'RAWDATA Cars Buyers DB'!G:G)</f>
        <v>Clerical</v>
      </c>
      <c r="H73" s="8" t="str">
        <f>_xlfn.XLOOKUP($A73,'RAWDATA Cars Buyers DB'!$A:$A,'RAWDATA Cars Buyers DB'!H:H)</f>
        <v>Yes</v>
      </c>
      <c r="I73" s="8" t="str">
        <f>_xlfn.XLOOKUP($A73,'RAWDATA Cars Buyers DB'!$A:$A,'RAWDATA Cars Buyers DB'!I:I)</f>
        <v>1–2 Kilometre</v>
      </c>
      <c r="J73" s="8" t="str">
        <f>_xlfn.XLOOKUP($A73,'RAWDATA Cars Buyers DB'!$A:$A,'RAWDATA Cars Buyers DB'!J:J)</f>
        <v>Brandenburg</v>
      </c>
      <c r="K73" s="8">
        <f>_xlfn.XLOOKUP($A73,'RAWDATA Cars Buyers DB'!$A:$A,'RAWDATA Cars Buyers DB'!K:K)</f>
        <v>48</v>
      </c>
      <c r="L73" s="10" t="str">
        <f>IF(_xlfn.XLOOKUP($A73,'RAWDATA Cars Buyers DB'!$A:$A,'RAWDATA Cars Buyers DB'!K:K)&gt;54,"Old ",IF(_xlfn.XLOOKUP($A73,'RAWDATA Cars Buyers DB'!$A:$A,'RAWDATA Cars Buyers DB'!K:K)&gt;=31,"Middle Age ",IF(_xlfn.XLOOKUP($A73,'RAWDATA Cars Buyers DB'!$A:$A,'RAWDATA Cars Buyers DB'!K:K)&lt;31,"Adolescent","Invalid")))</f>
        <v xml:space="preserve">Middle Age </v>
      </c>
      <c r="M73" s="8" t="str">
        <f>_xlfn.XLOOKUP($A73,'RAWDATA Cars Buyers DB'!$A:$A,'RAWDATA Cars Buyers DB'!L:L)</f>
        <v>Yes</v>
      </c>
    </row>
    <row r="74" spans="1:13">
      <c r="A74" s="6">
        <v>50397</v>
      </c>
      <c r="B74" s="10" t="str">
        <f>IF(_xlfn.XLOOKUP($A74,'RAWDATA Cars Buyers DB'!$A:$A,'RAWDATA Cars Buyers DB'!B:B)="S","Single","Married")</f>
        <v>Married</v>
      </c>
      <c r="C74" s="10" t="str">
        <f>IF(_xlfn.XLOOKUP($A74,'RAWDATA Cars Buyers DB'!$A:$A,'RAWDATA Cars Buyers DB'!C:C)="F","Female","Male")</f>
        <v>Male</v>
      </c>
      <c r="D74" s="7">
        <f>_xlfn.XLOOKUP($A74,'RAWDATA Cars Buyers DB'!$A:$A,'RAWDATA Cars Buyers DB'!D:D)</f>
        <v>98682</v>
      </c>
      <c r="E74" s="8">
        <f>_xlfn.XLOOKUP($A74,'RAWDATA Cars Buyers DB'!$A:$A,'RAWDATA Cars Buyers DB'!E:E)</f>
        <v>3</v>
      </c>
      <c r="F74" s="8" t="str">
        <f>_xlfn.XLOOKUP($A74,'RAWDATA Cars Buyers DB'!$A:$A,'RAWDATA Cars Buyers DB'!F:F)</f>
        <v>Partial College</v>
      </c>
      <c r="G74" s="8" t="str">
        <f>_xlfn.XLOOKUP($A74,'RAWDATA Cars Buyers DB'!$A:$A,'RAWDATA Cars Buyers DB'!G:G)</f>
        <v>Clerical</v>
      </c>
      <c r="H74" s="8" t="str">
        <f>_xlfn.XLOOKUP($A74,'RAWDATA Cars Buyers DB'!$A:$A,'RAWDATA Cars Buyers DB'!H:H)</f>
        <v>No</v>
      </c>
      <c r="I74" s="8" t="str">
        <f>_xlfn.XLOOKUP($A74,'RAWDATA Cars Buyers DB'!$A:$A,'RAWDATA Cars Buyers DB'!I:I)</f>
        <v>6+ Kilometre</v>
      </c>
      <c r="J74" s="8" t="str">
        <f>_xlfn.XLOOKUP($A74,'RAWDATA Cars Buyers DB'!$A:$A,'RAWDATA Cars Buyers DB'!J:J)</f>
        <v>Mecklenburg-Vorpommern</v>
      </c>
      <c r="K74" s="8">
        <f>_xlfn.XLOOKUP($A74,'RAWDATA Cars Buyers DB'!$A:$A,'RAWDATA Cars Buyers DB'!K:K)</f>
        <v>28</v>
      </c>
      <c r="L74" s="10" t="str">
        <f>IF(_xlfn.XLOOKUP($A74,'RAWDATA Cars Buyers DB'!$A:$A,'RAWDATA Cars Buyers DB'!K:K)&gt;54,"Old ",IF(_xlfn.XLOOKUP($A74,'RAWDATA Cars Buyers DB'!$A:$A,'RAWDATA Cars Buyers DB'!K:K)&gt;=31,"Middle Age ",IF(_xlfn.XLOOKUP($A74,'RAWDATA Cars Buyers DB'!$A:$A,'RAWDATA Cars Buyers DB'!K:K)&lt;31,"Adolescent","Invalid")))</f>
        <v>Adolescent</v>
      </c>
      <c r="M74" s="8" t="str">
        <f>_xlfn.XLOOKUP($A74,'RAWDATA Cars Buyers DB'!$A:$A,'RAWDATA Cars Buyers DB'!L:L)</f>
        <v>Yes</v>
      </c>
    </row>
    <row r="75" spans="1:13">
      <c r="A75" s="6">
        <v>11016</v>
      </c>
      <c r="B75" s="10" t="str">
        <f>IF(_xlfn.XLOOKUP($A75,'RAWDATA Cars Buyers DB'!$A:$A,'RAWDATA Cars Buyers DB'!B:B)="S","Single","Married")</f>
        <v>Single</v>
      </c>
      <c r="C75" s="10" t="str">
        <f>IF(_xlfn.XLOOKUP($A75,'RAWDATA Cars Buyers DB'!$A:$A,'RAWDATA Cars Buyers DB'!C:C)="F","Female","Male")</f>
        <v>Male</v>
      </c>
      <c r="D75" s="7">
        <f>_xlfn.XLOOKUP($A75,'RAWDATA Cars Buyers DB'!$A:$A,'RAWDATA Cars Buyers DB'!D:D)</f>
        <v>99190</v>
      </c>
      <c r="E75" s="8">
        <f>_xlfn.XLOOKUP($A75,'RAWDATA Cars Buyers DB'!$A:$A,'RAWDATA Cars Buyers DB'!E:E)</f>
        <v>2</v>
      </c>
      <c r="F75" s="8" t="str">
        <f>_xlfn.XLOOKUP($A75,'RAWDATA Cars Buyers DB'!$A:$A,'RAWDATA Cars Buyers DB'!F:F)</f>
        <v>Graduate Degree</v>
      </c>
      <c r="G75" s="8" t="str">
        <f>_xlfn.XLOOKUP($A75,'RAWDATA Cars Buyers DB'!$A:$A,'RAWDATA Cars Buyers DB'!G:G)</f>
        <v>Management</v>
      </c>
      <c r="H75" s="8" t="str">
        <f>_xlfn.XLOOKUP($A75,'RAWDATA Cars Buyers DB'!$A:$A,'RAWDATA Cars Buyers DB'!H:H)</f>
        <v>Yes</v>
      </c>
      <c r="I75" s="8" t="str">
        <f>_xlfn.XLOOKUP($A75,'RAWDATA Cars Buyers DB'!$A:$A,'RAWDATA Cars Buyers DB'!I:I)</f>
        <v>1–2 Kilometre</v>
      </c>
      <c r="J75" s="8" t="str">
        <f>_xlfn.XLOOKUP($A75,'RAWDATA Cars Buyers DB'!$A:$A,'RAWDATA Cars Buyers DB'!J:J)</f>
        <v>Baden-Württemberg</v>
      </c>
      <c r="K75" s="8">
        <f>_xlfn.XLOOKUP($A75,'RAWDATA Cars Buyers DB'!$A:$A,'RAWDATA Cars Buyers DB'!K:K)</f>
        <v>61</v>
      </c>
      <c r="L75" s="10" t="str">
        <f>IF(_xlfn.XLOOKUP($A75,'RAWDATA Cars Buyers DB'!$A:$A,'RAWDATA Cars Buyers DB'!K:K)&gt;54,"Old ",IF(_xlfn.XLOOKUP($A75,'RAWDATA Cars Buyers DB'!$A:$A,'RAWDATA Cars Buyers DB'!K:K)&gt;=31,"Middle Age ",IF(_xlfn.XLOOKUP($A75,'RAWDATA Cars Buyers DB'!$A:$A,'RAWDATA Cars Buyers DB'!K:K)&lt;31,"Adolescent","Invalid")))</f>
        <v xml:space="preserve">Old </v>
      </c>
      <c r="M75" s="8" t="str">
        <f>_xlfn.XLOOKUP($A75,'RAWDATA Cars Buyers DB'!$A:$A,'RAWDATA Cars Buyers DB'!L:L)</f>
        <v>Yes</v>
      </c>
    </row>
    <row r="76" spans="1:13">
      <c r="A76" s="6">
        <v>99789</v>
      </c>
      <c r="B76" s="10" t="str">
        <f>IF(_xlfn.XLOOKUP($A76,'RAWDATA Cars Buyers DB'!$A:$A,'RAWDATA Cars Buyers DB'!B:B)="S","Single","Married")</f>
        <v>Married</v>
      </c>
      <c r="C76" s="10" t="str">
        <f>IF(_xlfn.XLOOKUP($A76,'RAWDATA Cars Buyers DB'!$A:$A,'RAWDATA Cars Buyers DB'!C:C)="F","Female","Male")</f>
        <v>Female</v>
      </c>
      <c r="D76" s="7">
        <f>_xlfn.XLOOKUP($A76,'RAWDATA Cars Buyers DB'!$A:$A,'RAWDATA Cars Buyers DB'!D:D)</f>
        <v>72893</v>
      </c>
      <c r="E76" s="8">
        <f>_xlfn.XLOOKUP($A76,'RAWDATA Cars Buyers DB'!$A:$A,'RAWDATA Cars Buyers DB'!E:E)</f>
        <v>2</v>
      </c>
      <c r="F76" s="8" t="str">
        <f>_xlfn.XLOOKUP($A76,'RAWDATA Cars Buyers DB'!$A:$A,'RAWDATA Cars Buyers DB'!F:F)</f>
        <v>High School</v>
      </c>
      <c r="G76" s="8" t="str">
        <f>_xlfn.XLOOKUP($A76,'RAWDATA Cars Buyers DB'!$A:$A,'RAWDATA Cars Buyers DB'!G:G)</f>
        <v>Clerical</v>
      </c>
      <c r="H76" s="8" t="str">
        <f>_xlfn.XLOOKUP($A76,'RAWDATA Cars Buyers DB'!$A:$A,'RAWDATA Cars Buyers DB'!H:H)</f>
        <v>No</v>
      </c>
      <c r="I76" s="8" t="str">
        <f>_xlfn.XLOOKUP($A76,'RAWDATA Cars Buyers DB'!$A:$A,'RAWDATA Cars Buyers DB'!I:I)</f>
        <v>4–6 Kilometre</v>
      </c>
      <c r="J76" s="8" t="str">
        <f>_xlfn.XLOOKUP($A76,'RAWDATA Cars Buyers DB'!$A:$A,'RAWDATA Cars Buyers DB'!J:J)</f>
        <v>Thuringia</v>
      </c>
      <c r="K76" s="8">
        <f>_xlfn.XLOOKUP($A76,'RAWDATA Cars Buyers DB'!$A:$A,'RAWDATA Cars Buyers DB'!K:K)</f>
        <v>23</v>
      </c>
      <c r="L76" s="10" t="str">
        <f>IF(_xlfn.XLOOKUP($A76,'RAWDATA Cars Buyers DB'!$A:$A,'RAWDATA Cars Buyers DB'!K:K)&gt;54,"Old ",IF(_xlfn.XLOOKUP($A76,'RAWDATA Cars Buyers DB'!$A:$A,'RAWDATA Cars Buyers DB'!K:K)&gt;=31,"Middle Age ",IF(_xlfn.XLOOKUP($A76,'RAWDATA Cars Buyers DB'!$A:$A,'RAWDATA Cars Buyers DB'!K:K)&lt;31,"Adolescent","Invalid")))</f>
        <v>Adolescent</v>
      </c>
      <c r="M76" s="8" t="str">
        <f>_xlfn.XLOOKUP($A76,'RAWDATA Cars Buyers DB'!$A:$A,'RAWDATA Cars Buyers DB'!L:L)</f>
        <v>No</v>
      </c>
    </row>
    <row r="77" spans="1:13">
      <c r="A77" s="6">
        <v>65591</v>
      </c>
      <c r="B77" s="10" t="str">
        <f>IF(_xlfn.XLOOKUP($A77,'RAWDATA Cars Buyers DB'!$A:$A,'RAWDATA Cars Buyers DB'!B:B)="S","Single","Married")</f>
        <v>Single</v>
      </c>
      <c r="C77" s="10" t="str">
        <f>IF(_xlfn.XLOOKUP($A77,'RAWDATA Cars Buyers DB'!$A:$A,'RAWDATA Cars Buyers DB'!C:C)="F","Female","Male")</f>
        <v>Male</v>
      </c>
      <c r="D77" s="7">
        <f>_xlfn.XLOOKUP($A77,'RAWDATA Cars Buyers DB'!$A:$A,'RAWDATA Cars Buyers DB'!D:D)</f>
        <v>55820</v>
      </c>
      <c r="E77" s="8">
        <f>_xlfn.XLOOKUP($A77,'RAWDATA Cars Buyers DB'!$A:$A,'RAWDATA Cars Buyers DB'!E:E)</f>
        <v>1</v>
      </c>
      <c r="F77" s="8" t="str">
        <f>_xlfn.XLOOKUP($A77,'RAWDATA Cars Buyers DB'!$A:$A,'RAWDATA Cars Buyers DB'!F:F)</f>
        <v>Bachelors</v>
      </c>
      <c r="G77" s="8" t="str">
        <f>_xlfn.XLOOKUP($A77,'RAWDATA Cars Buyers DB'!$A:$A,'RAWDATA Cars Buyers DB'!G:G)</f>
        <v>Professional</v>
      </c>
      <c r="H77" s="8" t="str">
        <f>_xlfn.XLOOKUP($A77,'RAWDATA Cars Buyers DB'!$A:$A,'RAWDATA Cars Buyers DB'!H:H)</f>
        <v>No</v>
      </c>
      <c r="I77" s="8" t="str">
        <f>_xlfn.XLOOKUP($A77,'RAWDATA Cars Buyers DB'!$A:$A,'RAWDATA Cars Buyers DB'!I:I)</f>
        <v>2–4 Kilometre</v>
      </c>
      <c r="J77" s="8" t="str">
        <f>_xlfn.XLOOKUP($A77,'RAWDATA Cars Buyers DB'!$A:$A,'RAWDATA Cars Buyers DB'!J:J)</f>
        <v>Baden-Württemberg</v>
      </c>
      <c r="K77" s="8">
        <f>_xlfn.XLOOKUP($A77,'RAWDATA Cars Buyers DB'!$A:$A,'RAWDATA Cars Buyers DB'!K:K)</f>
        <v>68</v>
      </c>
      <c r="L77" s="10" t="str">
        <f>IF(_xlfn.XLOOKUP($A77,'RAWDATA Cars Buyers DB'!$A:$A,'RAWDATA Cars Buyers DB'!K:K)&gt;54,"Old ",IF(_xlfn.XLOOKUP($A77,'RAWDATA Cars Buyers DB'!$A:$A,'RAWDATA Cars Buyers DB'!K:K)&gt;=31,"Middle Age ",IF(_xlfn.XLOOKUP($A77,'RAWDATA Cars Buyers DB'!$A:$A,'RAWDATA Cars Buyers DB'!K:K)&lt;31,"Adolescent","Invalid")))</f>
        <v xml:space="preserve">Old </v>
      </c>
      <c r="M77" s="8" t="str">
        <f>_xlfn.XLOOKUP($A77,'RAWDATA Cars Buyers DB'!$A:$A,'RAWDATA Cars Buyers DB'!L:L)</f>
        <v>Yes</v>
      </c>
    </row>
    <row r="78" spans="1:13">
      <c r="A78" s="6">
        <v>99812</v>
      </c>
      <c r="B78" s="10" t="str">
        <f>IF(_xlfn.XLOOKUP($A78,'RAWDATA Cars Buyers DB'!$A:$A,'RAWDATA Cars Buyers DB'!B:B)="S","Single","Married")</f>
        <v>Single</v>
      </c>
      <c r="C78" s="10" t="str">
        <f>IF(_xlfn.XLOOKUP($A78,'RAWDATA Cars Buyers DB'!$A:$A,'RAWDATA Cars Buyers DB'!C:C)="F","Female","Male")</f>
        <v>Male</v>
      </c>
      <c r="D78" s="7">
        <f>_xlfn.XLOOKUP($A78,'RAWDATA Cars Buyers DB'!$A:$A,'RAWDATA Cars Buyers DB'!D:D)</f>
        <v>86262</v>
      </c>
      <c r="E78" s="8">
        <f>_xlfn.XLOOKUP($A78,'RAWDATA Cars Buyers DB'!$A:$A,'RAWDATA Cars Buyers DB'!E:E)</f>
        <v>0</v>
      </c>
      <c r="F78" s="8" t="str">
        <f>_xlfn.XLOOKUP($A78,'RAWDATA Cars Buyers DB'!$A:$A,'RAWDATA Cars Buyers DB'!F:F)</f>
        <v>Graduate Degree</v>
      </c>
      <c r="G78" s="8" t="str">
        <f>_xlfn.XLOOKUP($A78,'RAWDATA Cars Buyers DB'!$A:$A,'RAWDATA Cars Buyers DB'!G:G)</f>
        <v>Management</v>
      </c>
      <c r="H78" s="8" t="str">
        <f>_xlfn.XLOOKUP($A78,'RAWDATA Cars Buyers DB'!$A:$A,'RAWDATA Cars Buyers DB'!H:H)</f>
        <v>Yes</v>
      </c>
      <c r="I78" s="8" t="str">
        <f>_xlfn.XLOOKUP($A78,'RAWDATA Cars Buyers DB'!$A:$A,'RAWDATA Cars Buyers DB'!I:I)</f>
        <v>0–1 Kilometre</v>
      </c>
      <c r="J78" s="8" t="str">
        <f>_xlfn.XLOOKUP($A78,'RAWDATA Cars Buyers DB'!$A:$A,'RAWDATA Cars Buyers DB'!J:J)</f>
        <v>Hamburg</v>
      </c>
      <c r="K78" s="8">
        <f>_xlfn.XLOOKUP($A78,'RAWDATA Cars Buyers DB'!$A:$A,'RAWDATA Cars Buyers DB'!K:K)</f>
        <v>65</v>
      </c>
      <c r="L78" s="10" t="str">
        <f>IF(_xlfn.XLOOKUP($A78,'RAWDATA Cars Buyers DB'!$A:$A,'RAWDATA Cars Buyers DB'!K:K)&gt;54,"Old ",IF(_xlfn.XLOOKUP($A78,'RAWDATA Cars Buyers DB'!$A:$A,'RAWDATA Cars Buyers DB'!K:K)&gt;=31,"Middle Age ",IF(_xlfn.XLOOKUP($A78,'RAWDATA Cars Buyers DB'!$A:$A,'RAWDATA Cars Buyers DB'!K:K)&lt;31,"Adolescent","Invalid")))</f>
        <v xml:space="preserve">Old </v>
      </c>
      <c r="M78" s="8" t="str">
        <f>_xlfn.XLOOKUP($A78,'RAWDATA Cars Buyers DB'!$A:$A,'RAWDATA Cars Buyers DB'!L:L)</f>
        <v>No</v>
      </c>
    </row>
    <row r="79" spans="1:13">
      <c r="A79" s="6">
        <v>33247</v>
      </c>
      <c r="B79" s="10" t="str">
        <f>IF(_xlfn.XLOOKUP($A79,'RAWDATA Cars Buyers DB'!$A:$A,'RAWDATA Cars Buyers DB'!B:B)="S","Single","Married")</f>
        <v>Married</v>
      </c>
      <c r="C79" s="10" t="str">
        <f>IF(_xlfn.XLOOKUP($A79,'RAWDATA Cars Buyers DB'!$A:$A,'RAWDATA Cars Buyers DB'!C:C)="F","Female","Male")</f>
        <v>Female</v>
      </c>
      <c r="D79" s="7">
        <f>_xlfn.XLOOKUP($A79,'RAWDATA Cars Buyers DB'!$A:$A,'RAWDATA Cars Buyers DB'!D:D)</f>
        <v>23760</v>
      </c>
      <c r="E79" s="8">
        <f>_xlfn.XLOOKUP($A79,'RAWDATA Cars Buyers DB'!$A:$A,'RAWDATA Cars Buyers DB'!E:E)</f>
        <v>3</v>
      </c>
      <c r="F79" s="8" t="str">
        <f>_xlfn.XLOOKUP($A79,'RAWDATA Cars Buyers DB'!$A:$A,'RAWDATA Cars Buyers DB'!F:F)</f>
        <v>Partial College</v>
      </c>
      <c r="G79" s="8" t="str">
        <f>_xlfn.XLOOKUP($A79,'RAWDATA Cars Buyers DB'!$A:$A,'RAWDATA Cars Buyers DB'!G:G)</f>
        <v>Professional</v>
      </c>
      <c r="H79" s="8" t="str">
        <f>_xlfn.XLOOKUP($A79,'RAWDATA Cars Buyers DB'!$A:$A,'RAWDATA Cars Buyers DB'!H:H)</f>
        <v>No</v>
      </c>
      <c r="I79" s="8" t="str">
        <f>_xlfn.XLOOKUP($A79,'RAWDATA Cars Buyers DB'!$A:$A,'RAWDATA Cars Buyers DB'!I:I)</f>
        <v>2–4 Kilometre</v>
      </c>
      <c r="J79" s="8" t="str">
        <f>_xlfn.XLOOKUP($A79,'RAWDATA Cars Buyers DB'!$A:$A,'RAWDATA Cars Buyers DB'!J:J)</f>
        <v>Brandenburg</v>
      </c>
      <c r="K79" s="8">
        <f>_xlfn.XLOOKUP($A79,'RAWDATA Cars Buyers DB'!$A:$A,'RAWDATA Cars Buyers DB'!K:K)</f>
        <v>37</v>
      </c>
      <c r="L79" s="10" t="str">
        <f>IF(_xlfn.XLOOKUP($A79,'RAWDATA Cars Buyers DB'!$A:$A,'RAWDATA Cars Buyers DB'!K:K)&gt;54,"Old ",IF(_xlfn.XLOOKUP($A79,'RAWDATA Cars Buyers DB'!$A:$A,'RAWDATA Cars Buyers DB'!K:K)&gt;=31,"Middle Age ",IF(_xlfn.XLOOKUP($A79,'RAWDATA Cars Buyers DB'!$A:$A,'RAWDATA Cars Buyers DB'!K:K)&lt;31,"Adolescent","Invalid")))</f>
        <v xml:space="preserve">Middle Age </v>
      </c>
      <c r="M79" s="8" t="str">
        <f>_xlfn.XLOOKUP($A79,'RAWDATA Cars Buyers DB'!$A:$A,'RAWDATA Cars Buyers DB'!L:L)</f>
        <v>No</v>
      </c>
    </row>
    <row r="80" spans="1:13">
      <c r="A80" s="6">
        <v>34300</v>
      </c>
      <c r="B80" s="10" t="str">
        <f>IF(_xlfn.XLOOKUP($A80,'RAWDATA Cars Buyers DB'!$A:$A,'RAWDATA Cars Buyers DB'!B:B)="S","Single","Married")</f>
        <v>Married</v>
      </c>
      <c r="C80" s="10" t="str">
        <f>IF(_xlfn.XLOOKUP($A80,'RAWDATA Cars Buyers DB'!$A:$A,'RAWDATA Cars Buyers DB'!C:C)="F","Female","Male")</f>
        <v>Female</v>
      </c>
      <c r="D80" s="7">
        <f>_xlfn.XLOOKUP($A80,'RAWDATA Cars Buyers DB'!$A:$A,'RAWDATA Cars Buyers DB'!D:D)</f>
        <v>42190</v>
      </c>
      <c r="E80" s="8">
        <f>_xlfn.XLOOKUP($A80,'RAWDATA Cars Buyers DB'!$A:$A,'RAWDATA Cars Buyers DB'!E:E)</f>
        <v>3</v>
      </c>
      <c r="F80" s="8" t="str">
        <f>_xlfn.XLOOKUP($A80,'RAWDATA Cars Buyers DB'!$A:$A,'RAWDATA Cars Buyers DB'!F:F)</f>
        <v>Partial College</v>
      </c>
      <c r="G80" s="8" t="str">
        <f>_xlfn.XLOOKUP($A80,'RAWDATA Cars Buyers DB'!$A:$A,'RAWDATA Cars Buyers DB'!G:G)</f>
        <v>Skilled Manual</v>
      </c>
      <c r="H80" s="8" t="str">
        <f>_xlfn.XLOOKUP($A80,'RAWDATA Cars Buyers DB'!$A:$A,'RAWDATA Cars Buyers DB'!H:H)</f>
        <v>Yes</v>
      </c>
      <c r="I80" s="8" t="str">
        <f>_xlfn.XLOOKUP($A80,'RAWDATA Cars Buyers DB'!$A:$A,'RAWDATA Cars Buyers DB'!I:I)</f>
        <v>1–2 Kilometre</v>
      </c>
      <c r="J80" s="8" t="str">
        <f>_xlfn.XLOOKUP($A80,'RAWDATA Cars Buyers DB'!$A:$A,'RAWDATA Cars Buyers DB'!J:J)</f>
        <v>Mecklenburg-Vorpommern</v>
      </c>
      <c r="K80" s="8">
        <f>_xlfn.XLOOKUP($A80,'RAWDATA Cars Buyers DB'!$A:$A,'RAWDATA Cars Buyers DB'!K:K)</f>
        <v>62</v>
      </c>
      <c r="L80" s="10" t="str">
        <f>IF(_xlfn.XLOOKUP($A80,'RAWDATA Cars Buyers DB'!$A:$A,'RAWDATA Cars Buyers DB'!K:K)&gt;54,"Old ",IF(_xlfn.XLOOKUP($A80,'RAWDATA Cars Buyers DB'!$A:$A,'RAWDATA Cars Buyers DB'!K:K)&gt;=31,"Middle Age ",IF(_xlfn.XLOOKUP($A80,'RAWDATA Cars Buyers DB'!$A:$A,'RAWDATA Cars Buyers DB'!K:K)&lt;31,"Adolescent","Invalid")))</f>
        <v xml:space="preserve">Old </v>
      </c>
      <c r="M80" s="8" t="str">
        <f>_xlfn.XLOOKUP($A80,'RAWDATA Cars Buyers DB'!$A:$A,'RAWDATA Cars Buyers DB'!L:L)</f>
        <v>No</v>
      </c>
    </row>
    <row r="81" spans="1:13">
      <c r="A81" s="6">
        <v>84065</v>
      </c>
      <c r="B81" s="10" t="str">
        <f>IF(_xlfn.XLOOKUP($A81,'RAWDATA Cars Buyers DB'!$A:$A,'RAWDATA Cars Buyers DB'!B:B)="S","Single","Married")</f>
        <v>Single</v>
      </c>
      <c r="C81" s="10" t="str">
        <f>IF(_xlfn.XLOOKUP($A81,'RAWDATA Cars Buyers DB'!$A:$A,'RAWDATA Cars Buyers DB'!C:C)="F","Female","Male")</f>
        <v>Female</v>
      </c>
      <c r="D81" s="7">
        <f>_xlfn.XLOOKUP($A81,'RAWDATA Cars Buyers DB'!$A:$A,'RAWDATA Cars Buyers DB'!D:D)</f>
        <v>87411</v>
      </c>
      <c r="E81" s="8">
        <f>_xlfn.XLOOKUP($A81,'RAWDATA Cars Buyers DB'!$A:$A,'RAWDATA Cars Buyers DB'!E:E)</f>
        <v>3</v>
      </c>
      <c r="F81" s="8" t="str">
        <f>_xlfn.XLOOKUP($A81,'RAWDATA Cars Buyers DB'!$A:$A,'RAWDATA Cars Buyers DB'!F:F)</f>
        <v>Bachelors</v>
      </c>
      <c r="G81" s="8" t="str">
        <f>_xlfn.XLOOKUP($A81,'RAWDATA Cars Buyers DB'!$A:$A,'RAWDATA Cars Buyers DB'!G:G)</f>
        <v>Professional</v>
      </c>
      <c r="H81" s="8" t="str">
        <f>_xlfn.XLOOKUP($A81,'RAWDATA Cars Buyers DB'!$A:$A,'RAWDATA Cars Buyers DB'!H:H)</f>
        <v>Yes</v>
      </c>
      <c r="I81" s="8" t="str">
        <f>_xlfn.XLOOKUP($A81,'RAWDATA Cars Buyers DB'!$A:$A,'RAWDATA Cars Buyers DB'!I:I)</f>
        <v>1–2 Kilometre</v>
      </c>
      <c r="J81" s="8" t="str">
        <f>_xlfn.XLOOKUP($A81,'RAWDATA Cars Buyers DB'!$A:$A,'RAWDATA Cars Buyers DB'!J:J)</f>
        <v>Saxony</v>
      </c>
      <c r="K81" s="8">
        <f>_xlfn.XLOOKUP($A81,'RAWDATA Cars Buyers DB'!$A:$A,'RAWDATA Cars Buyers DB'!K:K)</f>
        <v>35</v>
      </c>
      <c r="L81" s="10" t="str">
        <f>IF(_xlfn.XLOOKUP($A81,'RAWDATA Cars Buyers DB'!$A:$A,'RAWDATA Cars Buyers DB'!K:K)&gt;54,"Old ",IF(_xlfn.XLOOKUP($A81,'RAWDATA Cars Buyers DB'!$A:$A,'RAWDATA Cars Buyers DB'!K:K)&gt;=31,"Middle Age ",IF(_xlfn.XLOOKUP($A81,'RAWDATA Cars Buyers DB'!$A:$A,'RAWDATA Cars Buyers DB'!K:K)&lt;31,"Adolescent","Invalid")))</f>
        <v xml:space="preserve">Middle Age </v>
      </c>
      <c r="M81" s="8" t="str">
        <f>_xlfn.XLOOKUP($A81,'RAWDATA Cars Buyers DB'!$A:$A,'RAWDATA Cars Buyers DB'!L:L)</f>
        <v>Yes</v>
      </c>
    </row>
    <row r="82" spans="1:13">
      <c r="A82" s="6">
        <v>92798</v>
      </c>
      <c r="B82" s="10" t="str">
        <f>IF(_xlfn.XLOOKUP($A82,'RAWDATA Cars Buyers DB'!$A:$A,'RAWDATA Cars Buyers DB'!B:B)="S","Single","Married")</f>
        <v>Single</v>
      </c>
      <c r="C82" s="10" t="str">
        <f>IF(_xlfn.XLOOKUP($A82,'RAWDATA Cars Buyers DB'!$A:$A,'RAWDATA Cars Buyers DB'!C:C)="F","Female","Male")</f>
        <v>Female</v>
      </c>
      <c r="D82" s="7">
        <f>_xlfn.XLOOKUP($A82,'RAWDATA Cars Buyers DB'!$A:$A,'RAWDATA Cars Buyers DB'!D:D)</f>
        <v>43377</v>
      </c>
      <c r="E82" s="8">
        <f>_xlfn.XLOOKUP($A82,'RAWDATA Cars Buyers DB'!$A:$A,'RAWDATA Cars Buyers DB'!E:E)</f>
        <v>1</v>
      </c>
      <c r="F82" s="8" t="str">
        <f>_xlfn.XLOOKUP($A82,'RAWDATA Cars Buyers DB'!$A:$A,'RAWDATA Cars Buyers DB'!F:F)</f>
        <v>Bachelors</v>
      </c>
      <c r="G82" s="8" t="str">
        <f>_xlfn.XLOOKUP($A82,'RAWDATA Cars Buyers DB'!$A:$A,'RAWDATA Cars Buyers DB'!G:G)</f>
        <v>Skilled Manual</v>
      </c>
      <c r="H82" s="8" t="str">
        <f>_xlfn.XLOOKUP($A82,'RAWDATA Cars Buyers DB'!$A:$A,'RAWDATA Cars Buyers DB'!H:H)</f>
        <v>Yes</v>
      </c>
      <c r="I82" s="8" t="str">
        <f>_xlfn.XLOOKUP($A82,'RAWDATA Cars Buyers DB'!$A:$A,'RAWDATA Cars Buyers DB'!I:I)</f>
        <v>2–4 Kilometre</v>
      </c>
      <c r="J82" s="8" t="str">
        <f>_xlfn.XLOOKUP($A82,'RAWDATA Cars Buyers DB'!$A:$A,'RAWDATA Cars Buyers DB'!J:J)</f>
        <v>Bavaria</v>
      </c>
      <c r="K82" s="8">
        <f>_xlfn.XLOOKUP($A82,'RAWDATA Cars Buyers DB'!$A:$A,'RAWDATA Cars Buyers DB'!K:K)</f>
        <v>52</v>
      </c>
      <c r="L82" s="10" t="str">
        <f>IF(_xlfn.XLOOKUP($A82,'RAWDATA Cars Buyers DB'!$A:$A,'RAWDATA Cars Buyers DB'!K:K)&gt;54,"Old ",IF(_xlfn.XLOOKUP($A82,'RAWDATA Cars Buyers DB'!$A:$A,'RAWDATA Cars Buyers DB'!K:K)&gt;=31,"Middle Age ",IF(_xlfn.XLOOKUP($A82,'RAWDATA Cars Buyers DB'!$A:$A,'RAWDATA Cars Buyers DB'!K:K)&lt;31,"Adolescent","Invalid")))</f>
        <v xml:space="preserve">Middle Age </v>
      </c>
      <c r="M82" s="8" t="str">
        <f>_xlfn.XLOOKUP($A82,'RAWDATA Cars Buyers DB'!$A:$A,'RAWDATA Cars Buyers DB'!L:L)</f>
        <v>No</v>
      </c>
    </row>
    <row r="83" spans="1:13">
      <c r="A83" s="6">
        <v>19268</v>
      </c>
      <c r="B83" s="10" t="str">
        <f>IF(_xlfn.XLOOKUP($A83,'RAWDATA Cars Buyers DB'!$A:$A,'RAWDATA Cars Buyers DB'!B:B)="S","Single","Married")</f>
        <v>Married</v>
      </c>
      <c r="C83" s="10" t="str">
        <f>IF(_xlfn.XLOOKUP($A83,'RAWDATA Cars Buyers DB'!$A:$A,'RAWDATA Cars Buyers DB'!C:C)="F","Female","Male")</f>
        <v>Female</v>
      </c>
      <c r="D83" s="7">
        <f>_xlfn.XLOOKUP($A83,'RAWDATA Cars Buyers DB'!$A:$A,'RAWDATA Cars Buyers DB'!D:D)</f>
        <v>66737</v>
      </c>
      <c r="E83" s="8">
        <f>_xlfn.XLOOKUP($A83,'RAWDATA Cars Buyers DB'!$A:$A,'RAWDATA Cars Buyers DB'!E:E)</f>
        <v>5</v>
      </c>
      <c r="F83" s="8" t="str">
        <f>_xlfn.XLOOKUP($A83,'RAWDATA Cars Buyers DB'!$A:$A,'RAWDATA Cars Buyers DB'!F:F)</f>
        <v>Bachelors</v>
      </c>
      <c r="G83" s="8" t="str">
        <f>_xlfn.XLOOKUP($A83,'RAWDATA Cars Buyers DB'!$A:$A,'RAWDATA Cars Buyers DB'!G:G)</f>
        <v>Professional</v>
      </c>
      <c r="H83" s="8" t="str">
        <f>_xlfn.XLOOKUP($A83,'RAWDATA Cars Buyers DB'!$A:$A,'RAWDATA Cars Buyers DB'!H:H)</f>
        <v>No</v>
      </c>
      <c r="I83" s="8" t="str">
        <f>_xlfn.XLOOKUP($A83,'RAWDATA Cars Buyers DB'!$A:$A,'RAWDATA Cars Buyers DB'!I:I)</f>
        <v>4–6 Kilometre</v>
      </c>
      <c r="J83" s="8" t="str">
        <f>_xlfn.XLOOKUP($A83,'RAWDATA Cars Buyers DB'!$A:$A,'RAWDATA Cars Buyers DB'!J:J)</f>
        <v>North Rhine-Westphalia</v>
      </c>
      <c r="K83" s="8">
        <f>_xlfn.XLOOKUP($A83,'RAWDATA Cars Buyers DB'!$A:$A,'RAWDATA Cars Buyers DB'!K:K)</f>
        <v>48</v>
      </c>
      <c r="L83" s="10" t="str">
        <f>IF(_xlfn.XLOOKUP($A83,'RAWDATA Cars Buyers DB'!$A:$A,'RAWDATA Cars Buyers DB'!K:K)&gt;54,"Old ",IF(_xlfn.XLOOKUP($A83,'RAWDATA Cars Buyers DB'!$A:$A,'RAWDATA Cars Buyers DB'!K:K)&gt;=31,"Middle Age ",IF(_xlfn.XLOOKUP($A83,'RAWDATA Cars Buyers DB'!$A:$A,'RAWDATA Cars Buyers DB'!K:K)&lt;31,"Adolescent","Invalid")))</f>
        <v xml:space="preserve">Middle Age </v>
      </c>
      <c r="M83" s="8" t="str">
        <f>_xlfn.XLOOKUP($A83,'RAWDATA Cars Buyers DB'!$A:$A,'RAWDATA Cars Buyers DB'!L:L)</f>
        <v>No</v>
      </c>
    </row>
    <row r="84" spans="1:13">
      <c r="A84" s="6">
        <v>96807</v>
      </c>
      <c r="B84" s="10" t="str">
        <f>IF(_xlfn.XLOOKUP($A84,'RAWDATA Cars Buyers DB'!$A:$A,'RAWDATA Cars Buyers DB'!B:B)="S","Single","Married")</f>
        <v>Married</v>
      </c>
      <c r="C84" s="10" t="str">
        <f>IF(_xlfn.XLOOKUP($A84,'RAWDATA Cars Buyers DB'!$A:$A,'RAWDATA Cars Buyers DB'!C:C)="F","Female","Male")</f>
        <v>Female</v>
      </c>
      <c r="D84" s="7">
        <f>_xlfn.XLOOKUP($A84,'RAWDATA Cars Buyers DB'!$A:$A,'RAWDATA Cars Buyers DB'!D:D)</f>
        <v>89569</v>
      </c>
      <c r="E84" s="8">
        <f>_xlfn.XLOOKUP($A84,'RAWDATA Cars Buyers DB'!$A:$A,'RAWDATA Cars Buyers DB'!E:E)</f>
        <v>2</v>
      </c>
      <c r="F84" s="8" t="str">
        <f>_xlfn.XLOOKUP($A84,'RAWDATA Cars Buyers DB'!$A:$A,'RAWDATA Cars Buyers DB'!F:F)</f>
        <v>Bachelors</v>
      </c>
      <c r="G84" s="8" t="str">
        <f>_xlfn.XLOOKUP($A84,'RAWDATA Cars Buyers DB'!$A:$A,'RAWDATA Cars Buyers DB'!G:G)</f>
        <v>Clerical</v>
      </c>
      <c r="H84" s="8" t="str">
        <f>_xlfn.XLOOKUP($A84,'RAWDATA Cars Buyers DB'!$A:$A,'RAWDATA Cars Buyers DB'!H:H)</f>
        <v>Yes</v>
      </c>
      <c r="I84" s="8" t="str">
        <f>_xlfn.XLOOKUP($A84,'RAWDATA Cars Buyers DB'!$A:$A,'RAWDATA Cars Buyers DB'!I:I)</f>
        <v>1–2 Kilometre</v>
      </c>
      <c r="J84" s="8" t="str">
        <f>_xlfn.XLOOKUP($A84,'RAWDATA Cars Buyers DB'!$A:$A,'RAWDATA Cars Buyers DB'!J:J)</f>
        <v>Baden-Württemberg</v>
      </c>
      <c r="K84" s="8">
        <f>_xlfn.XLOOKUP($A84,'RAWDATA Cars Buyers DB'!$A:$A,'RAWDATA Cars Buyers DB'!K:K)</f>
        <v>58</v>
      </c>
      <c r="L84" s="10" t="str">
        <f>IF(_xlfn.XLOOKUP($A84,'RAWDATA Cars Buyers DB'!$A:$A,'RAWDATA Cars Buyers DB'!K:K)&gt;54,"Old ",IF(_xlfn.XLOOKUP($A84,'RAWDATA Cars Buyers DB'!$A:$A,'RAWDATA Cars Buyers DB'!K:K)&gt;=31,"Middle Age ",IF(_xlfn.XLOOKUP($A84,'RAWDATA Cars Buyers DB'!$A:$A,'RAWDATA Cars Buyers DB'!K:K)&lt;31,"Adolescent","Invalid")))</f>
        <v xml:space="preserve">Old </v>
      </c>
      <c r="M84" s="8" t="str">
        <f>_xlfn.XLOOKUP($A84,'RAWDATA Cars Buyers DB'!$A:$A,'RAWDATA Cars Buyers DB'!L:L)</f>
        <v>No</v>
      </c>
    </row>
    <row r="85" spans="1:13">
      <c r="A85" s="6">
        <v>22185</v>
      </c>
      <c r="B85" s="10" t="str">
        <f>IF(_xlfn.XLOOKUP($A85,'RAWDATA Cars Buyers DB'!$A:$A,'RAWDATA Cars Buyers DB'!B:B)="S","Single","Married")</f>
        <v>Single</v>
      </c>
      <c r="C85" s="10" t="str">
        <f>IF(_xlfn.XLOOKUP($A85,'RAWDATA Cars Buyers DB'!$A:$A,'RAWDATA Cars Buyers DB'!C:C)="F","Female","Male")</f>
        <v>Female</v>
      </c>
      <c r="D85" s="7">
        <f>_xlfn.XLOOKUP($A85,'RAWDATA Cars Buyers DB'!$A:$A,'RAWDATA Cars Buyers DB'!D:D)</f>
        <v>58211</v>
      </c>
      <c r="E85" s="8">
        <f>_xlfn.XLOOKUP($A85,'RAWDATA Cars Buyers DB'!$A:$A,'RAWDATA Cars Buyers DB'!E:E)</f>
        <v>0</v>
      </c>
      <c r="F85" s="8" t="str">
        <f>_xlfn.XLOOKUP($A85,'RAWDATA Cars Buyers DB'!$A:$A,'RAWDATA Cars Buyers DB'!F:F)</f>
        <v>Bachelors</v>
      </c>
      <c r="G85" s="8" t="str">
        <f>_xlfn.XLOOKUP($A85,'RAWDATA Cars Buyers DB'!$A:$A,'RAWDATA Cars Buyers DB'!G:G)</f>
        <v>Professional</v>
      </c>
      <c r="H85" s="8" t="str">
        <f>_xlfn.XLOOKUP($A85,'RAWDATA Cars Buyers DB'!$A:$A,'RAWDATA Cars Buyers DB'!H:H)</f>
        <v>Yes</v>
      </c>
      <c r="I85" s="8" t="str">
        <f>_xlfn.XLOOKUP($A85,'RAWDATA Cars Buyers DB'!$A:$A,'RAWDATA Cars Buyers DB'!I:I)</f>
        <v>2–4 Kilometre</v>
      </c>
      <c r="J85" s="8" t="str">
        <f>_xlfn.XLOOKUP($A85,'RAWDATA Cars Buyers DB'!$A:$A,'RAWDATA Cars Buyers DB'!J:J)</f>
        <v>Hesse</v>
      </c>
      <c r="K85" s="8">
        <f>_xlfn.XLOOKUP($A85,'RAWDATA Cars Buyers DB'!$A:$A,'RAWDATA Cars Buyers DB'!K:K)</f>
        <v>29</v>
      </c>
      <c r="L85" s="10" t="str">
        <f>IF(_xlfn.XLOOKUP($A85,'RAWDATA Cars Buyers DB'!$A:$A,'RAWDATA Cars Buyers DB'!K:K)&gt;54,"Old ",IF(_xlfn.XLOOKUP($A85,'RAWDATA Cars Buyers DB'!$A:$A,'RAWDATA Cars Buyers DB'!K:K)&gt;=31,"Middle Age ",IF(_xlfn.XLOOKUP($A85,'RAWDATA Cars Buyers DB'!$A:$A,'RAWDATA Cars Buyers DB'!K:K)&lt;31,"Adolescent","Invalid")))</f>
        <v>Adolescent</v>
      </c>
      <c r="M85" s="8" t="str">
        <f>_xlfn.XLOOKUP($A85,'RAWDATA Cars Buyers DB'!$A:$A,'RAWDATA Cars Buyers DB'!L:L)</f>
        <v>Yes</v>
      </c>
    </row>
    <row r="86" spans="1:13">
      <c r="A86" s="6">
        <v>73704</v>
      </c>
      <c r="B86" s="10" t="str">
        <f>IF(_xlfn.XLOOKUP($A86,'RAWDATA Cars Buyers DB'!$A:$A,'RAWDATA Cars Buyers DB'!B:B)="S","Single","Married")</f>
        <v>Single</v>
      </c>
      <c r="C86" s="10" t="str">
        <f>IF(_xlfn.XLOOKUP($A86,'RAWDATA Cars Buyers DB'!$A:$A,'RAWDATA Cars Buyers DB'!C:C)="F","Female","Male")</f>
        <v>Male</v>
      </c>
      <c r="D86" s="7">
        <f>_xlfn.XLOOKUP($A86,'RAWDATA Cars Buyers DB'!$A:$A,'RAWDATA Cars Buyers DB'!D:D)</f>
        <v>102909</v>
      </c>
      <c r="E86" s="8">
        <f>_xlfn.XLOOKUP($A86,'RAWDATA Cars Buyers DB'!$A:$A,'RAWDATA Cars Buyers DB'!E:E)</f>
        <v>4</v>
      </c>
      <c r="F86" s="8" t="str">
        <f>_xlfn.XLOOKUP($A86,'RAWDATA Cars Buyers DB'!$A:$A,'RAWDATA Cars Buyers DB'!F:F)</f>
        <v>High School</v>
      </c>
      <c r="G86" s="8" t="str">
        <f>_xlfn.XLOOKUP($A86,'RAWDATA Cars Buyers DB'!$A:$A,'RAWDATA Cars Buyers DB'!G:G)</f>
        <v>Clerical</v>
      </c>
      <c r="H86" s="8" t="str">
        <f>_xlfn.XLOOKUP($A86,'RAWDATA Cars Buyers DB'!$A:$A,'RAWDATA Cars Buyers DB'!H:H)</f>
        <v>No</v>
      </c>
      <c r="I86" s="8" t="str">
        <f>_xlfn.XLOOKUP($A86,'RAWDATA Cars Buyers DB'!$A:$A,'RAWDATA Cars Buyers DB'!I:I)</f>
        <v>0–1 Kilometre</v>
      </c>
      <c r="J86" s="8" t="str">
        <f>_xlfn.XLOOKUP($A86,'RAWDATA Cars Buyers DB'!$A:$A,'RAWDATA Cars Buyers DB'!J:J)</f>
        <v>Rhineland-Palatinate</v>
      </c>
      <c r="K86" s="8">
        <f>_xlfn.XLOOKUP($A86,'RAWDATA Cars Buyers DB'!$A:$A,'RAWDATA Cars Buyers DB'!K:K)</f>
        <v>28</v>
      </c>
      <c r="L86" s="10" t="str">
        <f>IF(_xlfn.XLOOKUP($A86,'RAWDATA Cars Buyers DB'!$A:$A,'RAWDATA Cars Buyers DB'!K:K)&gt;54,"Old ",IF(_xlfn.XLOOKUP($A86,'RAWDATA Cars Buyers DB'!$A:$A,'RAWDATA Cars Buyers DB'!K:K)&gt;=31,"Middle Age ",IF(_xlfn.XLOOKUP($A86,'RAWDATA Cars Buyers DB'!$A:$A,'RAWDATA Cars Buyers DB'!K:K)&lt;31,"Adolescent","Invalid")))</f>
        <v>Adolescent</v>
      </c>
      <c r="M86" s="8" t="str">
        <f>_xlfn.XLOOKUP($A86,'RAWDATA Cars Buyers DB'!$A:$A,'RAWDATA Cars Buyers DB'!L:L)</f>
        <v>Yes</v>
      </c>
    </row>
    <row r="87" spans="1:13">
      <c r="A87" s="6">
        <v>96779</v>
      </c>
      <c r="B87" s="10" t="str">
        <f>IF(_xlfn.XLOOKUP($A87,'RAWDATA Cars Buyers DB'!$A:$A,'RAWDATA Cars Buyers DB'!B:B)="S","Single","Married")</f>
        <v>Married</v>
      </c>
      <c r="C87" s="10" t="str">
        <f>IF(_xlfn.XLOOKUP($A87,'RAWDATA Cars Buyers DB'!$A:$A,'RAWDATA Cars Buyers DB'!C:C)="F","Female","Male")</f>
        <v>Female</v>
      </c>
      <c r="D87" s="7">
        <f>_xlfn.XLOOKUP($A87,'RAWDATA Cars Buyers DB'!$A:$A,'RAWDATA Cars Buyers DB'!D:D)</f>
        <v>23744</v>
      </c>
      <c r="E87" s="8">
        <f>_xlfn.XLOOKUP($A87,'RAWDATA Cars Buyers DB'!$A:$A,'RAWDATA Cars Buyers DB'!E:E)</f>
        <v>5</v>
      </c>
      <c r="F87" s="8" t="str">
        <f>_xlfn.XLOOKUP($A87,'RAWDATA Cars Buyers DB'!$A:$A,'RAWDATA Cars Buyers DB'!F:F)</f>
        <v>High School</v>
      </c>
      <c r="G87" s="8" t="str">
        <f>_xlfn.XLOOKUP($A87,'RAWDATA Cars Buyers DB'!$A:$A,'RAWDATA Cars Buyers DB'!G:G)</f>
        <v>Clerical</v>
      </c>
      <c r="H87" s="8" t="str">
        <f>_xlfn.XLOOKUP($A87,'RAWDATA Cars Buyers DB'!$A:$A,'RAWDATA Cars Buyers DB'!H:H)</f>
        <v>No</v>
      </c>
      <c r="I87" s="8" t="str">
        <f>_xlfn.XLOOKUP($A87,'RAWDATA Cars Buyers DB'!$A:$A,'RAWDATA Cars Buyers DB'!I:I)</f>
        <v>2–4 Kilometre</v>
      </c>
      <c r="J87" s="8" t="str">
        <f>_xlfn.XLOOKUP($A87,'RAWDATA Cars Buyers DB'!$A:$A,'RAWDATA Cars Buyers DB'!J:J)</f>
        <v>Rhineland-Palatinate</v>
      </c>
      <c r="K87" s="8">
        <f>_xlfn.XLOOKUP($A87,'RAWDATA Cars Buyers DB'!$A:$A,'RAWDATA Cars Buyers DB'!K:K)</f>
        <v>50</v>
      </c>
      <c r="L87" s="10" t="str">
        <f>IF(_xlfn.XLOOKUP($A87,'RAWDATA Cars Buyers DB'!$A:$A,'RAWDATA Cars Buyers DB'!K:K)&gt;54,"Old ",IF(_xlfn.XLOOKUP($A87,'RAWDATA Cars Buyers DB'!$A:$A,'RAWDATA Cars Buyers DB'!K:K)&gt;=31,"Middle Age ",IF(_xlfn.XLOOKUP($A87,'RAWDATA Cars Buyers DB'!$A:$A,'RAWDATA Cars Buyers DB'!K:K)&lt;31,"Adolescent","Invalid")))</f>
        <v xml:space="preserve">Middle Age </v>
      </c>
      <c r="M87" s="8" t="str">
        <f>_xlfn.XLOOKUP($A87,'RAWDATA Cars Buyers DB'!$A:$A,'RAWDATA Cars Buyers DB'!L:L)</f>
        <v>No</v>
      </c>
    </row>
    <row r="88" spans="1:13">
      <c r="A88" s="6">
        <v>49099</v>
      </c>
      <c r="B88" s="10" t="str">
        <f>IF(_xlfn.XLOOKUP($A88,'RAWDATA Cars Buyers DB'!$A:$A,'RAWDATA Cars Buyers DB'!B:B)="S","Single","Married")</f>
        <v>Single</v>
      </c>
      <c r="C88" s="10" t="str">
        <f>IF(_xlfn.XLOOKUP($A88,'RAWDATA Cars Buyers DB'!$A:$A,'RAWDATA Cars Buyers DB'!C:C)="F","Female","Male")</f>
        <v>Female</v>
      </c>
      <c r="D88" s="7">
        <f>_xlfn.XLOOKUP($A88,'RAWDATA Cars Buyers DB'!$A:$A,'RAWDATA Cars Buyers DB'!D:D)</f>
        <v>44995</v>
      </c>
      <c r="E88" s="8">
        <f>_xlfn.XLOOKUP($A88,'RAWDATA Cars Buyers DB'!$A:$A,'RAWDATA Cars Buyers DB'!E:E)</f>
        <v>2</v>
      </c>
      <c r="F88" s="8" t="str">
        <f>_xlfn.XLOOKUP($A88,'RAWDATA Cars Buyers DB'!$A:$A,'RAWDATA Cars Buyers DB'!F:F)</f>
        <v>Graduate Degree</v>
      </c>
      <c r="G88" s="8" t="str">
        <f>_xlfn.XLOOKUP($A88,'RAWDATA Cars Buyers DB'!$A:$A,'RAWDATA Cars Buyers DB'!G:G)</f>
        <v>Management</v>
      </c>
      <c r="H88" s="8" t="str">
        <f>_xlfn.XLOOKUP($A88,'RAWDATA Cars Buyers DB'!$A:$A,'RAWDATA Cars Buyers DB'!H:H)</f>
        <v>No</v>
      </c>
      <c r="I88" s="8" t="str">
        <f>_xlfn.XLOOKUP($A88,'RAWDATA Cars Buyers DB'!$A:$A,'RAWDATA Cars Buyers DB'!I:I)</f>
        <v>2–4 Kilometre</v>
      </c>
      <c r="J88" s="8" t="str">
        <f>_xlfn.XLOOKUP($A88,'RAWDATA Cars Buyers DB'!$A:$A,'RAWDATA Cars Buyers DB'!J:J)</f>
        <v>Rhineland-Palatinate</v>
      </c>
      <c r="K88" s="8">
        <f>_xlfn.XLOOKUP($A88,'RAWDATA Cars Buyers DB'!$A:$A,'RAWDATA Cars Buyers DB'!K:K)</f>
        <v>47</v>
      </c>
      <c r="L88" s="10" t="str">
        <f>IF(_xlfn.XLOOKUP($A88,'RAWDATA Cars Buyers DB'!$A:$A,'RAWDATA Cars Buyers DB'!K:K)&gt;54,"Old ",IF(_xlfn.XLOOKUP($A88,'RAWDATA Cars Buyers DB'!$A:$A,'RAWDATA Cars Buyers DB'!K:K)&gt;=31,"Middle Age ",IF(_xlfn.XLOOKUP($A88,'RAWDATA Cars Buyers DB'!$A:$A,'RAWDATA Cars Buyers DB'!K:K)&lt;31,"Adolescent","Invalid")))</f>
        <v xml:space="preserve">Middle Age </v>
      </c>
      <c r="M88" s="8" t="str">
        <f>_xlfn.XLOOKUP($A88,'RAWDATA Cars Buyers DB'!$A:$A,'RAWDATA Cars Buyers DB'!L:L)</f>
        <v>Yes</v>
      </c>
    </row>
    <row r="89" spans="1:13">
      <c r="A89" s="6">
        <v>48044</v>
      </c>
      <c r="B89" s="10" t="str">
        <f>IF(_xlfn.XLOOKUP($A89,'RAWDATA Cars Buyers DB'!$A:$A,'RAWDATA Cars Buyers DB'!B:B)="S","Single","Married")</f>
        <v>Single</v>
      </c>
      <c r="C89" s="10" t="str">
        <f>IF(_xlfn.XLOOKUP($A89,'RAWDATA Cars Buyers DB'!$A:$A,'RAWDATA Cars Buyers DB'!C:C)="F","Female","Male")</f>
        <v>Male</v>
      </c>
      <c r="D89" s="7">
        <f>_xlfn.XLOOKUP($A89,'RAWDATA Cars Buyers DB'!$A:$A,'RAWDATA Cars Buyers DB'!D:D)</f>
        <v>117938</v>
      </c>
      <c r="E89" s="8">
        <f>_xlfn.XLOOKUP($A89,'RAWDATA Cars Buyers DB'!$A:$A,'RAWDATA Cars Buyers DB'!E:E)</f>
        <v>2</v>
      </c>
      <c r="F89" s="8" t="str">
        <f>_xlfn.XLOOKUP($A89,'RAWDATA Cars Buyers DB'!$A:$A,'RAWDATA Cars Buyers DB'!F:F)</f>
        <v>High School</v>
      </c>
      <c r="G89" s="8" t="str">
        <f>_xlfn.XLOOKUP($A89,'RAWDATA Cars Buyers DB'!$A:$A,'RAWDATA Cars Buyers DB'!G:G)</f>
        <v>Skilled Manual</v>
      </c>
      <c r="H89" s="8" t="str">
        <f>_xlfn.XLOOKUP($A89,'RAWDATA Cars Buyers DB'!$A:$A,'RAWDATA Cars Buyers DB'!H:H)</f>
        <v>Yes</v>
      </c>
      <c r="I89" s="8" t="str">
        <f>_xlfn.XLOOKUP($A89,'RAWDATA Cars Buyers DB'!$A:$A,'RAWDATA Cars Buyers DB'!I:I)</f>
        <v>1–2 Kilometre</v>
      </c>
      <c r="J89" s="8" t="str">
        <f>_xlfn.XLOOKUP($A89,'RAWDATA Cars Buyers DB'!$A:$A,'RAWDATA Cars Buyers DB'!J:J)</f>
        <v>Berlin</v>
      </c>
      <c r="K89" s="8">
        <f>_xlfn.XLOOKUP($A89,'RAWDATA Cars Buyers DB'!$A:$A,'RAWDATA Cars Buyers DB'!K:K)</f>
        <v>33</v>
      </c>
      <c r="L89" s="10" t="str">
        <f>IF(_xlfn.XLOOKUP($A89,'RAWDATA Cars Buyers DB'!$A:$A,'RAWDATA Cars Buyers DB'!K:K)&gt;54,"Old ",IF(_xlfn.XLOOKUP($A89,'RAWDATA Cars Buyers DB'!$A:$A,'RAWDATA Cars Buyers DB'!K:K)&gt;=31,"Middle Age ",IF(_xlfn.XLOOKUP($A89,'RAWDATA Cars Buyers DB'!$A:$A,'RAWDATA Cars Buyers DB'!K:K)&lt;31,"Adolescent","Invalid")))</f>
        <v xml:space="preserve">Middle Age </v>
      </c>
      <c r="M89" s="8" t="str">
        <f>_xlfn.XLOOKUP($A89,'RAWDATA Cars Buyers DB'!$A:$A,'RAWDATA Cars Buyers DB'!L:L)</f>
        <v>No</v>
      </c>
    </row>
    <row r="90" spans="1:13">
      <c r="A90" s="6">
        <v>61214</v>
      </c>
      <c r="B90" s="10" t="str">
        <f>IF(_xlfn.XLOOKUP($A90,'RAWDATA Cars Buyers DB'!$A:$A,'RAWDATA Cars Buyers DB'!B:B)="S","Single","Married")</f>
        <v>Married</v>
      </c>
      <c r="C90" s="10" t="str">
        <f>IF(_xlfn.XLOOKUP($A90,'RAWDATA Cars Buyers DB'!$A:$A,'RAWDATA Cars Buyers DB'!C:C)="F","Female","Male")</f>
        <v>Male</v>
      </c>
      <c r="D90" s="7">
        <f>_xlfn.XLOOKUP($A90,'RAWDATA Cars Buyers DB'!$A:$A,'RAWDATA Cars Buyers DB'!D:D)</f>
        <v>54542</v>
      </c>
      <c r="E90" s="8">
        <f>_xlfn.XLOOKUP($A90,'RAWDATA Cars Buyers DB'!$A:$A,'RAWDATA Cars Buyers DB'!E:E)</f>
        <v>2</v>
      </c>
      <c r="F90" s="8" t="str">
        <f>_xlfn.XLOOKUP($A90,'RAWDATA Cars Buyers DB'!$A:$A,'RAWDATA Cars Buyers DB'!F:F)</f>
        <v>High School</v>
      </c>
      <c r="G90" s="8" t="str">
        <f>_xlfn.XLOOKUP($A90,'RAWDATA Cars Buyers DB'!$A:$A,'RAWDATA Cars Buyers DB'!G:G)</f>
        <v>Management</v>
      </c>
      <c r="H90" s="8" t="str">
        <f>_xlfn.XLOOKUP($A90,'RAWDATA Cars Buyers DB'!$A:$A,'RAWDATA Cars Buyers DB'!H:H)</f>
        <v>Yes</v>
      </c>
      <c r="I90" s="8" t="str">
        <f>_xlfn.XLOOKUP($A90,'RAWDATA Cars Buyers DB'!$A:$A,'RAWDATA Cars Buyers DB'!I:I)</f>
        <v>4–6 Kilometre</v>
      </c>
      <c r="J90" s="8" t="str">
        <f>_xlfn.XLOOKUP($A90,'RAWDATA Cars Buyers DB'!$A:$A,'RAWDATA Cars Buyers DB'!J:J)</f>
        <v>Baden-Württemberg</v>
      </c>
      <c r="K90" s="8">
        <f>_xlfn.XLOOKUP($A90,'RAWDATA Cars Buyers DB'!$A:$A,'RAWDATA Cars Buyers DB'!K:K)</f>
        <v>44</v>
      </c>
      <c r="L90" s="10" t="str">
        <f>IF(_xlfn.XLOOKUP($A90,'RAWDATA Cars Buyers DB'!$A:$A,'RAWDATA Cars Buyers DB'!K:K)&gt;54,"Old ",IF(_xlfn.XLOOKUP($A90,'RAWDATA Cars Buyers DB'!$A:$A,'RAWDATA Cars Buyers DB'!K:K)&gt;=31,"Middle Age ",IF(_xlfn.XLOOKUP($A90,'RAWDATA Cars Buyers DB'!$A:$A,'RAWDATA Cars Buyers DB'!K:K)&lt;31,"Adolescent","Invalid")))</f>
        <v xml:space="preserve">Middle Age </v>
      </c>
      <c r="M90" s="8" t="str">
        <f>_xlfn.XLOOKUP($A90,'RAWDATA Cars Buyers DB'!$A:$A,'RAWDATA Cars Buyers DB'!L:L)</f>
        <v>Yes</v>
      </c>
    </row>
    <row r="91" spans="1:13">
      <c r="A91" s="6">
        <v>71228</v>
      </c>
      <c r="B91" s="10" t="str">
        <f>IF(_xlfn.XLOOKUP($A91,'RAWDATA Cars Buyers DB'!$A:$A,'RAWDATA Cars Buyers DB'!B:B)="S","Single","Married")</f>
        <v>Married</v>
      </c>
      <c r="C91" s="10" t="str">
        <f>IF(_xlfn.XLOOKUP($A91,'RAWDATA Cars Buyers DB'!$A:$A,'RAWDATA Cars Buyers DB'!C:C)="F","Female","Male")</f>
        <v>Female</v>
      </c>
      <c r="D91" s="7">
        <f>_xlfn.XLOOKUP($A91,'RAWDATA Cars Buyers DB'!$A:$A,'RAWDATA Cars Buyers DB'!D:D)</f>
        <v>30651</v>
      </c>
      <c r="E91" s="8">
        <f>_xlfn.XLOOKUP($A91,'RAWDATA Cars Buyers DB'!$A:$A,'RAWDATA Cars Buyers DB'!E:E)</f>
        <v>1</v>
      </c>
      <c r="F91" s="8" t="str">
        <f>_xlfn.XLOOKUP($A91,'RAWDATA Cars Buyers DB'!$A:$A,'RAWDATA Cars Buyers DB'!F:F)</f>
        <v>High School</v>
      </c>
      <c r="G91" s="8" t="str">
        <f>_xlfn.XLOOKUP($A91,'RAWDATA Cars Buyers DB'!$A:$A,'RAWDATA Cars Buyers DB'!G:G)</f>
        <v>Management</v>
      </c>
      <c r="H91" s="8" t="str">
        <f>_xlfn.XLOOKUP($A91,'RAWDATA Cars Buyers DB'!$A:$A,'RAWDATA Cars Buyers DB'!H:H)</f>
        <v>Yes</v>
      </c>
      <c r="I91" s="8" t="str">
        <f>_xlfn.XLOOKUP($A91,'RAWDATA Cars Buyers DB'!$A:$A,'RAWDATA Cars Buyers DB'!I:I)</f>
        <v>4–6 Kilometre</v>
      </c>
      <c r="J91" s="8" t="str">
        <f>_xlfn.XLOOKUP($A91,'RAWDATA Cars Buyers DB'!$A:$A,'RAWDATA Cars Buyers DB'!J:J)</f>
        <v>Thuringia</v>
      </c>
      <c r="K91" s="8">
        <f>_xlfn.XLOOKUP($A91,'RAWDATA Cars Buyers DB'!$A:$A,'RAWDATA Cars Buyers DB'!K:K)</f>
        <v>34</v>
      </c>
      <c r="L91" s="10" t="str">
        <f>IF(_xlfn.XLOOKUP($A91,'RAWDATA Cars Buyers DB'!$A:$A,'RAWDATA Cars Buyers DB'!K:K)&gt;54,"Old ",IF(_xlfn.XLOOKUP($A91,'RAWDATA Cars Buyers DB'!$A:$A,'RAWDATA Cars Buyers DB'!K:K)&gt;=31,"Middle Age ",IF(_xlfn.XLOOKUP($A91,'RAWDATA Cars Buyers DB'!$A:$A,'RAWDATA Cars Buyers DB'!K:K)&lt;31,"Adolescent","Invalid")))</f>
        <v xml:space="preserve">Middle Age </v>
      </c>
      <c r="M91" s="8" t="str">
        <f>_xlfn.XLOOKUP($A91,'RAWDATA Cars Buyers DB'!$A:$A,'RAWDATA Cars Buyers DB'!L:L)</f>
        <v>Yes</v>
      </c>
    </row>
    <row r="92" spans="1:13">
      <c r="A92" s="6">
        <v>58984</v>
      </c>
      <c r="B92" s="10" t="str">
        <f>IF(_xlfn.XLOOKUP($A92,'RAWDATA Cars Buyers DB'!$A:$A,'RAWDATA Cars Buyers DB'!B:B)="S","Single","Married")</f>
        <v>Married</v>
      </c>
      <c r="C92" s="10" t="str">
        <f>IF(_xlfn.XLOOKUP($A92,'RAWDATA Cars Buyers DB'!$A:$A,'RAWDATA Cars Buyers DB'!C:C)="F","Female","Male")</f>
        <v>Female</v>
      </c>
      <c r="D92" s="7">
        <f>_xlfn.XLOOKUP($A92,'RAWDATA Cars Buyers DB'!$A:$A,'RAWDATA Cars Buyers DB'!D:D)</f>
        <v>119239</v>
      </c>
      <c r="E92" s="8">
        <f>_xlfn.XLOOKUP($A92,'RAWDATA Cars Buyers DB'!$A:$A,'RAWDATA Cars Buyers DB'!E:E)</f>
        <v>3</v>
      </c>
      <c r="F92" s="8" t="str">
        <f>_xlfn.XLOOKUP($A92,'RAWDATA Cars Buyers DB'!$A:$A,'RAWDATA Cars Buyers DB'!F:F)</f>
        <v>Graduate Degree</v>
      </c>
      <c r="G92" s="8" t="str">
        <f>_xlfn.XLOOKUP($A92,'RAWDATA Cars Buyers DB'!$A:$A,'RAWDATA Cars Buyers DB'!G:G)</f>
        <v>Professional</v>
      </c>
      <c r="H92" s="8" t="str">
        <f>_xlfn.XLOOKUP($A92,'RAWDATA Cars Buyers DB'!$A:$A,'RAWDATA Cars Buyers DB'!H:H)</f>
        <v>No</v>
      </c>
      <c r="I92" s="8" t="str">
        <f>_xlfn.XLOOKUP($A92,'RAWDATA Cars Buyers DB'!$A:$A,'RAWDATA Cars Buyers DB'!I:I)</f>
        <v>6+ Kilometre</v>
      </c>
      <c r="J92" s="8" t="str">
        <f>_xlfn.XLOOKUP($A92,'RAWDATA Cars Buyers DB'!$A:$A,'RAWDATA Cars Buyers DB'!J:J)</f>
        <v>Mecklenburg-Vorpommern</v>
      </c>
      <c r="K92" s="8">
        <f>_xlfn.XLOOKUP($A92,'RAWDATA Cars Buyers DB'!$A:$A,'RAWDATA Cars Buyers DB'!K:K)</f>
        <v>21</v>
      </c>
      <c r="L92" s="10" t="str">
        <f>IF(_xlfn.XLOOKUP($A92,'RAWDATA Cars Buyers DB'!$A:$A,'RAWDATA Cars Buyers DB'!K:K)&gt;54,"Old ",IF(_xlfn.XLOOKUP($A92,'RAWDATA Cars Buyers DB'!$A:$A,'RAWDATA Cars Buyers DB'!K:K)&gt;=31,"Middle Age ",IF(_xlfn.XLOOKUP($A92,'RAWDATA Cars Buyers DB'!$A:$A,'RAWDATA Cars Buyers DB'!K:K)&lt;31,"Adolescent","Invalid")))</f>
        <v>Adolescent</v>
      </c>
      <c r="M92" s="8" t="str">
        <f>_xlfn.XLOOKUP($A92,'RAWDATA Cars Buyers DB'!$A:$A,'RAWDATA Cars Buyers DB'!L:L)</f>
        <v>Yes</v>
      </c>
    </row>
    <row r="93" spans="1:13">
      <c r="A93" s="6">
        <v>50774</v>
      </c>
      <c r="B93" s="10" t="str">
        <f>IF(_xlfn.XLOOKUP($A93,'RAWDATA Cars Buyers DB'!$A:$A,'RAWDATA Cars Buyers DB'!B:B)="S","Single","Married")</f>
        <v>Single</v>
      </c>
      <c r="C93" s="10" t="str">
        <f>IF(_xlfn.XLOOKUP($A93,'RAWDATA Cars Buyers DB'!$A:$A,'RAWDATA Cars Buyers DB'!C:C)="F","Female","Male")</f>
        <v>Female</v>
      </c>
      <c r="D93" s="7">
        <f>_xlfn.XLOOKUP($A93,'RAWDATA Cars Buyers DB'!$A:$A,'RAWDATA Cars Buyers DB'!D:D)</f>
        <v>98931</v>
      </c>
      <c r="E93" s="8">
        <f>_xlfn.XLOOKUP($A93,'RAWDATA Cars Buyers DB'!$A:$A,'RAWDATA Cars Buyers DB'!E:E)</f>
        <v>3</v>
      </c>
      <c r="F93" s="8" t="str">
        <f>_xlfn.XLOOKUP($A93,'RAWDATA Cars Buyers DB'!$A:$A,'RAWDATA Cars Buyers DB'!F:F)</f>
        <v>Bachelors</v>
      </c>
      <c r="G93" s="8" t="str">
        <f>_xlfn.XLOOKUP($A93,'RAWDATA Cars Buyers DB'!$A:$A,'RAWDATA Cars Buyers DB'!G:G)</f>
        <v>Clerical</v>
      </c>
      <c r="H93" s="8" t="str">
        <f>_xlfn.XLOOKUP($A93,'RAWDATA Cars Buyers DB'!$A:$A,'RAWDATA Cars Buyers DB'!H:H)</f>
        <v>No</v>
      </c>
      <c r="I93" s="8" t="str">
        <f>_xlfn.XLOOKUP($A93,'RAWDATA Cars Buyers DB'!$A:$A,'RAWDATA Cars Buyers DB'!I:I)</f>
        <v>4–6 Kilometre</v>
      </c>
      <c r="J93" s="8" t="str">
        <f>_xlfn.XLOOKUP($A93,'RAWDATA Cars Buyers DB'!$A:$A,'RAWDATA Cars Buyers DB'!J:J)</f>
        <v>North Rhine-Westphalia</v>
      </c>
      <c r="K93" s="8">
        <f>_xlfn.XLOOKUP($A93,'RAWDATA Cars Buyers DB'!$A:$A,'RAWDATA Cars Buyers DB'!K:K)</f>
        <v>43</v>
      </c>
      <c r="L93" s="10" t="str">
        <f>IF(_xlfn.XLOOKUP($A93,'RAWDATA Cars Buyers DB'!$A:$A,'RAWDATA Cars Buyers DB'!K:K)&gt;54,"Old ",IF(_xlfn.XLOOKUP($A93,'RAWDATA Cars Buyers DB'!$A:$A,'RAWDATA Cars Buyers DB'!K:K)&gt;=31,"Middle Age ",IF(_xlfn.XLOOKUP($A93,'RAWDATA Cars Buyers DB'!$A:$A,'RAWDATA Cars Buyers DB'!K:K)&lt;31,"Adolescent","Invalid")))</f>
        <v xml:space="preserve">Middle Age </v>
      </c>
      <c r="M93" s="8" t="str">
        <f>_xlfn.XLOOKUP($A93,'RAWDATA Cars Buyers DB'!$A:$A,'RAWDATA Cars Buyers DB'!L:L)</f>
        <v>No</v>
      </c>
    </row>
    <row r="94" spans="1:13">
      <c r="A94" s="6">
        <v>12568</v>
      </c>
      <c r="B94" s="10" t="str">
        <f>IF(_xlfn.XLOOKUP($A94,'RAWDATA Cars Buyers DB'!$A:$A,'RAWDATA Cars Buyers DB'!B:B)="S","Single","Married")</f>
        <v>Married</v>
      </c>
      <c r="C94" s="10" t="str">
        <f>IF(_xlfn.XLOOKUP($A94,'RAWDATA Cars Buyers DB'!$A:$A,'RAWDATA Cars Buyers DB'!C:C)="F","Female","Male")</f>
        <v>Male</v>
      </c>
      <c r="D94" s="7">
        <f>_xlfn.XLOOKUP($A94,'RAWDATA Cars Buyers DB'!$A:$A,'RAWDATA Cars Buyers DB'!D:D)</f>
        <v>115344</v>
      </c>
      <c r="E94" s="8">
        <f>_xlfn.XLOOKUP($A94,'RAWDATA Cars Buyers DB'!$A:$A,'RAWDATA Cars Buyers DB'!E:E)</f>
        <v>0</v>
      </c>
      <c r="F94" s="8" t="str">
        <f>_xlfn.XLOOKUP($A94,'RAWDATA Cars Buyers DB'!$A:$A,'RAWDATA Cars Buyers DB'!F:F)</f>
        <v>Graduate Degree</v>
      </c>
      <c r="G94" s="8" t="str">
        <f>_xlfn.XLOOKUP($A94,'RAWDATA Cars Buyers DB'!$A:$A,'RAWDATA Cars Buyers DB'!G:G)</f>
        <v>Clerical</v>
      </c>
      <c r="H94" s="8" t="str">
        <f>_xlfn.XLOOKUP($A94,'RAWDATA Cars Buyers DB'!$A:$A,'RAWDATA Cars Buyers DB'!H:H)</f>
        <v>Yes</v>
      </c>
      <c r="I94" s="8" t="str">
        <f>_xlfn.XLOOKUP($A94,'RAWDATA Cars Buyers DB'!$A:$A,'RAWDATA Cars Buyers DB'!I:I)</f>
        <v>2–4 Kilometre</v>
      </c>
      <c r="J94" s="8" t="str">
        <f>_xlfn.XLOOKUP($A94,'RAWDATA Cars Buyers DB'!$A:$A,'RAWDATA Cars Buyers DB'!J:J)</f>
        <v>Schleswig-Holstein</v>
      </c>
      <c r="K94" s="8">
        <f>_xlfn.XLOOKUP($A94,'RAWDATA Cars Buyers DB'!$A:$A,'RAWDATA Cars Buyers DB'!K:K)</f>
        <v>33</v>
      </c>
      <c r="L94" s="10" t="str">
        <f>IF(_xlfn.XLOOKUP($A94,'RAWDATA Cars Buyers DB'!$A:$A,'RAWDATA Cars Buyers DB'!K:K)&gt;54,"Old ",IF(_xlfn.XLOOKUP($A94,'RAWDATA Cars Buyers DB'!$A:$A,'RAWDATA Cars Buyers DB'!K:K)&gt;=31,"Middle Age ",IF(_xlfn.XLOOKUP($A94,'RAWDATA Cars Buyers DB'!$A:$A,'RAWDATA Cars Buyers DB'!K:K)&lt;31,"Adolescent","Invalid")))</f>
        <v xml:space="preserve">Middle Age </v>
      </c>
      <c r="M94" s="8" t="str">
        <f>_xlfn.XLOOKUP($A94,'RAWDATA Cars Buyers DB'!$A:$A,'RAWDATA Cars Buyers DB'!L:L)</f>
        <v>Yes</v>
      </c>
    </row>
    <row r="95" spans="1:13">
      <c r="A95" s="6">
        <v>72592</v>
      </c>
      <c r="B95" s="10" t="str">
        <f>IF(_xlfn.XLOOKUP($A95,'RAWDATA Cars Buyers DB'!$A:$A,'RAWDATA Cars Buyers DB'!B:B)="S","Single","Married")</f>
        <v>Married</v>
      </c>
      <c r="C95" s="10" t="str">
        <f>IF(_xlfn.XLOOKUP($A95,'RAWDATA Cars Buyers DB'!$A:$A,'RAWDATA Cars Buyers DB'!C:C)="F","Female","Male")</f>
        <v>Male</v>
      </c>
      <c r="D95" s="7">
        <f>_xlfn.XLOOKUP($A95,'RAWDATA Cars Buyers DB'!$A:$A,'RAWDATA Cars Buyers DB'!D:D)</f>
        <v>36715</v>
      </c>
      <c r="E95" s="8">
        <f>_xlfn.XLOOKUP($A95,'RAWDATA Cars Buyers DB'!$A:$A,'RAWDATA Cars Buyers DB'!E:E)</f>
        <v>0</v>
      </c>
      <c r="F95" s="8" t="str">
        <f>_xlfn.XLOOKUP($A95,'RAWDATA Cars Buyers DB'!$A:$A,'RAWDATA Cars Buyers DB'!F:F)</f>
        <v>Partial College</v>
      </c>
      <c r="G95" s="8" t="str">
        <f>_xlfn.XLOOKUP($A95,'RAWDATA Cars Buyers DB'!$A:$A,'RAWDATA Cars Buyers DB'!G:G)</f>
        <v>Skilled Manual</v>
      </c>
      <c r="H95" s="8" t="str">
        <f>_xlfn.XLOOKUP($A95,'RAWDATA Cars Buyers DB'!$A:$A,'RAWDATA Cars Buyers DB'!H:H)</f>
        <v>No</v>
      </c>
      <c r="I95" s="8" t="str">
        <f>_xlfn.XLOOKUP($A95,'RAWDATA Cars Buyers DB'!$A:$A,'RAWDATA Cars Buyers DB'!I:I)</f>
        <v>6+ Kilometre</v>
      </c>
      <c r="J95" s="8" t="str">
        <f>_xlfn.XLOOKUP($A95,'RAWDATA Cars Buyers DB'!$A:$A,'RAWDATA Cars Buyers DB'!J:J)</f>
        <v>Baden-Württemberg</v>
      </c>
      <c r="K95" s="8">
        <f>_xlfn.XLOOKUP($A95,'RAWDATA Cars Buyers DB'!$A:$A,'RAWDATA Cars Buyers DB'!K:K)</f>
        <v>67</v>
      </c>
      <c r="L95" s="10" t="str">
        <f>IF(_xlfn.XLOOKUP($A95,'RAWDATA Cars Buyers DB'!$A:$A,'RAWDATA Cars Buyers DB'!K:K)&gt;54,"Old ",IF(_xlfn.XLOOKUP($A95,'RAWDATA Cars Buyers DB'!$A:$A,'RAWDATA Cars Buyers DB'!K:K)&gt;=31,"Middle Age ",IF(_xlfn.XLOOKUP($A95,'RAWDATA Cars Buyers DB'!$A:$A,'RAWDATA Cars Buyers DB'!K:K)&lt;31,"Adolescent","Invalid")))</f>
        <v xml:space="preserve">Old </v>
      </c>
      <c r="M95" s="8" t="str">
        <f>_xlfn.XLOOKUP($A95,'RAWDATA Cars Buyers DB'!$A:$A,'RAWDATA Cars Buyers DB'!L:L)</f>
        <v>No</v>
      </c>
    </row>
    <row r="96" spans="1:13">
      <c r="A96" s="6">
        <v>77563</v>
      </c>
      <c r="B96" s="10" t="str">
        <f>IF(_xlfn.XLOOKUP($A96,'RAWDATA Cars Buyers DB'!$A:$A,'RAWDATA Cars Buyers DB'!B:B)="S","Single","Married")</f>
        <v>Married</v>
      </c>
      <c r="C96" s="10" t="str">
        <f>IF(_xlfn.XLOOKUP($A96,'RAWDATA Cars Buyers DB'!$A:$A,'RAWDATA Cars Buyers DB'!C:C)="F","Female","Male")</f>
        <v>Female</v>
      </c>
      <c r="D96" s="7">
        <f>_xlfn.XLOOKUP($A96,'RAWDATA Cars Buyers DB'!$A:$A,'RAWDATA Cars Buyers DB'!D:D)</f>
        <v>64409</v>
      </c>
      <c r="E96" s="8">
        <f>_xlfn.XLOOKUP($A96,'RAWDATA Cars Buyers DB'!$A:$A,'RAWDATA Cars Buyers DB'!E:E)</f>
        <v>3</v>
      </c>
      <c r="F96" s="8" t="str">
        <f>_xlfn.XLOOKUP($A96,'RAWDATA Cars Buyers DB'!$A:$A,'RAWDATA Cars Buyers DB'!F:F)</f>
        <v>Partial College</v>
      </c>
      <c r="G96" s="8" t="str">
        <f>_xlfn.XLOOKUP($A96,'RAWDATA Cars Buyers DB'!$A:$A,'RAWDATA Cars Buyers DB'!G:G)</f>
        <v>Professional</v>
      </c>
      <c r="H96" s="8" t="str">
        <f>_xlfn.XLOOKUP($A96,'RAWDATA Cars Buyers DB'!$A:$A,'RAWDATA Cars Buyers DB'!H:H)</f>
        <v>No</v>
      </c>
      <c r="I96" s="8" t="str">
        <f>_xlfn.XLOOKUP($A96,'RAWDATA Cars Buyers DB'!$A:$A,'RAWDATA Cars Buyers DB'!I:I)</f>
        <v>0–1 Kilometre</v>
      </c>
      <c r="J96" s="8" t="str">
        <f>_xlfn.XLOOKUP($A96,'RAWDATA Cars Buyers DB'!$A:$A,'RAWDATA Cars Buyers DB'!J:J)</f>
        <v>Bremen</v>
      </c>
      <c r="K96" s="8">
        <f>_xlfn.XLOOKUP($A96,'RAWDATA Cars Buyers DB'!$A:$A,'RAWDATA Cars Buyers DB'!K:K)</f>
        <v>26</v>
      </c>
      <c r="L96" s="10" t="str">
        <f>IF(_xlfn.XLOOKUP($A96,'RAWDATA Cars Buyers DB'!$A:$A,'RAWDATA Cars Buyers DB'!K:K)&gt;54,"Old ",IF(_xlfn.XLOOKUP($A96,'RAWDATA Cars Buyers DB'!$A:$A,'RAWDATA Cars Buyers DB'!K:K)&gt;=31,"Middle Age ",IF(_xlfn.XLOOKUP($A96,'RAWDATA Cars Buyers DB'!$A:$A,'RAWDATA Cars Buyers DB'!K:K)&lt;31,"Adolescent","Invalid")))</f>
        <v>Adolescent</v>
      </c>
      <c r="M96" s="8" t="str">
        <f>_xlfn.XLOOKUP($A96,'RAWDATA Cars Buyers DB'!$A:$A,'RAWDATA Cars Buyers DB'!L:L)</f>
        <v>Yes</v>
      </c>
    </row>
    <row r="97" spans="1:13">
      <c r="A97" s="6">
        <v>12695</v>
      </c>
      <c r="B97" s="10" t="str">
        <f>IF(_xlfn.XLOOKUP($A97,'RAWDATA Cars Buyers DB'!$A:$A,'RAWDATA Cars Buyers DB'!B:B)="S","Single","Married")</f>
        <v>Married</v>
      </c>
      <c r="C97" s="10" t="str">
        <f>IF(_xlfn.XLOOKUP($A97,'RAWDATA Cars Buyers DB'!$A:$A,'RAWDATA Cars Buyers DB'!C:C)="F","Female","Male")</f>
        <v>Male</v>
      </c>
      <c r="D97" s="7">
        <f>_xlfn.XLOOKUP($A97,'RAWDATA Cars Buyers DB'!$A:$A,'RAWDATA Cars Buyers DB'!D:D)</f>
        <v>44306</v>
      </c>
      <c r="E97" s="8">
        <f>_xlfn.XLOOKUP($A97,'RAWDATA Cars Buyers DB'!$A:$A,'RAWDATA Cars Buyers DB'!E:E)</f>
        <v>5</v>
      </c>
      <c r="F97" s="8" t="str">
        <f>_xlfn.XLOOKUP($A97,'RAWDATA Cars Buyers DB'!$A:$A,'RAWDATA Cars Buyers DB'!F:F)</f>
        <v>Partial College</v>
      </c>
      <c r="G97" s="8" t="str">
        <f>_xlfn.XLOOKUP($A97,'RAWDATA Cars Buyers DB'!$A:$A,'RAWDATA Cars Buyers DB'!G:G)</f>
        <v>Professional</v>
      </c>
      <c r="H97" s="8" t="str">
        <f>_xlfn.XLOOKUP($A97,'RAWDATA Cars Buyers DB'!$A:$A,'RAWDATA Cars Buyers DB'!H:H)</f>
        <v>Yes</v>
      </c>
      <c r="I97" s="8" t="str">
        <f>_xlfn.XLOOKUP($A97,'RAWDATA Cars Buyers DB'!$A:$A,'RAWDATA Cars Buyers DB'!I:I)</f>
        <v>1–2 Kilometre</v>
      </c>
      <c r="J97" s="8" t="str">
        <f>_xlfn.XLOOKUP($A97,'RAWDATA Cars Buyers DB'!$A:$A,'RAWDATA Cars Buyers DB'!J:J)</f>
        <v>Bavaria</v>
      </c>
      <c r="K97" s="8">
        <f>_xlfn.XLOOKUP($A97,'RAWDATA Cars Buyers DB'!$A:$A,'RAWDATA Cars Buyers DB'!K:K)</f>
        <v>55</v>
      </c>
      <c r="L97" s="10" t="str">
        <f>IF(_xlfn.XLOOKUP($A97,'RAWDATA Cars Buyers DB'!$A:$A,'RAWDATA Cars Buyers DB'!K:K)&gt;54,"Old ",IF(_xlfn.XLOOKUP($A97,'RAWDATA Cars Buyers DB'!$A:$A,'RAWDATA Cars Buyers DB'!K:K)&gt;=31,"Middle Age ",IF(_xlfn.XLOOKUP($A97,'RAWDATA Cars Buyers DB'!$A:$A,'RAWDATA Cars Buyers DB'!K:K)&lt;31,"Adolescent","Invalid")))</f>
        <v xml:space="preserve">Old </v>
      </c>
      <c r="M97" s="8" t="str">
        <f>_xlfn.XLOOKUP($A97,'RAWDATA Cars Buyers DB'!$A:$A,'RAWDATA Cars Buyers DB'!L:L)</f>
        <v>Yes</v>
      </c>
    </row>
    <row r="98" spans="1:13">
      <c r="A98" s="6">
        <v>58190</v>
      </c>
      <c r="B98" s="10" t="str">
        <f>IF(_xlfn.XLOOKUP($A98,'RAWDATA Cars Buyers DB'!$A:$A,'RAWDATA Cars Buyers DB'!B:B)="S","Single","Married")</f>
        <v>Single</v>
      </c>
      <c r="C98" s="10" t="str">
        <f>IF(_xlfn.XLOOKUP($A98,'RAWDATA Cars Buyers DB'!$A:$A,'RAWDATA Cars Buyers DB'!C:C)="F","Female","Male")</f>
        <v>Female</v>
      </c>
      <c r="D98" s="7">
        <f>_xlfn.XLOOKUP($A98,'RAWDATA Cars Buyers DB'!$A:$A,'RAWDATA Cars Buyers DB'!D:D)</f>
        <v>39086</v>
      </c>
      <c r="E98" s="8">
        <f>_xlfn.XLOOKUP($A98,'RAWDATA Cars Buyers DB'!$A:$A,'RAWDATA Cars Buyers DB'!E:E)</f>
        <v>4</v>
      </c>
      <c r="F98" s="8" t="str">
        <f>_xlfn.XLOOKUP($A98,'RAWDATA Cars Buyers DB'!$A:$A,'RAWDATA Cars Buyers DB'!F:F)</f>
        <v>Partial College</v>
      </c>
      <c r="G98" s="8" t="str">
        <f>_xlfn.XLOOKUP($A98,'RAWDATA Cars Buyers DB'!$A:$A,'RAWDATA Cars Buyers DB'!G:G)</f>
        <v>Management</v>
      </c>
      <c r="H98" s="8" t="str">
        <f>_xlfn.XLOOKUP($A98,'RAWDATA Cars Buyers DB'!$A:$A,'RAWDATA Cars Buyers DB'!H:H)</f>
        <v>Yes</v>
      </c>
      <c r="I98" s="8" t="str">
        <f>_xlfn.XLOOKUP($A98,'RAWDATA Cars Buyers DB'!$A:$A,'RAWDATA Cars Buyers DB'!I:I)</f>
        <v>1–2 Kilometre</v>
      </c>
      <c r="J98" s="8" t="str">
        <f>_xlfn.XLOOKUP($A98,'RAWDATA Cars Buyers DB'!$A:$A,'RAWDATA Cars Buyers DB'!J:J)</f>
        <v>Bavaria</v>
      </c>
      <c r="K98" s="8">
        <f>_xlfn.XLOOKUP($A98,'RAWDATA Cars Buyers DB'!$A:$A,'RAWDATA Cars Buyers DB'!K:K)</f>
        <v>69</v>
      </c>
      <c r="L98" s="10" t="str">
        <f>IF(_xlfn.XLOOKUP($A98,'RAWDATA Cars Buyers DB'!$A:$A,'RAWDATA Cars Buyers DB'!K:K)&gt;54,"Old ",IF(_xlfn.XLOOKUP($A98,'RAWDATA Cars Buyers DB'!$A:$A,'RAWDATA Cars Buyers DB'!K:K)&gt;=31,"Middle Age ",IF(_xlfn.XLOOKUP($A98,'RAWDATA Cars Buyers DB'!$A:$A,'RAWDATA Cars Buyers DB'!K:K)&lt;31,"Adolescent","Invalid")))</f>
        <v xml:space="preserve">Old </v>
      </c>
      <c r="M98" s="8" t="str">
        <f>_xlfn.XLOOKUP($A98,'RAWDATA Cars Buyers DB'!$A:$A,'RAWDATA Cars Buyers DB'!L:L)</f>
        <v>No</v>
      </c>
    </row>
    <row r="99" spans="1:13">
      <c r="A99" s="6">
        <v>15258</v>
      </c>
      <c r="B99" s="10" t="str">
        <f>IF(_xlfn.XLOOKUP($A99,'RAWDATA Cars Buyers DB'!$A:$A,'RAWDATA Cars Buyers DB'!B:B)="S","Single","Married")</f>
        <v>Married</v>
      </c>
      <c r="C99" s="10" t="str">
        <f>IF(_xlfn.XLOOKUP($A99,'RAWDATA Cars Buyers DB'!$A:$A,'RAWDATA Cars Buyers DB'!C:C)="F","Female","Male")</f>
        <v>Male</v>
      </c>
      <c r="D99" s="7">
        <f>_xlfn.XLOOKUP($A99,'RAWDATA Cars Buyers DB'!$A:$A,'RAWDATA Cars Buyers DB'!D:D)</f>
        <v>34376</v>
      </c>
      <c r="E99" s="8">
        <f>_xlfn.XLOOKUP($A99,'RAWDATA Cars Buyers DB'!$A:$A,'RAWDATA Cars Buyers DB'!E:E)</f>
        <v>2</v>
      </c>
      <c r="F99" s="8" t="str">
        <f>_xlfn.XLOOKUP($A99,'RAWDATA Cars Buyers DB'!$A:$A,'RAWDATA Cars Buyers DB'!F:F)</f>
        <v>High School</v>
      </c>
      <c r="G99" s="8" t="str">
        <f>_xlfn.XLOOKUP($A99,'RAWDATA Cars Buyers DB'!$A:$A,'RAWDATA Cars Buyers DB'!G:G)</f>
        <v>Management</v>
      </c>
      <c r="H99" s="8" t="str">
        <f>_xlfn.XLOOKUP($A99,'RAWDATA Cars Buyers DB'!$A:$A,'RAWDATA Cars Buyers DB'!H:H)</f>
        <v>No</v>
      </c>
      <c r="I99" s="8" t="str">
        <f>_xlfn.XLOOKUP($A99,'RAWDATA Cars Buyers DB'!$A:$A,'RAWDATA Cars Buyers DB'!I:I)</f>
        <v>1–2 Kilometre</v>
      </c>
      <c r="J99" s="8" t="str">
        <f>_xlfn.XLOOKUP($A99,'RAWDATA Cars Buyers DB'!$A:$A,'RAWDATA Cars Buyers DB'!J:J)</f>
        <v>Berlin</v>
      </c>
      <c r="K99" s="8">
        <f>_xlfn.XLOOKUP($A99,'RAWDATA Cars Buyers DB'!$A:$A,'RAWDATA Cars Buyers DB'!K:K)</f>
        <v>43</v>
      </c>
      <c r="L99" s="10" t="str">
        <f>IF(_xlfn.XLOOKUP($A99,'RAWDATA Cars Buyers DB'!$A:$A,'RAWDATA Cars Buyers DB'!K:K)&gt;54,"Old ",IF(_xlfn.XLOOKUP($A99,'RAWDATA Cars Buyers DB'!$A:$A,'RAWDATA Cars Buyers DB'!K:K)&gt;=31,"Middle Age ",IF(_xlfn.XLOOKUP($A99,'RAWDATA Cars Buyers DB'!$A:$A,'RAWDATA Cars Buyers DB'!K:K)&lt;31,"Adolescent","Invalid")))</f>
        <v xml:space="preserve">Middle Age </v>
      </c>
      <c r="M99" s="8" t="str">
        <f>_xlfn.XLOOKUP($A99,'RAWDATA Cars Buyers DB'!$A:$A,'RAWDATA Cars Buyers DB'!L:L)</f>
        <v>Yes</v>
      </c>
    </row>
    <row r="100" spans="1:13">
      <c r="A100" s="6">
        <v>97538</v>
      </c>
      <c r="B100" s="10" t="str">
        <f>IF(_xlfn.XLOOKUP($A100,'RAWDATA Cars Buyers DB'!$A:$A,'RAWDATA Cars Buyers DB'!B:B)="S","Single","Married")</f>
        <v>Single</v>
      </c>
      <c r="C100" s="10" t="str">
        <f>IF(_xlfn.XLOOKUP($A100,'RAWDATA Cars Buyers DB'!$A:$A,'RAWDATA Cars Buyers DB'!C:C)="F","Female","Male")</f>
        <v>Male</v>
      </c>
      <c r="D100" s="7">
        <f>_xlfn.XLOOKUP($A100,'RAWDATA Cars Buyers DB'!$A:$A,'RAWDATA Cars Buyers DB'!D:D)</f>
        <v>81350</v>
      </c>
      <c r="E100" s="8">
        <f>_xlfn.XLOOKUP($A100,'RAWDATA Cars Buyers DB'!$A:$A,'RAWDATA Cars Buyers DB'!E:E)</f>
        <v>4</v>
      </c>
      <c r="F100" s="8" t="str">
        <f>_xlfn.XLOOKUP($A100,'RAWDATA Cars Buyers DB'!$A:$A,'RAWDATA Cars Buyers DB'!F:F)</f>
        <v>High School</v>
      </c>
      <c r="G100" s="8" t="str">
        <f>_xlfn.XLOOKUP($A100,'RAWDATA Cars Buyers DB'!$A:$A,'RAWDATA Cars Buyers DB'!G:G)</f>
        <v>Management</v>
      </c>
      <c r="H100" s="8" t="str">
        <f>_xlfn.XLOOKUP($A100,'RAWDATA Cars Buyers DB'!$A:$A,'RAWDATA Cars Buyers DB'!H:H)</f>
        <v>No</v>
      </c>
      <c r="I100" s="8" t="str">
        <f>_xlfn.XLOOKUP($A100,'RAWDATA Cars Buyers DB'!$A:$A,'RAWDATA Cars Buyers DB'!I:I)</f>
        <v>2–4 Kilometre</v>
      </c>
      <c r="J100" s="8" t="str">
        <f>_xlfn.XLOOKUP($A100,'RAWDATA Cars Buyers DB'!$A:$A,'RAWDATA Cars Buyers DB'!J:J)</f>
        <v>Bremen</v>
      </c>
      <c r="K100" s="8">
        <f>_xlfn.XLOOKUP($A100,'RAWDATA Cars Buyers DB'!$A:$A,'RAWDATA Cars Buyers DB'!K:K)</f>
        <v>46</v>
      </c>
      <c r="L100" s="10" t="str">
        <f>IF(_xlfn.XLOOKUP($A100,'RAWDATA Cars Buyers DB'!$A:$A,'RAWDATA Cars Buyers DB'!K:K)&gt;54,"Old ",IF(_xlfn.XLOOKUP($A100,'RAWDATA Cars Buyers DB'!$A:$A,'RAWDATA Cars Buyers DB'!K:K)&gt;=31,"Middle Age ",IF(_xlfn.XLOOKUP($A100,'RAWDATA Cars Buyers DB'!$A:$A,'RAWDATA Cars Buyers DB'!K:K)&lt;31,"Adolescent","Invalid")))</f>
        <v xml:space="preserve">Middle Age </v>
      </c>
      <c r="M100" s="8" t="str">
        <f>_xlfn.XLOOKUP($A100,'RAWDATA Cars Buyers DB'!$A:$A,'RAWDATA Cars Buyers DB'!L:L)</f>
        <v>No</v>
      </c>
    </row>
    <row r="101" spans="1:13">
      <c r="A101" s="6">
        <v>49504</v>
      </c>
      <c r="B101" s="10" t="str">
        <f>IF(_xlfn.XLOOKUP($A101,'RAWDATA Cars Buyers DB'!$A:$A,'RAWDATA Cars Buyers DB'!B:B)="S","Single","Married")</f>
        <v>Single</v>
      </c>
      <c r="C101" s="10" t="str">
        <f>IF(_xlfn.XLOOKUP($A101,'RAWDATA Cars Buyers DB'!$A:$A,'RAWDATA Cars Buyers DB'!C:C)="F","Female","Male")</f>
        <v>Female</v>
      </c>
      <c r="D101" s="7">
        <f>_xlfn.XLOOKUP($A101,'RAWDATA Cars Buyers DB'!$A:$A,'RAWDATA Cars Buyers DB'!D:D)</f>
        <v>91425</v>
      </c>
      <c r="E101" s="8">
        <f>_xlfn.XLOOKUP($A101,'RAWDATA Cars Buyers DB'!$A:$A,'RAWDATA Cars Buyers DB'!E:E)</f>
        <v>2</v>
      </c>
      <c r="F101" s="8" t="str">
        <f>_xlfn.XLOOKUP($A101,'RAWDATA Cars Buyers DB'!$A:$A,'RAWDATA Cars Buyers DB'!F:F)</f>
        <v>Graduate Degree</v>
      </c>
      <c r="G101" s="8" t="str">
        <f>_xlfn.XLOOKUP($A101,'RAWDATA Cars Buyers DB'!$A:$A,'RAWDATA Cars Buyers DB'!G:G)</f>
        <v>Skilled Manual</v>
      </c>
      <c r="H101" s="8" t="str">
        <f>_xlfn.XLOOKUP($A101,'RAWDATA Cars Buyers DB'!$A:$A,'RAWDATA Cars Buyers DB'!H:H)</f>
        <v>No</v>
      </c>
      <c r="I101" s="8" t="str">
        <f>_xlfn.XLOOKUP($A101,'RAWDATA Cars Buyers DB'!$A:$A,'RAWDATA Cars Buyers DB'!I:I)</f>
        <v>0–1 Kilometre</v>
      </c>
      <c r="J101" s="8" t="str">
        <f>_xlfn.XLOOKUP($A101,'RAWDATA Cars Buyers DB'!$A:$A,'RAWDATA Cars Buyers DB'!J:J)</f>
        <v>Saxony-Anhalt</v>
      </c>
      <c r="K101" s="8">
        <f>_xlfn.XLOOKUP($A101,'RAWDATA Cars Buyers DB'!$A:$A,'RAWDATA Cars Buyers DB'!K:K)</f>
        <v>56</v>
      </c>
      <c r="L101" s="10" t="str">
        <f>IF(_xlfn.XLOOKUP($A101,'RAWDATA Cars Buyers DB'!$A:$A,'RAWDATA Cars Buyers DB'!K:K)&gt;54,"Old ",IF(_xlfn.XLOOKUP($A101,'RAWDATA Cars Buyers DB'!$A:$A,'RAWDATA Cars Buyers DB'!K:K)&gt;=31,"Middle Age ",IF(_xlfn.XLOOKUP($A101,'RAWDATA Cars Buyers DB'!$A:$A,'RAWDATA Cars Buyers DB'!K:K)&lt;31,"Adolescent","Invalid")))</f>
        <v xml:space="preserve">Old </v>
      </c>
      <c r="M101" s="8" t="str">
        <f>_xlfn.XLOOKUP($A101,'RAWDATA Cars Buyers DB'!$A:$A,'RAWDATA Cars Buyers DB'!L:L)</f>
        <v>Yes</v>
      </c>
    </row>
    <row r="102" spans="1:13">
      <c r="A102" s="6">
        <v>43159</v>
      </c>
      <c r="B102" s="10" t="str">
        <f>IF(_xlfn.XLOOKUP($A102,'RAWDATA Cars Buyers DB'!$A:$A,'RAWDATA Cars Buyers DB'!B:B)="S","Single","Married")</f>
        <v>Married</v>
      </c>
      <c r="C102" s="10" t="str">
        <f>IF(_xlfn.XLOOKUP($A102,'RAWDATA Cars Buyers DB'!$A:$A,'RAWDATA Cars Buyers DB'!C:C)="F","Female","Male")</f>
        <v>Female</v>
      </c>
      <c r="D102" s="7">
        <f>_xlfn.XLOOKUP($A102,'RAWDATA Cars Buyers DB'!$A:$A,'RAWDATA Cars Buyers DB'!D:D)</f>
        <v>56636</v>
      </c>
      <c r="E102" s="8">
        <f>_xlfn.XLOOKUP($A102,'RAWDATA Cars Buyers DB'!$A:$A,'RAWDATA Cars Buyers DB'!E:E)</f>
        <v>3</v>
      </c>
      <c r="F102" s="8" t="str">
        <f>_xlfn.XLOOKUP($A102,'RAWDATA Cars Buyers DB'!$A:$A,'RAWDATA Cars Buyers DB'!F:F)</f>
        <v>Bachelors</v>
      </c>
      <c r="G102" s="8" t="str">
        <f>_xlfn.XLOOKUP($A102,'RAWDATA Cars Buyers DB'!$A:$A,'RAWDATA Cars Buyers DB'!G:G)</f>
        <v>Skilled Manual</v>
      </c>
      <c r="H102" s="8" t="str">
        <f>_xlfn.XLOOKUP($A102,'RAWDATA Cars Buyers DB'!$A:$A,'RAWDATA Cars Buyers DB'!H:H)</f>
        <v>Yes</v>
      </c>
      <c r="I102" s="8" t="str">
        <f>_xlfn.XLOOKUP($A102,'RAWDATA Cars Buyers DB'!$A:$A,'RAWDATA Cars Buyers DB'!I:I)</f>
        <v>6+ Kilometre</v>
      </c>
      <c r="J102" s="8" t="str">
        <f>_xlfn.XLOOKUP($A102,'RAWDATA Cars Buyers DB'!$A:$A,'RAWDATA Cars Buyers DB'!J:J)</f>
        <v>Berlin</v>
      </c>
      <c r="K102" s="8">
        <f>_xlfn.XLOOKUP($A102,'RAWDATA Cars Buyers DB'!$A:$A,'RAWDATA Cars Buyers DB'!K:K)</f>
        <v>57</v>
      </c>
      <c r="L102" s="10" t="str">
        <f>IF(_xlfn.XLOOKUP($A102,'RAWDATA Cars Buyers DB'!$A:$A,'RAWDATA Cars Buyers DB'!K:K)&gt;54,"Old ",IF(_xlfn.XLOOKUP($A102,'RAWDATA Cars Buyers DB'!$A:$A,'RAWDATA Cars Buyers DB'!K:K)&gt;=31,"Middle Age ",IF(_xlfn.XLOOKUP($A102,'RAWDATA Cars Buyers DB'!$A:$A,'RAWDATA Cars Buyers DB'!K:K)&lt;31,"Adolescent","Invalid")))</f>
        <v xml:space="preserve">Old </v>
      </c>
      <c r="M102" s="8" t="str">
        <f>_xlfn.XLOOKUP($A102,'RAWDATA Cars Buyers DB'!$A:$A,'RAWDATA Cars Buyers DB'!L:L)</f>
        <v>Yes</v>
      </c>
    </row>
    <row r="103" spans="1:13">
      <c r="A103" s="6">
        <v>23986</v>
      </c>
      <c r="B103" s="10" t="str">
        <f>IF(_xlfn.XLOOKUP($A103,'RAWDATA Cars Buyers DB'!$A:$A,'RAWDATA Cars Buyers DB'!B:B)="S","Single","Married")</f>
        <v>Married</v>
      </c>
      <c r="C103" s="10" t="str">
        <f>IF(_xlfn.XLOOKUP($A103,'RAWDATA Cars Buyers DB'!$A:$A,'RAWDATA Cars Buyers DB'!C:C)="F","Female","Male")</f>
        <v>Female</v>
      </c>
      <c r="D103" s="7">
        <f>_xlfn.XLOOKUP($A103,'RAWDATA Cars Buyers DB'!$A:$A,'RAWDATA Cars Buyers DB'!D:D)</f>
        <v>106120</v>
      </c>
      <c r="E103" s="8">
        <f>_xlfn.XLOOKUP($A103,'RAWDATA Cars Buyers DB'!$A:$A,'RAWDATA Cars Buyers DB'!E:E)</f>
        <v>0</v>
      </c>
      <c r="F103" s="8" t="str">
        <f>_xlfn.XLOOKUP($A103,'RAWDATA Cars Buyers DB'!$A:$A,'RAWDATA Cars Buyers DB'!F:F)</f>
        <v>Partial College</v>
      </c>
      <c r="G103" s="8" t="str">
        <f>_xlfn.XLOOKUP($A103,'RAWDATA Cars Buyers DB'!$A:$A,'RAWDATA Cars Buyers DB'!G:G)</f>
        <v>Management</v>
      </c>
      <c r="H103" s="8" t="str">
        <f>_xlfn.XLOOKUP($A103,'RAWDATA Cars Buyers DB'!$A:$A,'RAWDATA Cars Buyers DB'!H:H)</f>
        <v>Yes</v>
      </c>
      <c r="I103" s="8" t="str">
        <f>_xlfn.XLOOKUP($A103,'RAWDATA Cars Buyers DB'!$A:$A,'RAWDATA Cars Buyers DB'!I:I)</f>
        <v>6+ Kilometre</v>
      </c>
      <c r="J103" s="8" t="str">
        <f>_xlfn.XLOOKUP($A103,'RAWDATA Cars Buyers DB'!$A:$A,'RAWDATA Cars Buyers DB'!J:J)</f>
        <v>Rhineland-Palatinate</v>
      </c>
      <c r="K103" s="8">
        <f>_xlfn.XLOOKUP($A103,'RAWDATA Cars Buyers DB'!$A:$A,'RAWDATA Cars Buyers DB'!K:K)</f>
        <v>49</v>
      </c>
      <c r="L103" s="10" t="str">
        <f>IF(_xlfn.XLOOKUP($A103,'RAWDATA Cars Buyers DB'!$A:$A,'RAWDATA Cars Buyers DB'!K:K)&gt;54,"Old ",IF(_xlfn.XLOOKUP($A103,'RAWDATA Cars Buyers DB'!$A:$A,'RAWDATA Cars Buyers DB'!K:K)&gt;=31,"Middle Age ",IF(_xlfn.XLOOKUP($A103,'RAWDATA Cars Buyers DB'!$A:$A,'RAWDATA Cars Buyers DB'!K:K)&lt;31,"Adolescent","Invalid")))</f>
        <v xml:space="preserve">Middle Age </v>
      </c>
      <c r="M103" s="8" t="str">
        <f>_xlfn.XLOOKUP($A103,'RAWDATA Cars Buyers DB'!$A:$A,'RAWDATA Cars Buyers DB'!L:L)</f>
        <v>Yes</v>
      </c>
    </row>
    <row r="104" spans="1:13">
      <c r="A104" s="6">
        <v>71858</v>
      </c>
      <c r="B104" s="10" t="str">
        <f>IF(_xlfn.XLOOKUP($A104,'RAWDATA Cars Buyers DB'!$A:$A,'RAWDATA Cars Buyers DB'!B:B)="S","Single","Married")</f>
        <v>Married</v>
      </c>
      <c r="C104" s="10" t="str">
        <f>IF(_xlfn.XLOOKUP($A104,'RAWDATA Cars Buyers DB'!$A:$A,'RAWDATA Cars Buyers DB'!C:C)="F","Female","Male")</f>
        <v>Female</v>
      </c>
      <c r="D104" s="7">
        <f>_xlfn.XLOOKUP($A104,'RAWDATA Cars Buyers DB'!$A:$A,'RAWDATA Cars Buyers DB'!D:D)</f>
        <v>71649</v>
      </c>
      <c r="E104" s="8">
        <f>_xlfn.XLOOKUP($A104,'RAWDATA Cars Buyers DB'!$A:$A,'RAWDATA Cars Buyers DB'!E:E)</f>
        <v>5</v>
      </c>
      <c r="F104" s="8" t="str">
        <f>_xlfn.XLOOKUP($A104,'RAWDATA Cars Buyers DB'!$A:$A,'RAWDATA Cars Buyers DB'!F:F)</f>
        <v>Graduate Degree</v>
      </c>
      <c r="G104" s="8" t="str">
        <f>_xlfn.XLOOKUP($A104,'RAWDATA Cars Buyers DB'!$A:$A,'RAWDATA Cars Buyers DB'!G:G)</f>
        <v>Professional</v>
      </c>
      <c r="H104" s="8" t="str">
        <f>_xlfn.XLOOKUP($A104,'RAWDATA Cars Buyers DB'!$A:$A,'RAWDATA Cars Buyers DB'!H:H)</f>
        <v>Yes</v>
      </c>
      <c r="I104" s="8" t="str">
        <f>_xlfn.XLOOKUP($A104,'RAWDATA Cars Buyers DB'!$A:$A,'RAWDATA Cars Buyers DB'!I:I)</f>
        <v>1–2 Kilometre</v>
      </c>
      <c r="J104" s="8" t="str">
        <f>_xlfn.XLOOKUP($A104,'RAWDATA Cars Buyers DB'!$A:$A,'RAWDATA Cars Buyers DB'!J:J)</f>
        <v>North Rhine-Westphalia</v>
      </c>
      <c r="K104" s="8">
        <f>_xlfn.XLOOKUP($A104,'RAWDATA Cars Buyers DB'!$A:$A,'RAWDATA Cars Buyers DB'!K:K)</f>
        <v>46</v>
      </c>
      <c r="L104" s="10" t="str">
        <f>IF(_xlfn.XLOOKUP($A104,'RAWDATA Cars Buyers DB'!$A:$A,'RAWDATA Cars Buyers DB'!K:K)&gt;54,"Old ",IF(_xlfn.XLOOKUP($A104,'RAWDATA Cars Buyers DB'!$A:$A,'RAWDATA Cars Buyers DB'!K:K)&gt;=31,"Middle Age ",IF(_xlfn.XLOOKUP($A104,'RAWDATA Cars Buyers DB'!$A:$A,'RAWDATA Cars Buyers DB'!K:K)&lt;31,"Adolescent","Invalid")))</f>
        <v xml:space="preserve">Middle Age </v>
      </c>
      <c r="M104" s="8" t="str">
        <f>_xlfn.XLOOKUP($A104,'RAWDATA Cars Buyers DB'!$A:$A,'RAWDATA Cars Buyers DB'!L:L)</f>
        <v>Yes</v>
      </c>
    </row>
    <row r="105" spans="1:13">
      <c r="A105" s="6">
        <v>22666</v>
      </c>
      <c r="B105" s="10" t="str">
        <f>IF(_xlfn.XLOOKUP($A105,'RAWDATA Cars Buyers DB'!$A:$A,'RAWDATA Cars Buyers DB'!B:B)="S","Single","Married")</f>
        <v>Married</v>
      </c>
      <c r="C105" s="10" t="str">
        <f>IF(_xlfn.XLOOKUP($A105,'RAWDATA Cars Buyers DB'!$A:$A,'RAWDATA Cars Buyers DB'!C:C)="F","Female","Male")</f>
        <v>Male</v>
      </c>
      <c r="D105" s="7">
        <f>_xlfn.XLOOKUP($A105,'RAWDATA Cars Buyers DB'!$A:$A,'RAWDATA Cars Buyers DB'!D:D)</f>
        <v>54610</v>
      </c>
      <c r="E105" s="8">
        <f>_xlfn.XLOOKUP($A105,'RAWDATA Cars Buyers DB'!$A:$A,'RAWDATA Cars Buyers DB'!E:E)</f>
        <v>0</v>
      </c>
      <c r="F105" s="8" t="str">
        <f>_xlfn.XLOOKUP($A105,'RAWDATA Cars Buyers DB'!$A:$A,'RAWDATA Cars Buyers DB'!F:F)</f>
        <v>High School</v>
      </c>
      <c r="G105" s="8" t="str">
        <f>_xlfn.XLOOKUP($A105,'RAWDATA Cars Buyers DB'!$A:$A,'RAWDATA Cars Buyers DB'!G:G)</f>
        <v>Skilled Manual</v>
      </c>
      <c r="H105" s="8" t="str">
        <f>_xlfn.XLOOKUP($A105,'RAWDATA Cars Buyers DB'!$A:$A,'RAWDATA Cars Buyers DB'!H:H)</f>
        <v>Yes</v>
      </c>
      <c r="I105" s="8" t="str">
        <f>_xlfn.XLOOKUP($A105,'RAWDATA Cars Buyers DB'!$A:$A,'RAWDATA Cars Buyers DB'!I:I)</f>
        <v>0–1 Kilometre</v>
      </c>
      <c r="J105" s="8" t="str">
        <f>_xlfn.XLOOKUP($A105,'RAWDATA Cars Buyers DB'!$A:$A,'RAWDATA Cars Buyers DB'!J:J)</f>
        <v>Hamburg</v>
      </c>
      <c r="K105" s="8">
        <f>_xlfn.XLOOKUP($A105,'RAWDATA Cars Buyers DB'!$A:$A,'RAWDATA Cars Buyers DB'!K:K)</f>
        <v>58</v>
      </c>
      <c r="L105" s="10" t="str">
        <f>IF(_xlfn.XLOOKUP($A105,'RAWDATA Cars Buyers DB'!$A:$A,'RAWDATA Cars Buyers DB'!K:K)&gt;54,"Old ",IF(_xlfn.XLOOKUP($A105,'RAWDATA Cars Buyers DB'!$A:$A,'RAWDATA Cars Buyers DB'!K:K)&gt;=31,"Middle Age ",IF(_xlfn.XLOOKUP($A105,'RAWDATA Cars Buyers DB'!$A:$A,'RAWDATA Cars Buyers DB'!K:K)&lt;31,"Adolescent","Invalid")))</f>
        <v xml:space="preserve">Old </v>
      </c>
      <c r="M105" s="8" t="str">
        <f>_xlfn.XLOOKUP($A105,'RAWDATA Cars Buyers DB'!$A:$A,'RAWDATA Cars Buyers DB'!L:L)</f>
        <v>No</v>
      </c>
    </row>
    <row r="106" spans="1:13">
      <c r="A106" s="6">
        <v>48660</v>
      </c>
      <c r="B106" s="10" t="str">
        <f>IF(_xlfn.XLOOKUP($A106,'RAWDATA Cars Buyers DB'!$A:$A,'RAWDATA Cars Buyers DB'!B:B)="S","Single","Married")</f>
        <v>Married</v>
      </c>
      <c r="C106" s="10" t="str">
        <f>IF(_xlfn.XLOOKUP($A106,'RAWDATA Cars Buyers DB'!$A:$A,'RAWDATA Cars Buyers DB'!C:C)="F","Female","Male")</f>
        <v>Male</v>
      </c>
      <c r="D106" s="7">
        <f>_xlfn.XLOOKUP($A106,'RAWDATA Cars Buyers DB'!$A:$A,'RAWDATA Cars Buyers DB'!D:D)</f>
        <v>30058</v>
      </c>
      <c r="E106" s="8">
        <f>_xlfn.XLOOKUP($A106,'RAWDATA Cars Buyers DB'!$A:$A,'RAWDATA Cars Buyers DB'!E:E)</f>
        <v>4</v>
      </c>
      <c r="F106" s="8" t="str">
        <f>_xlfn.XLOOKUP($A106,'RAWDATA Cars Buyers DB'!$A:$A,'RAWDATA Cars Buyers DB'!F:F)</f>
        <v>High School</v>
      </c>
      <c r="G106" s="8" t="str">
        <f>_xlfn.XLOOKUP($A106,'RAWDATA Cars Buyers DB'!$A:$A,'RAWDATA Cars Buyers DB'!G:G)</f>
        <v>Professional</v>
      </c>
      <c r="H106" s="8" t="str">
        <f>_xlfn.XLOOKUP($A106,'RAWDATA Cars Buyers DB'!$A:$A,'RAWDATA Cars Buyers DB'!H:H)</f>
        <v>Yes</v>
      </c>
      <c r="I106" s="8" t="str">
        <f>_xlfn.XLOOKUP($A106,'RAWDATA Cars Buyers DB'!$A:$A,'RAWDATA Cars Buyers DB'!I:I)</f>
        <v>0–1 Kilometre</v>
      </c>
      <c r="J106" s="8" t="str">
        <f>_xlfn.XLOOKUP($A106,'RAWDATA Cars Buyers DB'!$A:$A,'RAWDATA Cars Buyers DB'!J:J)</f>
        <v>Rhineland-Palatinate</v>
      </c>
      <c r="K106" s="8">
        <f>_xlfn.XLOOKUP($A106,'RAWDATA Cars Buyers DB'!$A:$A,'RAWDATA Cars Buyers DB'!K:K)</f>
        <v>34</v>
      </c>
      <c r="L106" s="10" t="str">
        <f>IF(_xlfn.XLOOKUP($A106,'RAWDATA Cars Buyers DB'!$A:$A,'RAWDATA Cars Buyers DB'!K:K)&gt;54,"Old ",IF(_xlfn.XLOOKUP($A106,'RAWDATA Cars Buyers DB'!$A:$A,'RAWDATA Cars Buyers DB'!K:K)&gt;=31,"Middle Age ",IF(_xlfn.XLOOKUP($A106,'RAWDATA Cars Buyers DB'!$A:$A,'RAWDATA Cars Buyers DB'!K:K)&lt;31,"Adolescent","Invalid")))</f>
        <v xml:space="preserve">Middle Age </v>
      </c>
      <c r="M106" s="8" t="str">
        <f>_xlfn.XLOOKUP($A106,'RAWDATA Cars Buyers DB'!$A:$A,'RAWDATA Cars Buyers DB'!L:L)</f>
        <v>No</v>
      </c>
    </row>
    <row r="107" spans="1:13">
      <c r="A107" s="6">
        <v>13561</v>
      </c>
      <c r="B107" s="10" t="str">
        <f>IF(_xlfn.XLOOKUP($A107,'RAWDATA Cars Buyers DB'!$A:$A,'RAWDATA Cars Buyers DB'!B:B)="S","Single","Married")</f>
        <v>Married</v>
      </c>
      <c r="C107" s="10" t="str">
        <f>IF(_xlfn.XLOOKUP($A107,'RAWDATA Cars Buyers DB'!$A:$A,'RAWDATA Cars Buyers DB'!C:C)="F","Female","Male")</f>
        <v>Male</v>
      </c>
      <c r="D107" s="7">
        <f>_xlfn.XLOOKUP($A107,'RAWDATA Cars Buyers DB'!$A:$A,'RAWDATA Cars Buyers DB'!D:D)</f>
        <v>94637</v>
      </c>
      <c r="E107" s="8">
        <f>_xlfn.XLOOKUP($A107,'RAWDATA Cars Buyers DB'!$A:$A,'RAWDATA Cars Buyers DB'!E:E)</f>
        <v>0</v>
      </c>
      <c r="F107" s="8" t="str">
        <f>_xlfn.XLOOKUP($A107,'RAWDATA Cars Buyers DB'!$A:$A,'RAWDATA Cars Buyers DB'!F:F)</f>
        <v>Bachelors</v>
      </c>
      <c r="G107" s="8" t="str">
        <f>_xlfn.XLOOKUP($A107,'RAWDATA Cars Buyers DB'!$A:$A,'RAWDATA Cars Buyers DB'!G:G)</f>
        <v>Professional</v>
      </c>
      <c r="H107" s="8" t="str">
        <f>_xlfn.XLOOKUP($A107,'RAWDATA Cars Buyers DB'!$A:$A,'RAWDATA Cars Buyers DB'!H:H)</f>
        <v>No</v>
      </c>
      <c r="I107" s="8" t="str">
        <f>_xlfn.XLOOKUP($A107,'RAWDATA Cars Buyers DB'!$A:$A,'RAWDATA Cars Buyers DB'!I:I)</f>
        <v>0–1 Kilometre</v>
      </c>
      <c r="J107" s="8" t="str">
        <f>_xlfn.XLOOKUP($A107,'RAWDATA Cars Buyers DB'!$A:$A,'RAWDATA Cars Buyers DB'!J:J)</f>
        <v>Schleswig-Holstein</v>
      </c>
      <c r="K107" s="8">
        <f>_xlfn.XLOOKUP($A107,'RAWDATA Cars Buyers DB'!$A:$A,'RAWDATA Cars Buyers DB'!K:K)</f>
        <v>45</v>
      </c>
      <c r="L107" s="10" t="str">
        <f>IF(_xlfn.XLOOKUP($A107,'RAWDATA Cars Buyers DB'!$A:$A,'RAWDATA Cars Buyers DB'!K:K)&gt;54,"Old ",IF(_xlfn.XLOOKUP($A107,'RAWDATA Cars Buyers DB'!$A:$A,'RAWDATA Cars Buyers DB'!K:K)&gt;=31,"Middle Age ",IF(_xlfn.XLOOKUP($A107,'RAWDATA Cars Buyers DB'!$A:$A,'RAWDATA Cars Buyers DB'!K:K)&lt;31,"Adolescent","Invalid")))</f>
        <v xml:space="preserve">Middle Age </v>
      </c>
      <c r="M107" s="8" t="str">
        <f>_xlfn.XLOOKUP($A107,'RAWDATA Cars Buyers DB'!$A:$A,'RAWDATA Cars Buyers DB'!L:L)</f>
        <v>Yes</v>
      </c>
    </row>
    <row r="108" spans="1:13">
      <c r="A108" s="6">
        <v>36854</v>
      </c>
      <c r="B108" s="10" t="str">
        <f>IF(_xlfn.XLOOKUP($A108,'RAWDATA Cars Buyers DB'!$A:$A,'RAWDATA Cars Buyers DB'!B:B)="S","Single","Married")</f>
        <v>Single</v>
      </c>
      <c r="C108" s="10" t="str">
        <f>IF(_xlfn.XLOOKUP($A108,'RAWDATA Cars Buyers DB'!$A:$A,'RAWDATA Cars Buyers DB'!C:C)="F","Female","Male")</f>
        <v>Female</v>
      </c>
      <c r="D108" s="7">
        <f>_xlfn.XLOOKUP($A108,'RAWDATA Cars Buyers DB'!$A:$A,'RAWDATA Cars Buyers DB'!D:D)</f>
        <v>98033</v>
      </c>
      <c r="E108" s="8">
        <f>_xlfn.XLOOKUP($A108,'RAWDATA Cars Buyers DB'!$A:$A,'RAWDATA Cars Buyers DB'!E:E)</f>
        <v>3</v>
      </c>
      <c r="F108" s="8" t="str">
        <f>_xlfn.XLOOKUP($A108,'RAWDATA Cars Buyers DB'!$A:$A,'RAWDATA Cars Buyers DB'!F:F)</f>
        <v>Bachelors</v>
      </c>
      <c r="G108" s="8" t="str">
        <f>_xlfn.XLOOKUP($A108,'RAWDATA Cars Buyers DB'!$A:$A,'RAWDATA Cars Buyers DB'!G:G)</f>
        <v>Clerical</v>
      </c>
      <c r="H108" s="8" t="str">
        <f>_xlfn.XLOOKUP($A108,'RAWDATA Cars Buyers DB'!$A:$A,'RAWDATA Cars Buyers DB'!H:H)</f>
        <v>No</v>
      </c>
      <c r="I108" s="8" t="str">
        <f>_xlfn.XLOOKUP($A108,'RAWDATA Cars Buyers DB'!$A:$A,'RAWDATA Cars Buyers DB'!I:I)</f>
        <v>4–6 Kilometre</v>
      </c>
      <c r="J108" s="8" t="str">
        <f>_xlfn.XLOOKUP($A108,'RAWDATA Cars Buyers DB'!$A:$A,'RAWDATA Cars Buyers DB'!J:J)</f>
        <v>Rhineland-Palatinate</v>
      </c>
      <c r="K108" s="8">
        <f>_xlfn.XLOOKUP($A108,'RAWDATA Cars Buyers DB'!$A:$A,'RAWDATA Cars Buyers DB'!K:K)</f>
        <v>20</v>
      </c>
      <c r="L108" s="10" t="str">
        <f>IF(_xlfn.XLOOKUP($A108,'RAWDATA Cars Buyers DB'!$A:$A,'RAWDATA Cars Buyers DB'!K:K)&gt;54,"Old ",IF(_xlfn.XLOOKUP($A108,'RAWDATA Cars Buyers DB'!$A:$A,'RAWDATA Cars Buyers DB'!K:K)&gt;=31,"Middle Age ",IF(_xlfn.XLOOKUP($A108,'RAWDATA Cars Buyers DB'!$A:$A,'RAWDATA Cars Buyers DB'!K:K)&lt;31,"Adolescent","Invalid")))</f>
        <v>Adolescent</v>
      </c>
      <c r="M108" s="8" t="str">
        <f>_xlfn.XLOOKUP($A108,'RAWDATA Cars Buyers DB'!$A:$A,'RAWDATA Cars Buyers DB'!L:L)</f>
        <v>No</v>
      </c>
    </row>
    <row r="109" spans="1:13">
      <c r="A109" s="6">
        <v>74505</v>
      </c>
      <c r="B109" s="10" t="str">
        <f>IF(_xlfn.XLOOKUP($A109,'RAWDATA Cars Buyers DB'!$A:$A,'RAWDATA Cars Buyers DB'!B:B)="S","Single","Married")</f>
        <v>Married</v>
      </c>
      <c r="C109" s="10" t="str">
        <f>IF(_xlfn.XLOOKUP($A109,'RAWDATA Cars Buyers DB'!$A:$A,'RAWDATA Cars Buyers DB'!C:C)="F","Female","Male")</f>
        <v>Male</v>
      </c>
      <c r="D109" s="7">
        <f>_xlfn.XLOOKUP($A109,'RAWDATA Cars Buyers DB'!$A:$A,'RAWDATA Cars Buyers DB'!D:D)</f>
        <v>90194</v>
      </c>
      <c r="E109" s="8">
        <f>_xlfn.XLOOKUP($A109,'RAWDATA Cars Buyers DB'!$A:$A,'RAWDATA Cars Buyers DB'!E:E)</f>
        <v>5</v>
      </c>
      <c r="F109" s="8" t="str">
        <f>_xlfn.XLOOKUP($A109,'RAWDATA Cars Buyers DB'!$A:$A,'RAWDATA Cars Buyers DB'!F:F)</f>
        <v>Bachelors</v>
      </c>
      <c r="G109" s="8" t="str">
        <f>_xlfn.XLOOKUP($A109,'RAWDATA Cars Buyers DB'!$A:$A,'RAWDATA Cars Buyers DB'!G:G)</f>
        <v>Management</v>
      </c>
      <c r="H109" s="8" t="str">
        <f>_xlfn.XLOOKUP($A109,'RAWDATA Cars Buyers DB'!$A:$A,'RAWDATA Cars Buyers DB'!H:H)</f>
        <v>No</v>
      </c>
      <c r="I109" s="8" t="str">
        <f>_xlfn.XLOOKUP($A109,'RAWDATA Cars Buyers DB'!$A:$A,'RAWDATA Cars Buyers DB'!I:I)</f>
        <v>4–6 Kilometre</v>
      </c>
      <c r="J109" s="8" t="str">
        <f>_xlfn.XLOOKUP($A109,'RAWDATA Cars Buyers DB'!$A:$A,'RAWDATA Cars Buyers DB'!J:J)</f>
        <v>North Rhine-Westphalia</v>
      </c>
      <c r="K109" s="8">
        <f>_xlfn.XLOOKUP($A109,'RAWDATA Cars Buyers DB'!$A:$A,'RAWDATA Cars Buyers DB'!K:K)</f>
        <v>23</v>
      </c>
      <c r="L109" s="10" t="str">
        <f>IF(_xlfn.XLOOKUP($A109,'RAWDATA Cars Buyers DB'!$A:$A,'RAWDATA Cars Buyers DB'!K:K)&gt;54,"Old ",IF(_xlfn.XLOOKUP($A109,'RAWDATA Cars Buyers DB'!$A:$A,'RAWDATA Cars Buyers DB'!K:K)&gt;=31,"Middle Age ",IF(_xlfn.XLOOKUP($A109,'RAWDATA Cars Buyers DB'!$A:$A,'RAWDATA Cars Buyers DB'!K:K)&lt;31,"Adolescent","Invalid")))</f>
        <v>Adolescent</v>
      </c>
      <c r="M109" s="8" t="str">
        <f>_xlfn.XLOOKUP($A109,'RAWDATA Cars Buyers DB'!$A:$A,'RAWDATA Cars Buyers DB'!L:L)</f>
        <v>No</v>
      </c>
    </row>
    <row r="110" spans="1:13">
      <c r="A110" s="6">
        <v>32662</v>
      </c>
      <c r="B110" s="10" t="str">
        <f>IF(_xlfn.XLOOKUP($A110,'RAWDATA Cars Buyers DB'!$A:$A,'RAWDATA Cars Buyers DB'!B:B)="S","Single","Married")</f>
        <v>Single</v>
      </c>
      <c r="C110" s="10" t="str">
        <f>IF(_xlfn.XLOOKUP($A110,'RAWDATA Cars Buyers DB'!$A:$A,'RAWDATA Cars Buyers DB'!C:C)="F","Female","Male")</f>
        <v>Male</v>
      </c>
      <c r="D110" s="7">
        <f>_xlfn.XLOOKUP($A110,'RAWDATA Cars Buyers DB'!$A:$A,'RAWDATA Cars Buyers DB'!D:D)</f>
        <v>84200</v>
      </c>
      <c r="E110" s="8">
        <f>_xlfn.XLOOKUP($A110,'RAWDATA Cars Buyers DB'!$A:$A,'RAWDATA Cars Buyers DB'!E:E)</f>
        <v>5</v>
      </c>
      <c r="F110" s="8" t="str">
        <f>_xlfn.XLOOKUP($A110,'RAWDATA Cars Buyers DB'!$A:$A,'RAWDATA Cars Buyers DB'!F:F)</f>
        <v>High School</v>
      </c>
      <c r="G110" s="8" t="str">
        <f>_xlfn.XLOOKUP($A110,'RAWDATA Cars Buyers DB'!$A:$A,'RAWDATA Cars Buyers DB'!G:G)</f>
        <v>Management</v>
      </c>
      <c r="H110" s="8" t="str">
        <f>_xlfn.XLOOKUP($A110,'RAWDATA Cars Buyers DB'!$A:$A,'RAWDATA Cars Buyers DB'!H:H)</f>
        <v>Yes</v>
      </c>
      <c r="I110" s="8" t="str">
        <f>_xlfn.XLOOKUP($A110,'RAWDATA Cars Buyers DB'!$A:$A,'RAWDATA Cars Buyers DB'!I:I)</f>
        <v>0–1 Kilometre</v>
      </c>
      <c r="J110" s="8" t="str">
        <f>_xlfn.XLOOKUP($A110,'RAWDATA Cars Buyers DB'!$A:$A,'RAWDATA Cars Buyers DB'!J:J)</f>
        <v>Thuringia</v>
      </c>
      <c r="K110" s="8">
        <f>_xlfn.XLOOKUP($A110,'RAWDATA Cars Buyers DB'!$A:$A,'RAWDATA Cars Buyers DB'!K:K)</f>
        <v>20</v>
      </c>
      <c r="L110" s="10" t="str">
        <f>IF(_xlfn.XLOOKUP($A110,'RAWDATA Cars Buyers DB'!$A:$A,'RAWDATA Cars Buyers DB'!K:K)&gt;54,"Old ",IF(_xlfn.XLOOKUP($A110,'RAWDATA Cars Buyers DB'!$A:$A,'RAWDATA Cars Buyers DB'!K:K)&gt;=31,"Middle Age ",IF(_xlfn.XLOOKUP($A110,'RAWDATA Cars Buyers DB'!$A:$A,'RAWDATA Cars Buyers DB'!K:K)&lt;31,"Adolescent","Invalid")))</f>
        <v>Adolescent</v>
      </c>
      <c r="M110" s="8" t="str">
        <f>_xlfn.XLOOKUP($A110,'RAWDATA Cars Buyers DB'!$A:$A,'RAWDATA Cars Buyers DB'!L:L)</f>
        <v>Yes</v>
      </c>
    </row>
    <row r="111" spans="1:13">
      <c r="A111" s="6">
        <v>18392</v>
      </c>
      <c r="B111" s="10" t="str">
        <f>IF(_xlfn.XLOOKUP($A111,'RAWDATA Cars Buyers DB'!$A:$A,'RAWDATA Cars Buyers DB'!B:B)="S","Single","Married")</f>
        <v>Married</v>
      </c>
      <c r="C111" s="10" t="str">
        <f>IF(_xlfn.XLOOKUP($A111,'RAWDATA Cars Buyers DB'!$A:$A,'RAWDATA Cars Buyers DB'!C:C)="F","Female","Male")</f>
        <v>Female</v>
      </c>
      <c r="D111" s="7">
        <f>_xlfn.XLOOKUP($A111,'RAWDATA Cars Buyers DB'!$A:$A,'RAWDATA Cars Buyers DB'!D:D)</f>
        <v>66619</v>
      </c>
      <c r="E111" s="8">
        <f>_xlfn.XLOOKUP($A111,'RAWDATA Cars Buyers DB'!$A:$A,'RAWDATA Cars Buyers DB'!E:E)</f>
        <v>2</v>
      </c>
      <c r="F111" s="8" t="str">
        <f>_xlfn.XLOOKUP($A111,'RAWDATA Cars Buyers DB'!$A:$A,'RAWDATA Cars Buyers DB'!F:F)</f>
        <v>High School</v>
      </c>
      <c r="G111" s="8" t="str">
        <f>_xlfn.XLOOKUP($A111,'RAWDATA Cars Buyers DB'!$A:$A,'RAWDATA Cars Buyers DB'!G:G)</f>
        <v>Management</v>
      </c>
      <c r="H111" s="8" t="str">
        <f>_xlfn.XLOOKUP($A111,'RAWDATA Cars Buyers DB'!$A:$A,'RAWDATA Cars Buyers DB'!H:H)</f>
        <v>Yes</v>
      </c>
      <c r="I111" s="8" t="str">
        <f>_xlfn.XLOOKUP($A111,'RAWDATA Cars Buyers DB'!$A:$A,'RAWDATA Cars Buyers DB'!I:I)</f>
        <v>0–1 Kilometre</v>
      </c>
      <c r="J111" s="8" t="str">
        <f>_xlfn.XLOOKUP($A111,'RAWDATA Cars Buyers DB'!$A:$A,'RAWDATA Cars Buyers DB'!J:J)</f>
        <v>Mecklenburg-Vorpommern</v>
      </c>
      <c r="K111" s="8">
        <f>_xlfn.XLOOKUP($A111,'RAWDATA Cars Buyers DB'!$A:$A,'RAWDATA Cars Buyers DB'!K:K)</f>
        <v>62</v>
      </c>
      <c r="L111" s="10" t="str">
        <f>IF(_xlfn.XLOOKUP($A111,'RAWDATA Cars Buyers DB'!$A:$A,'RAWDATA Cars Buyers DB'!K:K)&gt;54,"Old ",IF(_xlfn.XLOOKUP($A111,'RAWDATA Cars Buyers DB'!$A:$A,'RAWDATA Cars Buyers DB'!K:K)&gt;=31,"Middle Age ",IF(_xlfn.XLOOKUP($A111,'RAWDATA Cars Buyers DB'!$A:$A,'RAWDATA Cars Buyers DB'!K:K)&lt;31,"Adolescent","Invalid")))</f>
        <v xml:space="preserve">Old </v>
      </c>
      <c r="M111" s="8" t="str">
        <f>_xlfn.XLOOKUP($A111,'RAWDATA Cars Buyers DB'!$A:$A,'RAWDATA Cars Buyers DB'!L:L)</f>
        <v>No</v>
      </c>
    </row>
    <row r="112" spans="1:13">
      <c r="A112" s="6">
        <v>40535</v>
      </c>
      <c r="B112" s="10" t="str">
        <f>IF(_xlfn.XLOOKUP($A112,'RAWDATA Cars Buyers DB'!$A:$A,'RAWDATA Cars Buyers DB'!B:B)="S","Single","Married")</f>
        <v>Single</v>
      </c>
      <c r="C112" s="10" t="str">
        <f>IF(_xlfn.XLOOKUP($A112,'RAWDATA Cars Buyers DB'!$A:$A,'RAWDATA Cars Buyers DB'!C:C)="F","Female","Male")</f>
        <v>Female</v>
      </c>
      <c r="D112" s="7">
        <f>_xlfn.XLOOKUP($A112,'RAWDATA Cars Buyers DB'!$A:$A,'RAWDATA Cars Buyers DB'!D:D)</f>
        <v>37154</v>
      </c>
      <c r="E112" s="8">
        <f>_xlfn.XLOOKUP($A112,'RAWDATA Cars Buyers DB'!$A:$A,'RAWDATA Cars Buyers DB'!E:E)</f>
        <v>0</v>
      </c>
      <c r="F112" s="8" t="str">
        <f>_xlfn.XLOOKUP($A112,'RAWDATA Cars Buyers DB'!$A:$A,'RAWDATA Cars Buyers DB'!F:F)</f>
        <v>Bachelors</v>
      </c>
      <c r="G112" s="8" t="str">
        <f>_xlfn.XLOOKUP($A112,'RAWDATA Cars Buyers DB'!$A:$A,'RAWDATA Cars Buyers DB'!G:G)</f>
        <v>Professional</v>
      </c>
      <c r="H112" s="8" t="str">
        <f>_xlfn.XLOOKUP($A112,'RAWDATA Cars Buyers DB'!$A:$A,'RAWDATA Cars Buyers DB'!H:H)</f>
        <v>No</v>
      </c>
      <c r="I112" s="8" t="str">
        <f>_xlfn.XLOOKUP($A112,'RAWDATA Cars Buyers DB'!$A:$A,'RAWDATA Cars Buyers DB'!I:I)</f>
        <v>6+ Kilometre</v>
      </c>
      <c r="J112" s="8" t="str">
        <f>_xlfn.XLOOKUP($A112,'RAWDATA Cars Buyers DB'!$A:$A,'RAWDATA Cars Buyers DB'!J:J)</f>
        <v>Hesse</v>
      </c>
      <c r="K112" s="8">
        <f>_xlfn.XLOOKUP($A112,'RAWDATA Cars Buyers DB'!$A:$A,'RAWDATA Cars Buyers DB'!K:K)</f>
        <v>69</v>
      </c>
      <c r="L112" s="10" t="str">
        <f>IF(_xlfn.XLOOKUP($A112,'RAWDATA Cars Buyers DB'!$A:$A,'RAWDATA Cars Buyers DB'!K:K)&gt;54,"Old ",IF(_xlfn.XLOOKUP($A112,'RAWDATA Cars Buyers DB'!$A:$A,'RAWDATA Cars Buyers DB'!K:K)&gt;=31,"Middle Age ",IF(_xlfn.XLOOKUP($A112,'RAWDATA Cars Buyers DB'!$A:$A,'RAWDATA Cars Buyers DB'!K:K)&lt;31,"Adolescent","Invalid")))</f>
        <v xml:space="preserve">Old </v>
      </c>
      <c r="M112" s="8" t="str">
        <f>_xlfn.XLOOKUP($A112,'RAWDATA Cars Buyers DB'!$A:$A,'RAWDATA Cars Buyers DB'!L:L)</f>
        <v>No</v>
      </c>
    </row>
    <row r="113" spans="1:13">
      <c r="A113" s="6">
        <v>88603</v>
      </c>
      <c r="B113" s="10" t="str">
        <f>IF(_xlfn.XLOOKUP($A113,'RAWDATA Cars Buyers DB'!$A:$A,'RAWDATA Cars Buyers DB'!B:B)="S","Single","Married")</f>
        <v>Single</v>
      </c>
      <c r="C113" s="10" t="str">
        <f>IF(_xlfn.XLOOKUP($A113,'RAWDATA Cars Buyers DB'!$A:$A,'RAWDATA Cars Buyers DB'!C:C)="F","Female","Male")</f>
        <v>Male</v>
      </c>
      <c r="D113" s="7">
        <f>_xlfn.XLOOKUP($A113,'RAWDATA Cars Buyers DB'!$A:$A,'RAWDATA Cars Buyers DB'!D:D)</f>
        <v>39539</v>
      </c>
      <c r="E113" s="8">
        <f>_xlfn.XLOOKUP($A113,'RAWDATA Cars Buyers DB'!$A:$A,'RAWDATA Cars Buyers DB'!E:E)</f>
        <v>5</v>
      </c>
      <c r="F113" s="8" t="str">
        <f>_xlfn.XLOOKUP($A113,'RAWDATA Cars Buyers DB'!$A:$A,'RAWDATA Cars Buyers DB'!F:F)</f>
        <v>Partial College</v>
      </c>
      <c r="G113" s="8" t="str">
        <f>_xlfn.XLOOKUP($A113,'RAWDATA Cars Buyers DB'!$A:$A,'RAWDATA Cars Buyers DB'!G:G)</f>
        <v>Management</v>
      </c>
      <c r="H113" s="8" t="str">
        <f>_xlfn.XLOOKUP($A113,'RAWDATA Cars Buyers DB'!$A:$A,'RAWDATA Cars Buyers DB'!H:H)</f>
        <v>Yes</v>
      </c>
      <c r="I113" s="8" t="str">
        <f>_xlfn.XLOOKUP($A113,'RAWDATA Cars Buyers DB'!$A:$A,'RAWDATA Cars Buyers DB'!I:I)</f>
        <v>6+ Kilometre</v>
      </c>
      <c r="J113" s="8" t="str">
        <f>_xlfn.XLOOKUP($A113,'RAWDATA Cars Buyers DB'!$A:$A,'RAWDATA Cars Buyers DB'!J:J)</f>
        <v>Hamburg</v>
      </c>
      <c r="K113" s="8">
        <f>_xlfn.XLOOKUP($A113,'RAWDATA Cars Buyers DB'!$A:$A,'RAWDATA Cars Buyers DB'!K:K)</f>
        <v>65</v>
      </c>
      <c r="L113" s="10" t="str">
        <f>IF(_xlfn.XLOOKUP($A113,'RAWDATA Cars Buyers DB'!$A:$A,'RAWDATA Cars Buyers DB'!K:K)&gt;54,"Old ",IF(_xlfn.XLOOKUP($A113,'RAWDATA Cars Buyers DB'!$A:$A,'RAWDATA Cars Buyers DB'!K:K)&gt;=31,"Middle Age ",IF(_xlfn.XLOOKUP($A113,'RAWDATA Cars Buyers DB'!$A:$A,'RAWDATA Cars Buyers DB'!K:K)&lt;31,"Adolescent","Invalid")))</f>
        <v xml:space="preserve">Old </v>
      </c>
      <c r="M113" s="8" t="str">
        <f>_xlfn.XLOOKUP($A113,'RAWDATA Cars Buyers DB'!$A:$A,'RAWDATA Cars Buyers DB'!L:L)</f>
        <v>No</v>
      </c>
    </row>
    <row r="114" spans="1:13">
      <c r="A114" s="6">
        <v>62256</v>
      </c>
      <c r="B114" s="10" t="str">
        <f>IF(_xlfn.XLOOKUP($A114,'RAWDATA Cars Buyers DB'!$A:$A,'RAWDATA Cars Buyers DB'!B:B)="S","Single","Married")</f>
        <v>Married</v>
      </c>
      <c r="C114" s="10" t="str">
        <f>IF(_xlfn.XLOOKUP($A114,'RAWDATA Cars Buyers DB'!$A:$A,'RAWDATA Cars Buyers DB'!C:C)="F","Female","Male")</f>
        <v>Female</v>
      </c>
      <c r="D114" s="7">
        <f>_xlfn.XLOOKUP($A114,'RAWDATA Cars Buyers DB'!$A:$A,'RAWDATA Cars Buyers DB'!D:D)</f>
        <v>80058</v>
      </c>
      <c r="E114" s="8">
        <f>_xlfn.XLOOKUP($A114,'RAWDATA Cars Buyers DB'!$A:$A,'RAWDATA Cars Buyers DB'!E:E)</f>
        <v>1</v>
      </c>
      <c r="F114" s="8" t="str">
        <f>_xlfn.XLOOKUP($A114,'RAWDATA Cars Buyers DB'!$A:$A,'RAWDATA Cars Buyers DB'!F:F)</f>
        <v>Bachelors</v>
      </c>
      <c r="G114" s="8" t="str">
        <f>_xlfn.XLOOKUP($A114,'RAWDATA Cars Buyers DB'!$A:$A,'RAWDATA Cars Buyers DB'!G:G)</f>
        <v>Professional</v>
      </c>
      <c r="H114" s="8" t="str">
        <f>_xlfn.XLOOKUP($A114,'RAWDATA Cars Buyers DB'!$A:$A,'RAWDATA Cars Buyers DB'!H:H)</f>
        <v>Yes</v>
      </c>
      <c r="I114" s="8" t="str">
        <f>_xlfn.XLOOKUP($A114,'RAWDATA Cars Buyers DB'!$A:$A,'RAWDATA Cars Buyers DB'!I:I)</f>
        <v>1–2 Kilometre</v>
      </c>
      <c r="J114" s="8" t="str">
        <f>_xlfn.XLOOKUP($A114,'RAWDATA Cars Buyers DB'!$A:$A,'RAWDATA Cars Buyers DB'!J:J)</f>
        <v>Bavaria</v>
      </c>
      <c r="K114" s="8">
        <f>_xlfn.XLOOKUP($A114,'RAWDATA Cars Buyers DB'!$A:$A,'RAWDATA Cars Buyers DB'!K:K)</f>
        <v>41</v>
      </c>
      <c r="L114" s="10" t="str">
        <f>IF(_xlfn.XLOOKUP($A114,'RAWDATA Cars Buyers DB'!$A:$A,'RAWDATA Cars Buyers DB'!K:K)&gt;54,"Old ",IF(_xlfn.XLOOKUP($A114,'RAWDATA Cars Buyers DB'!$A:$A,'RAWDATA Cars Buyers DB'!K:K)&gt;=31,"Middle Age ",IF(_xlfn.XLOOKUP($A114,'RAWDATA Cars Buyers DB'!$A:$A,'RAWDATA Cars Buyers DB'!K:K)&lt;31,"Adolescent","Invalid")))</f>
        <v xml:space="preserve">Middle Age </v>
      </c>
      <c r="M114" s="8" t="str">
        <f>_xlfn.XLOOKUP($A114,'RAWDATA Cars Buyers DB'!$A:$A,'RAWDATA Cars Buyers DB'!L:L)</f>
        <v>No</v>
      </c>
    </row>
    <row r="115" spans="1:13">
      <c r="A115" s="6">
        <v>99135</v>
      </c>
      <c r="B115" s="10" t="str">
        <f>IF(_xlfn.XLOOKUP($A115,'RAWDATA Cars Buyers DB'!$A:$A,'RAWDATA Cars Buyers DB'!B:B)="S","Single","Married")</f>
        <v>Single</v>
      </c>
      <c r="C115" s="10" t="str">
        <f>IF(_xlfn.XLOOKUP($A115,'RAWDATA Cars Buyers DB'!$A:$A,'RAWDATA Cars Buyers DB'!C:C)="F","Female","Male")</f>
        <v>Female</v>
      </c>
      <c r="D115" s="7">
        <f>_xlfn.XLOOKUP($A115,'RAWDATA Cars Buyers DB'!$A:$A,'RAWDATA Cars Buyers DB'!D:D)</f>
        <v>82068</v>
      </c>
      <c r="E115" s="8">
        <f>_xlfn.XLOOKUP($A115,'RAWDATA Cars Buyers DB'!$A:$A,'RAWDATA Cars Buyers DB'!E:E)</f>
        <v>0</v>
      </c>
      <c r="F115" s="8" t="str">
        <f>_xlfn.XLOOKUP($A115,'RAWDATA Cars Buyers DB'!$A:$A,'RAWDATA Cars Buyers DB'!F:F)</f>
        <v>Graduate Degree</v>
      </c>
      <c r="G115" s="8" t="str">
        <f>_xlfn.XLOOKUP($A115,'RAWDATA Cars Buyers DB'!$A:$A,'RAWDATA Cars Buyers DB'!G:G)</f>
        <v>Professional</v>
      </c>
      <c r="H115" s="8" t="str">
        <f>_xlfn.XLOOKUP($A115,'RAWDATA Cars Buyers DB'!$A:$A,'RAWDATA Cars Buyers DB'!H:H)</f>
        <v>No</v>
      </c>
      <c r="I115" s="8" t="str">
        <f>_xlfn.XLOOKUP($A115,'RAWDATA Cars Buyers DB'!$A:$A,'RAWDATA Cars Buyers DB'!I:I)</f>
        <v>0–1 Kilometre</v>
      </c>
      <c r="J115" s="8" t="str">
        <f>_xlfn.XLOOKUP($A115,'RAWDATA Cars Buyers DB'!$A:$A,'RAWDATA Cars Buyers DB'!J:J)</f>
        <v>Bremen</v>
      </c>
      <c r="K115" s="8">
        <f>_xlfn.XLOOKUP($A115,'RAWDATA Cars Buyers DB'!$A:$A,'RAWDATA Cars Buyers DB'!K:K)</f>
        <v>30</v>
      </c>
      <c r="L115" s="10" t="str">
        <f>IF(_xlfn.XLOOKUP($A115,'RAWDATA Cars Buyers DB'!$A:$A,'RAWDATA Cars Buyers DB'!K:K)&gt;54,"Old ",IF(_xlfn.XLOOKUP($A115,'RAWDATA Cars Buyers DB'!$A:$A,'RAWDATA Cars Buyers DB'!K:K)&gt;=31,"Middle Age ",IF(_xlfn.XLOOKUP($A115,'RAWDATA Cars Buyers DB'!$A:$A,'RAWDATA Cars Buyers DB'!K:K)&lt;31,"Adolescent","Invalid")))</f>
        <v>Adolescent</v>
      </c>
      <c r="M115" s="8" t="str">
        <f>_xlfn.XLOOKUP($A115,'RAWDATA Cars Buyers DB'!$A:$A,'RAWDATA Cars Buyers DB'!L:L)</f>
        <v>No</v>
      </c>
    </row>
    <row r="116" spans="1:13">
      <c r="A116" s="6">
        <v>45222</v>
      </c>
      <c r="B116" s="10" t="str">
        <f>IF(_xlfn.XLOOKUP($A116,'RAWDATA Cars Buyers DB'!$A:$A,'RAWDATA Cars Buyers DB'!B:B)="S","Single","Married")</f>
        <v>Married</v>
      </c>
      <c r="C116" s="10" t="str">
        <f>IF(_xlfn.XLOOKUP($A116,'RAWDATA Cars Buyers DB'!$A:$A,'RAWDATA Cars Buyers DB'!C:C)="F","Female","Male")</f>
        <v>Male</v>
      </c>
      <c r="D116" s="7">
        <f>_xlfn.XLOOKUP($A116,'RAWDATA Cars Buyers DB'!$A:$A,'RAWDATA Cars Buyers DB'!D:D)</f>
        <v>97313</v>
      </c>
      <c r="E116" s="8">
        <f>_xlfn.XLOOKUP($A116,'RAWDATA Cars Buyers DB'!$A:$A,'RAWDATA Cars Buyers DB'!E:E)</f>
        <v>2</v>
      </c>
      <c r="F116" s="8" t="str">
        <f>_xlfn.XLOOKUP($A116,'RAWDATA Cars Buyers DB'!$A:$A,'RAWDATA Cars Buyers DB'!F:F)</f>
        <v>Bachelors</v>
      </c>
      <c r="G116" s="8" t="str">
        <f>_xlfn.XLOOKUP($A116,'RAWDATA Cars Buyers DB'!$A:$A,'RAWDATA Cars Buyers DB'!G:G)</f>
        <v>Management</v>
      </c>
      <c r="H116" s="8" t="str">
        <f>_xlfn.XLOOKUP($A116,'RAWDATA Cars Buyers DB'!$A:$A,'RAWDATA Cars Buyers DB'!H:H)</f>
        <v>Yes</v>
      </c>
      <c r="I116" s="8" t="str">
        <f>_xlfn.XLOOKUP($A116,'RAWDATA Cars Buyers DB'!$A:$A,'RAWDATA Cars Buyers DB'!I:I)</f>
        <v>1–2 Kilometre</v>
      </c>
      <c r="J116" s="8" t="str">
        <f>_xlfn.XLOOKUP($A116,'RAWDATA Cars Buyers DB'!$A:$A,'RAWDATA Cars Buyers DB'!J:J)</f>
        <v>Saxony-Anhalt</v>
      </c>
      <c r="K116" s="8">
        <f>_xlfn.XLOOKUP($A116,'RAWDATA Cars Buyers DB'!$A:$A,'RAWDATA Cars Buyers DB'!K:K)</f>
        <v>29</v>
      </c>
      <c r="L116" s="10" t="str">
        <f>IF(_xlfn.XLOOKUP($A116,'RAWDATA Cars Buyers DB'!$A:$A,'RAWDATA Cars Buyers DB'!K:K)&gt;54,"Old ",IF(_xlfn.XLOOKUP($A116,'RAWDATA Cars Buyers DB'!$A:$A,'RAWDATA Cars Buyers DB'!K:K)&gt;=31,"Middle Age ",IF(_xlfn.XLOOKUP($A116,'RAWDATA Cars Buyers DB'!$A:$A,'RAWDATA Cars Buyers DB'!K:K)&lt;31,"Adolescent","Invalid")))</f>
        <v>Adolescent</v>
      </c>
      <c r="M116" s="8" t="str">
        <f>_xlfn.XLOOKUP($A116,'RAWDATA Cars Buyers DB'!$A:$A,'RAWDATA Cars Buyers DB'!L:L)</f>
        <v>Yes</v>
      </c>
    </row>
    <row r="117" spans="1:13">
      <c r="A117" s="6">
        <v>87373</v>
      </c>
      <c r="B117" s="10" t="str">
        <f>IF(_xlfn.XLOOKUP($A117,'RAWDATA Cars Buyers DB'!$A:$A,'RAWDATA Cars Buyers DB'!B:B)="S","Single","Married")</f>
        <v>Married</v>
      </c>
      <c r="C117" s="10" t="str">
        <f>IF(_xlfn.XLOOKUP($A117,'RAWDATA Cars Buyers DB'!$A:$A,'RAWDATA Cars Buyers DB'!C:C)="F","Female","Male")</f>
        <v>Female</v>
      </c>
      <c r="D117" s="7">
        <f>_xlfn.XLOOKUP($A117,'RAWDATA Cars Buyers DB'!$A:$A,'RAWDATA Cars Buyers DB'!D:D)</f>
        <v>119932</v>
      </c>
      <c r="E117" s="8">
        <f>_xlfn.XLOOKUP($A117,'RAWDATA Cars Buyers DB'!$A:$A,'RAWDATA Cars Buyers DB'!E:E)</f>
        <v>5</v>
      </c>
      <c r="F117" s="8" t="str">
        <f>_xlfn.XLOOKUP($A117,'RAWDATA Cars Buyers DB'!$A:$A,'RAWDATA Cars Buyers DB'!F:F)</f>
        <v>Bachelors</v>
      </c>
      <c r="G117" s="8" t="str">
        <f>_xlfn.XLOOKUP($A117,'RAWDATA Cars Buyers DB'!$A:$A,'RAWDATA Cars Buyers DB'!G:G)</f>
        <v>Professional</v>
      </c>
      <c r="H117" s="8" t="str">
        <f>_xlfn.XLOOKUP($A117,'RAWDATA Cars Buyers DB'!$A:$A,'RAWDATA Cars Buyers DB'!H:H)</f>
        <v>No</v>
      </c>
      <c r="I117" s="8" t="str">
        <f>_xlfn.XLOOKUP($A117,'RAWDATA Cars Buyers DB'!$A:$A,'RAWDATA Cars Buyers DB'!I:I)</f>
        <v>6+ Kilometre</v>
      </c>
      <c r="J117" s="8" t="str">
        <f>_xlfn.XLOOKUP($A117,'RAWDATA Cars Buyers DB'!$A:$A,'RAWDATA Cars Buyers DB'!J:J)</f>
        <v>Thuringia</v>
      </c>
      <c r="K117" s="8">
        <f>_xlfn.XLOOKUP($A117,'RAWDATA Cars Buyers DB'!$A:$A,'RAWDATA Cars Buyers DB'!K:K)</f>
        <v>36</v>
      </c>
      <c r="L117" s="10" t="str">
        <f>IF(_xlfn.XLOOKUP($A117,'RAWDATA Cars Buyers DB'!$A:$A,'RAWDATA Cars Buyers DB'!K:K)&gt;54,"Old ",IF(_xlfn.XLOOKUP($A117,'RAWDATA Cars Buyers DB'!$A:$A,'RAWDATA Cars Buyers DB'!K:K)&gt;=31,"Middle Age ",IF(_xlfn.XLOOKUP($A117,'RAWDATA Cars Buyers DB'!$A:$A,'RAWDATA Cars Buyers DB'!K:K)&lt;31,"Adolescent","Invalid")))</f>
        <v xml:space="preserve">Middle Age </v>
      </c>
      <c r="M117" s="8" t="str">
        <f>_xlfn.XLOOKUP($A117,'RAWDATA Cars Buyers DB'!$A:$A,'RAWDATA Cars Buyers DB'!L:L)</f>
        <v>Yes</v>
      </c>
    </row>
    <row r="118" spans="1:13">
      <c r="A118" s="6">
        <v>89575</v>
      </c>
      <c r="B118" s="10" t="str">
        <f>IF(_xlfn.XLOOKUP($A118,'RAWDATA Cars Buyers DB'!$A:$A,'RAWDATA Cars Buyers DB'!B:B)="S","Single","Married")</f>
        <v>Married</v>
      </c>
      <c r="C118" s="10" t="str">
        <f>IF(_xlfn.XLOOKUP($A118,'RAWDATA Cars Buyers DB'!$A:$A,'RAWDATA Cars Buyers DB'!C:C)="F","Female","Male")</f>
        <v>Female</v>
      </c>
      <c r="D118" s="7">
        <f>_xlfn.XLOOKUP($A118,'RAWDATA Cars Buyers DB'!$A:$A,'RAWDATA Cars Buyers DB'!D:D)</f>
        <v>50373</v>
      </c>
      <c r="E118" s="8">
        <f>_xlfn.XLOOKUP($A118,'RAWDATA Cars Buyers DB'!$A:$A,'RAWDATA Cars Buyers DB'!E:E)</f>
        <v>4</v>
      </c>
      <c r="F118" s="8" t="str">
        <f>_xlfn.XLOOKUP($A118,'RAWDATA Cars Buyers DB'!$A:$A,'RAWDATA Cars Buyers DB'!F:F)</f>
        <v>Graduate Degree</v>
      </c>
      <c r="G118" s="8" t="str">
        <f>_xlfn.XLOOKUP($A118,'RAWDATA Cars Buyers DB'!$A:$A,'RAWDATA Cars Buyers DB'!G:G)</f>
        <v>Professional</v>
      </c>
      <c r="H118" s="8" t="str">
        <f>_xlfn.XLOOKUP($A118,'RAWDATA Cars Buyers DB'!$A:$A,'RAWDATA Cars Buyers DB'!H:H)</f>
        <v>Yes</v>
      </c>
      <c r="I118" s="8" t="str">
        <f>_xlfn.XLOOKUP($A118,'RAWDATA Cars Buyers DB'!$A:$A,'RAWDATA Cars Buyers DB'!I:I)</f>
        <v>6+ Kilometre</v>
      </c>
      <c r="J118" s="8" t="str">
        <f>_xlfn.XLOOKUP($A118,'RAWDATA Cars Buyers DB'!$A:$A,'RAWDATA Cars Buyers DB'!J:J)</f>
        <v>North Rhine-Westphalia</v>
      </c>
      <c r="K118" s="8">
        <f>_xlfn.XLOOKUP($A118,'RAWDATA Cars Buyers DB'!$A:$A,'RAWDATA Cars Buyers DB'!K:K)</f>
        <v>55</v>
      </c>
      <c r="L118" s="10" t="str">
        <f>IF(_xlfn.XLOOKUP($A118,'RAWDATA Cars Buyers DB'!$A:$A,'RAWDATA Cars Buyers DB'!K:K)&gt;54,"Old ",IF(_xlfn.XLOOKUP($A118,'RAWDATA Cars Buyers DB'!$A:$A,'RAWDATA Cars Buyers DB'!K:K)&gt;=31,"Middle Age ",IF(_xlfn.XLOOKUP($A118,'RAWDATA Cars Buyers DB'!$A:$A,'RAWDATA Cars Buyers DB'!K:K)&lt;31,"Adolescent","Invalid")))</f>
        <v xml:space="preserve">Old </v>
      </c>
      <c r="M118" s="8" t="str">
        <f>_xlfn.XLOOKUP($A118,'RAWDATA Cars Buyers DB'!$A:$A,'RAWDATA Cars Buyers DB'!L:L)</f>
        <v>Yes</v>
      </c>
    </row>
    <row r="119" spans="1:13">
      <c r="A119" s="6">
        <v>94651</v>
      </c>
      <c r="B119" s="10" t="str">
        <f>IF(_xlfn.XLOOKUP($A119,'RAWDATA Cars Buyers DB'!$A:$A,'RAWDATA Cars Buyers DB'!B:B)="S","Single","Married")</f>
        <v>Married</v>
      </c>
      <c r="C119" s="10" t="str">
        <f>IF(_xlfn.XLOOKUP($A119,'RAWDATA Cars Buyers DB'!$A:$A,'RAWDATA Cars Buyers DB'!C:C)="F","Female","Male")</f>
        <v>Female</v>
      </c>
      <c r="D119" s="7">
        <f>_xlfn.XLOOKUP($A119,'RAWDATA Cars Buyers DB'!$A:$A,'RAWDATA Cars Buyers DB'!D:D)</f>
        <v>53154</v>
      </c>
      <c r="E119" s="8">
        <f>_xlfn.XLOOKUP($A119,'RAWDATA Cars Buyers DB'!$A:$A,'RAWDATA Cars Buyers DB'!E:E)</f>
        <v>2</v>
      </c>
      <c r="F119" s="8" t="str">
        <f>_xlfn.XLOOKUP($A119,'RAWDATA Cars Buyers DB'!$A:$A,'RAWDATA Cars Buyers DB'!F:F)</f>
        <v>Bachelors</v>
      </c>
      <c r="G119" s="8" t="str">
        <f>_xlfn.XLOOKUP($A119,'RAWDATA Cars Buyers DB'!$A:$A,'RAWDATA Cars Buyers DB'!G:G)</f>
        <v>Professional</v>
      </c>
      <c r="H119" s="8" t="str">
        <f>_xlfn.XLOOKUP($A119,'RAWDATA Cars Buyers DB'!$A:$A,'RAWDATA Cars Buyers DB'!H:H)</f>
        <v>Yes</v>
      </c>
      <c r="I119" s="8" t="str">
        <f>_xlfn.XLOOKUP($A119,'RAWDATA Cars Buyers DB'!$A:$A,'RAWDATA Cars Buyers DB'!I:I)</f>
        <v>4–6 Kilometre</v>
      </c>
      <c r="J119" s="8" t="str">
        <f>_xlfn.XLOOKUP($A119,'RAWDATA Cars Buyers DB'!$A:$A,'RAWDATA Cars Buyers DB'!J:J)</f>
        <v>Saxony</v>
      </c>
      <c r="K119" s="8">
        <f>_xlfn.XLOOKUP($A119,'RAWDATA Cars Buyers DB'!$A:$A,'RAWDATA Cars Buyers DB'!K:K)</f>
        <v>66</v>
      </c>
      <c r="L119" s="10" t="str">
        <f>IF(_xlfn.XLOOKUP($A119,'RAWDATA Cars Buyers DB'!$A:$A,'RAWDATA Cars Buyers DB'!K:K)&gt;54,"Old ",IF(_xlfn.XLOOKUP($A119,'RAWDATA Cars Buyers DB'!$A:$A,'RAWDATA Cars Buyers DB'!K:K)&gt;=31,"Middle Age ",IF(_xlfn.XLOOKUP($A119,'RAWDATA Cars Buyers DB'!$A:$A,'RAWDATA Cars Buyers DB'!K:K)&lt;31,"Adolescent","Invalid")))</f>
        <v xml:space="preserve">Old </v>
      </c>
      <c r="M119" s="8" t="str">
        <f>_xlfn.XLOOKUP($A119,'RAWDATA Cars Buyers DB'!$A:$A,'RAWDATA Cars Buyers DB'!L:L)</f>
        <v>No</v>
      </c>
    </row>
    <row r="120" spans="1:13">
      <c r="A120" s="6">
        <v>73335</v>
      </c>
      <c r="B120" s="10" t="str">
        <f>IF(_xlfn.XLOOKUP($A120,'RAWDATA Cars Buyers DB'!$A:$A,'RAWDATA Cars Buyers DB'!B:B)="S","Single","Married")</f>
        <v>Single</v>
      </c>
      <c r="C120" s="10" t="str">
        <f>IF(_xlfn.XLOOKUP($A120,'RAWDATA Cars Buyers DB'!$A:$A,'RAWDATA Cars Buyers DB'!C:C)="F","Female","Male")</f>
        <v>Male</v>
      </c>
      <c r="D120" s="7">
        <f>_xlfn.XLOOKUP($A120,'RAWDATA Cars Buyers DB'!$A:$A,'RAWDATA Cars Buyers DB'!D:D)</f>
        <v>26031</v>
      </c>
      <c r="E120" s="8">
        <f>_xlfn.XLOOKUP($A120,'RAWDATA Cars Buyers DB'!$A:$A,'RAWDATA Cars Buyers DB'!E:E)</f>
        <v>1</v>
      </c>
      <c r="F120" s="8" t="str">
        <f>_xlfn.XLOOKUP($A120,'RAWDATA Cars Buyers DB'!$A:$A,'RAWDATA Cars Buyers DB'!F:F)</f>
        <v>High School</v>
      </c>
      <c r="G120" s="8" t="str">
        <f>_xlfn.XLOOKUP($A120,'RAWDATA Cars Buyers DB'!$A:$A,'RAWDATA Cars Buyers DB'!G:G)</f>
        <v>Skilled Manual</v>
      </c>
      <c r="H120" s="8" t="str">
        <f>_xlfn.XLOOKUP($A120,'RAWDATA Cars Buyers DB'!$A:$A,'RAWDATA Cars Buyers DB'!H:H)</f>
        <v>No</v>
      </c>
      <c r="I120" s="8" t="str">
        <f>_xlfn.XLOOKUP($A120,'RAWDATA Cars Buyers DB'!$A:$A,'RAWDATA Cars Buyers DB'!I:I)</f>
        <v>1–2 Kilometre</v>
      </c>
      <c r="J120" s="8" t="str">
        <f>_xlfn.XLOOKUP($A120,'RAWDATA Cars Buyers DB'!$A:$A,'RAWDATA Cars Buyers DB'!J:J)</f>
        <v>Saarland</v>
      </c>
      <c r="K120" s="8">
        <f>_xlfn.XLOOKUP($A120,'RAWDATA Cars Buyers DB'!$A:$A,'RAWDATA Cars Buyers DB'!K:K)</f>
        <v>45</v>
      </c>
      <c r="L120" s="10" t="str">
        <f>IF(_xlfn.XLOOKUP($A120,'RAWDATA Cars Buyers DB'!$A:$A,'RAWDATA Cars Buyers DB'!K:K)&gt;54,"Old ",IF(_xlfn.XLOOKUP($A120,'RAWDATA Cars Buyers DB'!$A:$A,'RAWDATA Cars Buyers DB'!K:K)&gt;=31,"Middle Age ",IF(_xlfn.XLOOKUP($A120,'RAWDATA Cars Buyers DB'!$A:$A,'RAWDATA Cars Buyers DB'!K:K)&lt;31,"Adolescent","Invalid")))</f>
        <v xml:space="preserve">Middle Age </v>
      </c>
      <c r="M120" s="8" t="str">
        <f>_xlfn.XLOOKUP($A120,'RAWDATA Cars Buyers DB'!$A:$A,'RAWDATA Cars Buyers DB'!L:L)</f>
        <v>No</v>
      </c>
    </row>
    <row r="121" spans="1:13">
      <c r="A121" s="6">
        <v>20965</v>
      </c>
      <c r="B121" s="10" t="str">
        <f>IF(_xlfn.XLOOKUP($A121,'RAWDATA Cars Buyers DB'!$A:$A,'RAWDATA Cars Buyers DB'!B:B)="S","Single","Married")</f>
        <v>Married</v>
      </c>
      <c r="C121" s="10" t="str">
        <f>IF(_xlfn.XLOOKUP($A121,'RAWDATA Cars Buyers DB'!$A:$A,'RAWDATA Cars Buyers DB'!C:C)="F","Female","Male")</f>
        <v>Male</v>
      </c>
      <c r="D121" s="7">
        <f>_xlfn.XLOOKUP($A121,'RAWDATA Cars Buyers DB'!$A:$A,'RAWDATA Cars Buyers DB'!D:D)</f>
        <v>113533</v>
      </c>
      <c r="E121" s="8">
        <f>_xlfn.XLOOKUP($A121,'RAWDATA Cars Buyers DB'!$A:$A,'RAWDATA Cars Buyers DB'!E:E)</f>
        <v>5</v>
      </c>
      <c r="F121" s="8" t="str">
        <f>_xlfn.XLOOKUP($A121,'RAWDATA Cars Buyers DB'!$A:$A,'RAWDATA Cars Buyers DB'!F:F)</f>
        <v>Partial College</v>
      </c>
      <c r="G121" s="8" t="str">
        <f>_xlfn.XLOOKUP($A121,'RAWDATA Cars Buyers DB'!$A:$A,'RAWDATA Cars Buyers DB'!G:G)</f>
        <v>Professional</v>
      </c>
      <c r="H121" s="8" t="str">
        <f>_xlfn.XLOOKUP($A121,'RAWDATA Cars Buyers DB'!$A:$A,'RAWDATA Cars Buyers DB'!H:H)</f>
        <v>No</v>
      </c>
      <c r="I121" s="8" t="str">
        <f>_xlfn.XLOOKUP($A121,'RAWDATA Cars Buyers DB'!$A:$A,'RAWDATA Cars Buyers DB'!I:I)</f>
        <v>1–2 Kilometre</v>
      </c>
      <c r="J121" s="8" t="str">
        <f>_xlfn.XLOOKUP($A121,'RAWDATA Cars Buyers DB'!$A:$A,'RAWDATA Cars Buyers DB'!J:J)</f>
        <v>Saarland</v>
      </c>
      <c r="K121" s="8">
        <f>_xlfn.XLOOKUP($A121,'RAWDATA Cars Buyers DB'!$A:$A,'RAWDATA Cars Buyers DB'!K:K)</f>
        <v>67</v>
      </c>
      <c r="L121" s="10" t="str">
        <f>IF(_xlfn.XLOOKUP($A121,'RAWDATA Cars Buyers DB'!$A:$A,'RAWDATA Cars Buyers DB'!K:K)&gt;54,"Old ",IF(_xlfn.XLOOKUP($A121,'RAWDATA Cars Buyers DB'!$A:$A,'RAWDATA Cars Buyers DB'!K:K)&gt;=31,"Middle Age ",IF(_xlfn.XLOOKUP($A121,'RAWDATA Cars Buyers DB'!$A:$A,'RAWDATA Cars Buyers DB'!K:K)&lt;31,"Adolescent","Invalid")))</f>
        <v xml:space="preserve">Old </v>
      </c>
      <c r="M121" s="8" t="str">
        <f>_xlfn.XLOOKUP($A121,'RAWDATA Cars Buyers DB'!$A:$A,'RAWDATA Cars Buyers DB'!L:L)</f>
        <v>No</v>
      </c>
    </row>
    <row r="122" spans="1:13">
      <c r="A122" s="6">
        <v>34538</v>
      </c>
      <c r="B122" s="10" t="str">
        <f>IF(_xlfn.XLOOKUP($A122,'RAWDATA Cars Buyers DB'!$A:$A,'RAWDATA Cars Buyers DB'!B:B)="S","Single","Married")</f>
        <v>Married</v>
      </c>
      <c r="C122" s="10" t="str">
        <f>IF(_xlfn.XLOOKUP($A122,'RAWDATA Cars Buyers DB'!$A:$A,'RAWDATA Cars Buyers DB'!C:C)="F","Female","Male")</f>
        <v>Female</v>
      </c>
      <c r="D122" s="7">
        <f>_xlfn.XLOOKUP($A122,'RAWDATA Cars Buyers DB'!$A:$A,'RAWDATA Cars Buyers DB'!D:D)</f>
        <v>91975</v>
      </c>
      <c r="E122" s="8">
        <f>_xlfn.XLOOKUP($A122,'RAWDATA Cars Buyers DB'!$A:$A,'RAWDATA Cars Buyers DB'!E:E)</f>
        <v>3</v>
      </c>
      <c r="F122" s="8" t="str">
        <f>_xlfn.XLOOKUP($A122,'RAWDATA Cars Buyers DB'!$A:$A,'RAWDATA Cars Buyers DB'!F:F)</f>
        <v>Bachelors</v>
      </c>
      <c r="G122" s="8" t="str">
        <f>_xlfn.XLOOKUP($A122,'RAWDATA Cars Buyers DB'!$A:$A,'RAWDATA Cars Buyers DB'!G:G)</f>
        <v>Skilled Manual</v>
      </c>
      <c r="H122" s="8" t="str">
        <f>_xlfn.XLOOKUP($A122,'RAWDATA Cars Buyers DB'!$A:$A,'RAWDATA Cars Buyers DB'!H:H)</f>
        <v>No</v>
      </c>
      <c r="I122" s="8" t="str">
        <f>_xlfn.XLOOKUP($A122,'RAWDATA Cars Buyers DB'!$A:$A,'RAWDATA Cars Buyers DB'!I:I)</f>
        <v>0–1 Kilometre</v>
      </c>
      <c r="J122" s="8" t="str">
        <f>_xlfn.XLOOKUP($A122,'RAWDATA Cars Buyers DB'!$A:$A,'RAWDATA Cars Buyers DB'!J:J)</f>
        <v>Hesse</v>
      </c>
      <c r="K122" s="8">
        <f>_xlfn.XLOOKUP($A122,'RAWDATA Cars Buyers DB'!$A:$A,'RAWDATA Cars Buyers DB'!K:K)</f>
        <v>40</v>
      </c>
      <c r="L122" s="10" t="str">
        <f>IF(_xlfn.XLOOKUP($A122,'RAWDATA Cars Buyers DB'!$A:$A,'RAWDATA Cars Buyers DB'!K:K)&gt;54,"Old ",IF(_xlfn.XLOOKUP($A122,'RAWDATA Cars Buyers DB'!$A:$A,'RAWDATA Cars Buyers DB'!K:K)&gt;=31,"Middle Age ",IF(_xlfn.XLOOKUP($A122,'RAWDATA Cars Buyers DB'!$A:$A,'RAWDATA Cars Buyers DB'!K:K)&lt;31,"Adolescent","Invalid")))</f>
        <v xml:space="preserve">Middle Age </v>
      </c>
      <c r="M122" s="8" t="str">
        <f>_xlfn.XLOOKUP($A122,'RAWDATA Cars Buyers DB'!$A:$A,'RAWDATA Cars Buyers DB'!L:L)</f>
        <v>No</v>
      </c>
    </row>
    <row r="123" spans="1:13">
      <c r="A123" s="6">
        <v>80592</v>
      </c>
      <c r="B123" s="10" t="str">
        <f>IF(_xlfn.XLOOKUP($A123,'RAWDATA Cars Buyers DB'!$A:$A,'RAWDATA Cars Buyers DB'!B:B)="S","Single","Married")</f>
        <v>Married</v>
      </c>
      <c r="C123" s="10" t="str">
        <f>IF(_xlfn.XLOOKUP($A123,'RAWDATA Cars Buyers DB'!$A:$A,'RAWDATA Cars Buyers DB'!C:C)="F","Female","Male")</f>
        <v>Male</v>
      </c>
      <c r="D123" s="7">
        <f>_xlfn.XLOOKUP($A123,'RAWDATA Cars Buyers DB'!$A:$A,'RAWDATA Cars Buyers DB'!D:D)</f>
        <v>42785</v>
      </c>
      <c r="E123" s="8">
        <f>_xlfn.XLOOKUP($A123,'RAWDATA Cars Buyers DB'!$A:$A,'RAWDATA Cars Buyers DB'!E:E)</f>
        <v>0</v>
      </c>
      <c r="F123" s="8" t="str">
        <f>_xlfn.XLOOKUP($A123,'RAWDATA Cars Buyers DB'!$A:$A,'RAWDATA Cars Buyers DB'!F:F)</f>
        <v>Graduate Degree</v>
      </c>
      <c r="G123" s="8" t="str">
        <f>_xlfn.XLOOKUP($A123,'RAWDATA Cars Buyers DB'!$A:$A,'RAWDATA Cars Buyers DB'!G:G)</f>
        <v>Skilled Manual</v>
      </c>
      <c r="H123" s="8" t="str">
        <f>_xlfn.XLOOKUP($A123,'RAWDATA Cars Buyers DB'!$A:$A,'RAWDATA Cars Buyers DB'!H:H)</f>
        <v>No</v>
      </c>
      <c r="I123" s="8" t="str">
        <f>_xlfn.XLOOKUP($A123,'RAWDATA Cars Buyers DB'!$A:$A,'RAWDATA Cars Buyers DB'!I:I)</f>
        <v>0–1 Kilometre</v>
      </c>
      <c r="J123" s="8" t="str">
        <f>_xlfn.XLOOKUP($A123,'RAWDATA Cars Buyers DB'!$A:$A,'RAWDATA Cars Buyers DB'!J:J)</f>
        <v>Brandenburg</v>
      </c>
      <c r="K123" s="8">
        <f>_xlfn.XLOOKUP($A123,'RAWDATA Cars Buyers DB'!$A:$A,'RAWDATA Cars Buyers DB'!K:K)</f>
        <v>32</v>
      </c>
      <c r="L123" s="10" t="str">
        <f>IF(_xlfn.XLOOKUP($A123,'RAWDATA Cars Buyers DB'!$A:$A,'RAWDATA Cars Buyers DB'!K:K)&gt;54,"Old ",IF(_xlfn.XLOOKUP($A123,'RAWDATA Cars Buyers DB'!$A:$A,'RAWDATA Cars Buyers DB'!K:K)&gt;=31,"Middle Age ",IF(_xlfn.XLOOKUP($A123,'RAWDATA Cars Buyers DB'!$A:$A,'RAWDATA Cars Buyers DB'!K:K)&lt;31,"Adolescent","Invalid")))</f>
        <v xml:space="preserve">Middle Age </v>
      </c>
      <c r="M123" s="8" t="str">
        <f>_xlfn.XLOOKUP($A123,'RAWDATA Cars Buyers DB'!$A:$A,'RAWDATA Cars Buyers DB'!L:L)</f>
        <v>No</v>
      </c>
    </row>
    <row r="124" spans="1:13">
      <c r="A124" s="6">
        <v>18110</v>
      </c>
      <c r="B124" s="10" t="str">
        <f>IF(_xlfn.XLOOKUP($A124,'RAWDATA Cars Buyers DB'!$A:$A,'RAWDATA Cars Buyers DB'!B:B)="S","Single","Married")</f>
        <v>Single</v>
      </c>
      <c r="C124" s="10" t="str">
        <f>IF(_xlfn.XLOOKUP($A124,'RAWDATA Cars Buyers DB'!$A:$A,'RAWDATA Cars Buyers DB'!C:C)="F","Female","Male")</f>
        <v>Female</v>
      </c>
      <c r="D124" s="7">
        <f>_xlfn.XLOOKUP($A124,'RAWDATA Cars Buyers DB'!$A:$A,'RAWDATA Cars Buyers DB'!D:D)</f>
        <v>98928</v>
      </c>
      <c r="E124" s="8">
        <f>_xlfn.XLOOKUP($A124,'RAWDATA Cars Buyers DB'!$A:$A,'RAWDATA Cars Buyers DB'!E:E)</f>
        <v>4</v>
      </c>
      <c r="F124" s="8" t="str">
        <f>_xlfn.XLOOKUP($A124,'RAWDATA Cars Buyers DB'!$A:$A,'RAWDATA Cars Buyers DB'!F:F)</f>
        <v>Partial College</v>
      </c>
      <c r="G124" s="8" t="str">
        <f>_xlfn.XLOOKUP($A124,'RAWDATA Cars Buyers DB'!$A:$A,'RAWDATA Cars Buyers DB'!G:G)</f>
        <v>Professional</v>
      </c>
      <c r="H124" s="8" t="str">
        <f>_xlfn.XLOOKUP($A124,'RAWDATA Cars Buyers DB'!$A:$A,'RAWDATA Cars Buyers DB'!H:H)</f>
        <v>No</v>
      </c>
      <c r="I124" s="8" t="str">
        <f>_xlfn.XLOOKUP($A124,'RAWDATA Cars Buyers DB'!$A:$A,'RAWDATA Cars Buyers DB'!I:I)</f>
        <v>4–6 Kilometre</v>
      </c>
      <c r="J124" s="8" t="str">
        <f>_xlfn.XLOOKUP($A124,'RAWDATA Cars Buyers DB'!$A:$A,'RAWDATA Cars Buyers DB'!J:J)</f>
        <v>Saarland</v>
      </c>
      <c r="K124" s="8">
        <f>_xlfn.XLOOKUP($A124,'RAWDATA Cars Buyers DB'!$A:$A,'RAWDATA Cars Buyers DB'!K:K)</f>
        <v>28</v>
      </c>
      <c r="L124" s="10" t="str">
        <f>IF(_xlfn.XLOOKUP($A124,'RAWDATA Cars Buyers DB'!$A:$A,'RAWDATA Cars Buyers DB'!K:K)&gt;54,"Old ",IF(_xlfn.XLOOKUP($A124,'RAWDATA Cars Buyers DB'!$A:$A,'RAWDATA Cars Buyers DB'!K:K)&gt;=31,"Middle Age ",IF(_xlfn.XLOOKUP($A124,'RAWDATA Cars Buyers DB'!$A:$A,'RAWDATA Cars Buyers DB'!K:K)&lt;31,"Adolescent","Invalid")))</f>
        <v>Adolescent</v>
      </c>
      <c r="M124" s="8" t="str">
        <f>_xlfn.XLOOKUP($A124,'RAWDATA Cars Buyers DB'!$A:$A,'RAWDATA Cars Buyers DB'!L:L)</f>
        <v>No</v>
      </c>
    </row>
    <row r="125" spans="1:13">
      <c r="A125" s="6">
        <v>89309</v>
      </c>
      <c r="B125" s="10" t="str">
        <f>IF(_xlfn.XLOOKUP($A125,'RAWDATA Cars Buyers DB'!$A:$A,'RAWDATA Cars Buyers DB'!B:B)="S","Single","Married")</f>
        <v>Married</v>
      </c>
      <c r="C125" s="10" t="str">
        <f>IF(_xlfn.XLOOKUP($A125,'RAWDATA Cars Buyers DB'!$A:$A,'RAWDATA Cars Buyers DB'!C:C)="F","Female","Male")</f>
        <v>Female</v>
      </c>
      <c r="D125" s="7">
        <f>_xlfn.XLOOKUP($A125,'RAWDATA Cars Buyers DB'!$A:$A,'RAWDATA Cars Buyers DB'!D:D)</f>
        <v>48669</v>
      </c>
      <c r="E125" s="8">
        <f>_xlfn.XLOOKUP($A125,'RAWDATA Cars Buyers DB'!$A:$A,'RAWDATA Cars Buyers DB'!E:E)</f>
        <v>3</v>
      </c>
      <c r="F125" s="8" t="str">
        <f>_xlfn.XLOOKUP($A125,'RAWDATA Cars Buyers DB'!$A:$A,'RAWDATA Cars Buyers DB'!F:F)</f>
        <v>Graduate Degree</v>
      </c>
      <c r="G125" s="8" t="str">
        <f>_xlfn.XLOOKUP($A125,'RAWDATA Cars Buyers DB'!$A:$A,'RAWDATA Cars Buyers DB'!G:G)</f>
        <v>Professional</v>
      </c>
      <c r="H125" s="8" t="str">
        <f>_xlfn.XLOOKUP($A125,'RAWDATA Cars Buyers DB'!$A:$A,'RAWDATA Cars Buyers DB'!H:H)</f>
        <v>No</v>
      </c>
      <c r="I125" s="8" t="str">
        <f>_xlfn.XLOOKUP($A125,'RAWDATA Cars Buyers DB'!$A:$A,'RAWDATA Cars Buyers DB'!I:I)</f>
        <v>2–4 Kilometre</v>
      </c>
      <c r="J125" s="8" t="str">
        <f>_xlfn.XLOOKUP($A125,'RAWDATA Cars Buyers DB'!$A:$A,'RAWDATA Cars Buyers DB'!J:J)</f>
        <v>Saarland</v>
      </c>
      <c r="K125" s="8">
        <f>_xlfn.XLOOKUP($A125,'RAWDATA Cars Buyers DB'!$A:$A,'RAWDATA Cars Buyers DB'!K:K)</f>
        <v>30</v>
      </c>
      <c r="L125" s="10" t="str">
        <f>IF(_xlfn.XLOOKUP($A125,'RAWDATA Cars Buyers DB'!$A:$A,'RAWDATA Cars Buyers DB'!K:K)&gt;54,"Old ",IF(_xlfn.XLOOKUP($A125,'RAWDATA Cars Buyers DB'!$A:$A,'RAWDATA Cars Buyers DB'!K:K)&gt;=31,"Middle Age ",IF(_xlfn.XLOOKUP($A125,'RAWDATA Cars Buyers DB'!$A:$A,'RAWDATA Cars Buyers DB'!K:K)&lt;31,"Adolescent","Invalid")))</f>
        <v>Adolescent</v>
      </c>
      <c r="M125" s="8" t="str">
        <f>_xlfn.XLOOKUP($A125,'RAWDATA Cars Buyers DB'!$A:$A,'RAWDATA Cars Buyers DB'!L:L)</f>
        <v>Yes</v>
      </c>
    </row>
    <row r="126" spans="1:13">
      <c r="A126" s="6">
        <v>37266</v>
      </c>
      <c r="B126" s="10" t="str">
        <f>IF(_xlfn.XLOOKUP($A126,'RAWDATA Cars Buyers DB'!$A:$A,'RAWDATA Cars Buyers DB'!B:B)="S","Single","Married")</f>
        <v>Single</v>
      </c>
      <c r="C126" s="10" t="str">
        <f>IF(_xlfn.XLOOKUP($A126,'RAWDATA Cars Buyers DB'!$A:$A,'RAWDATA Cars Buyers DB'!C:C)="F","Female","Male")</f>
        <v>Female</v>
      </c>
      <c r="D126" s="7">
        <f>_xlfn.XLOOKUP($A126,'RAWDATA Cars Buyers DB'!$A:$A,'RAWDATA Cars Buyers DB'!D:D)</f>
        <v>114475</v>
      </c>
      <c r="E126" s="8">
        <f>_xlfn.XLOOKUP($A126,'RAWDATA Cars Buyers DB'!$A:$A,'RAWDATA Cars Buyers DB'!E:E)</f>
        <v>5</v>
      </c>
      <c r="F126" s="8" t="str">
        <f>_xlfn.XLOOKUP($A126,'RAWDATA Cars Buyers DB'!$A:$A,'RAWDATA Cars Buyers DB'!F:F)</f>
        <v>Partial College</v>
      </c>
      <c r="G126" s="8" t="str">
        <f>_xlfn.XLOOKUP($A126,'RAWDATA Cars Buyers DB'!$A:$A,'RAWDATA Cars Buyers DB'!G:G)</f>
        <v>Skilled Manual</v>
      </c>
      <c r="H126" s="8" t="str">
        <f>_xlfn.XLOOKUP($A126,'RAWDATA Cars Buyers DB'!$A:$A,'RAWDATA Cars Buyers DB'!H:H)</f>
        <v>Yes</v>
      </c>
      <c r="I126" s="8" t="str">
        <f>_xlfn.XLOOKUP($A126,'RAWDATA Cars Buyers DB'!$A:$A,'RAWDATA Cars Buyers DB'!I:I)</f>
        <v>2–4 Kilometre</v>
      </c>
      <c r="J126" s="8" t="str">
        <f>_xlfn.XLOOKUP($A126,'RAWDATA Cars Buyers DB'!$A:$A,'RAWDATA Cars Buyers DB'!J:J)</f>
        <v>Bremen</v>
      </c>
      <c r="K126" s="8">
        <f>_xlfn.XLOOKUP($A126,'RAWDATA Cars Buyers DB'!$A:$A,'RAWDATA Cars Buyers DB'!K:K)</f>
        <v>30</v>
      </c>
      <c r="L126" s="10" t="str">
        <f>IF(_xlfn.XLOOKUP($A126,'RAWDATA Cars Buyers DB'!$A:$A,'RAWDATA Cars Buyers DB'!K:K)&gt;54,"Old ",IF(_xlfn.XLOOKUP($A126,'RAWDATA Cars Buyers DB'!$A:$A,'RAWDATA Cars Buyers DB'!K:K)&gt;=31,"Middle Age ",IF(_xlfn.XLOOKUP($A126,'RAWDATA Cars Buyers DB'!$A:$A,'RAWDATA Cars Buyers DB'!K:K)&lt;31,"Adolescent","Invalid")))</f>
        <v>Adolescent</v>
      </c>
      <c r="M126" s="8" t="str">
        <f>_xlfn.XLOOKUP($A126,'RAWDATA Cars Buyers DB'!$A:$A,'RAWDATA Cars Buyers DB'!L:L)</f>
        <v>No</v>
      </c>
    </row>
    <row r="127" spans="1:13">
      <c r="A127" s="6">
        <v>62992</v>
      </c>
      <c r="B127" s="10" t="str">
        <f>IF(_xlfn.XLOOKUP($A127,'RAWDATA Cars Buyers DB'!$A:$A,'RAWDATA Cars Buyers DB'!B:B)="S","Single","Married")</f>
        <v>Married</v>
      </c>
      <c r="C127" s="10" t="str">
        <f>IF(_xlfn.XLOOKUP($A127,'RAWDATA Cars Buyers DB'!$A:$A,'RAWDATA Cars Buyers DB'!C:C)="F","Female","Male")</f>
        <v>Female</v>
      </c>
      <c r="D127" s="7">
        <f>_xlfn.XLOOKUP($A127,'RAWDATA Cars Buyers DB'!$A:$A,'RAWDATA Cars Buyers DB'!D:D)</f>
        <v>22282</v>
      </c>
      <c r="E127" s="8">
        <f>_xlfn.XLOOKUP($A127,'RAWDATA Cars Buyers DB'!$A:$A,'RAWDATA Cars Buyers DB'!E:E)</f>
        <v>5</v>
      </c>
      <c r="F127" s="8" t="str">
        <f>_xlfn.XLOOKUP($A127,'RAWDATA Cars Buyers DB'!$A:$A,'RAWDATA Cars Buyers DB'!F:F)</f>
        <v>Partial College</v>
      </c>
      <c r="G127" s="8" t="str">
        <f>_xlfn.XLOOKUP($A127,'RAWDATA Cars Buyers DB'!$A:$A,'RAWDATA Cars Buyers DB'!G:G)</f>
        <v>Skilled Manual</v>
      </c>
      <c r="H127" s="8" t="str">
        <f>_xlfn.XLOOKUP($A127,'RAWDATA Cars Buyers DB'!$A:$A,'RAWDATA Cars Buyers DB'!H:H)</f>
        <v>Yes</v>
      </c>
      <c r="I127" s="8" t="str">
        <f>_xlfn.XLOOKUP($A127,'RAWDATA Cars Buyers DB'!$A:$A,'RAWDATA Cars Buyers DB'!I:I)</f>
        <v>2–4 Kilometre</v>
      </c>
      <c r="J127" s="8" t="str">
        <f>_xlfn.XLOOKUP($A127,'RAWDATA Cars Buyers DB'!$A:$A,'RAWDATA Cars Buyers DB'!J:J)</f>
        <v>Brandenburg</v>
      </c>
      <c r="K127" s="8">
        <f>_xlfn.XLOOKUP($A127,'RAWDATA Cars Buyers DB'!$A:$A,'RAWDATA Cars Buyers DB'!K:K)</f>
        <v>25</v>
      </c>
      <c r="L127" s="10" t="str">
        <f>IF(_xlfn.XLOOKUP($A127,'RAWDATA Cars Buyers DB'!$A:$A,'RAWDATA Cars Buyers DB'!K:K)&gt;54,"Old ",IF(_xlfn.XLOOKUP($A127,'RAWDATA Cars Buyers DB'!$A:$A,'RAWDATA Cars Buyers DB'!K:K)&gt;=31,"Middle Age ",IF(_xlfn.XLOOKUP($A127,'RAWDATA Cars Buyers DB'!$A:$A,'RAWDATA Cars Buyers DB'!K:K)&lt;31,"Adolescent","Invalid")))</f>
        <v>Adolescent</v>
      </c>
      <c r="M127" s="8" t="str">
        <f>_xlfn.XLOOKUP($A127,'RAWDATA Cars Buyers DB'!$A:$A,'RAWDATA Cars Buyers DB'!L:L)</f>
        <v>No</v>
      </c>
    </row>
    <row r="128" spans="1:13">
      <c r="A128" s="6">
        <v>92948</v>
      </c>
      <c r="B128" s="10" t="str">
        <f>IF(_xlfn.XLOOKUP($A128,'RAWDATA Cars Buyers DB'!$A:$A,'RAWDATA Cars Buyers DB'!B:B)="S","Single","Married")</f>
        <v>Single</v>
      </c>
      <c r="C128" s="10" t="str">
        <f>IF(_xlfn.XLOOKUP($A128,'RAWDATA Cars Buyers DB'!$A:$A,'RAWDATA Cars Buyers DB'!C:C)="F","Female","Male")</f>
        <v>Female</v>
      </c>
      <c r="D128" s="7">
        <f>_xlfn.XLOOKUP($A128,'RAWDATA Cars Buyers DB'!$A:$A,'RAWDATA Cars Buyers DB'!D:D)</f>
        <v>54624</v>
      </c>
      <c r="E128" s="8">
        <f>_xlfn.XLOOKUP($A128,'RAWDATA Cars Buyers DB'!$A:$A,'RAWDATA Cars Buyers DB'!E:E)</f>
        <v>2</v>
      </c>
      <c r="F128" s="8" t="str">
        <f>_xlfn.XLOOKUP($A128,'RAWDATA Cars Buyers DB'!$A:$A,'RAWDATA Cars Buyers DB'!F:F)</f>
        <v>Bachelors</v>
      </c>
      <c r="G128" s="8" t="str">
        <f>_xlfn.XLOOKUP($A128,'RAWDATA Cars Buyers DB'!$A:$A,'RAWDATA Cars Buyers DB'!G:G)</f>
        <v>Professional</v>
      </c>
      <c r="H128" s="8" t="str">
        <f>_xlfn.XLOOKUP($A128,'RAWDATA Cars Buyers DB'!$A:$A,'RAWDATA Cars Buyers DB'!H:H)</f>
        <v>No</v>
      </c>
      <c r="I128" s="8" t="str">
        <f>_xlfn.XLOOKUP($A128,'RAWDATA Cars Buyers DB'!$A:$A,'RAWDATA Cars Buyers DB'!I:I)</f>
        <v>1–2 Kilometre</v>
      </c>
      <c r="J128" s="8" t="str">
        <f>_xlfn.XLOOKUP($A128,'RAWDATA Cars Buyers DB'!$A:$A,'RAWDATA Cars Buyers DB'!J:J)</f>
        <v>Hamburg</v>
      </c>
      <c r="K128" s="8">
        <f>_xlfn.XLOOKUP($A128,'RAWDATA Cars Buyers DB'!$A:$A,'RAWDATA Cars Buyers DB'!K:K)</f>
        <v>20</v>
      </c>
      <c r="L128" s="10" t="str">
        <f>IF(_xlfn.XLOOKUP($A128,'RAWDATA Cars Buyers DB'!$A:$A,'RAWDATA Cars Buyers DB'!K:K)&gt;54,"Old ",IF(_xlfn.XLOOKUP($A128,'RAWDATA Cars Buyers DB'!$A:$A,'RAWDATA Cars Buyers DB'!K:K)&gt;=31,"Middle Age ",IF(_xlfn.XLOOKUP($A128,'RAWDATA Cars Buyers DB'!$A:$A,'RAWDATA Cars Buyers DB'!K:K)&lt;31,"Adolescent","Invalid")))</f>
        <v>Adolescent</v>
      </c>
      <c r="M128" s="8" t="str">
        <f>_xlfn.XLOOKUP($A128,'RAWDATA Cars Buyers DB'!$A:$A,'RAWDATA Cars Buyers DB'!L:L)</f>
        <v>Yes</v>
      </c>
    </row>
    <row r="129" spans="1:13">
      <c r="A129" s="6">
        <v>16910</v>
      </c>
      <c r="B129" s="10" t="str">
        <f>IF(_xlfn.XLOOKUP($A129,'RAWDATA Cars Buyers DB'!$A:$A,'RAWDATA Cars Buyers DB'!B:B)="S","Single","Married")</f>
        <v>Single</v>
      </c>
      <c r="C129" s="10" t="str">
        <f>IF(_xlfn.XLOOKUP($A129,'RAWDATA Cars Buyers DB'!$A:$A,'RAWDATA Cars Buyers DB'!C:C)="F","Female","Male")</f>
        <v>Male</v>
      </c>
      <c r="D129" s="7">
        <f>_xlfn.XLOOKUP($A129,'RAWDATA Cars Buyers DB'!$A:$A,'RAWDATA Cars Buyers DB'!D:D)</f>
        <v>68438</v>
      </c>
      <c r="E129" s="8">
        <f>_xlfn.XLOOKUP($A129,'RAWDATA Cars Buyers DB'!$A:$A,'RAWDATA Cars Buyers DB'!E:E)</f>
        <v>5</v>
      </c>
      <c r="F129" s="8" t="str">
        <f>_xlfn.XLOOKUP($A129,'RAWDATA Cars Buyers DB'!$A:$A,'RAWDATA Cars Buyers DB'!F:F)</f>
        <v>High School</v>
      </c>
      <c r="G129" s="8" t="str">
        <f>_xlfn.XLOOKUP($A129,'RAWDATA Cars Buyers DB'!$A:$A,'RAWDATA Cars Buyers DB'!G:G)</f>
        <v>Professional</v>
      </c>
      <c r="H129" s="8" t="str">
        <f>_xlfn.XLOOKUP($A129,'RAWDATA Cars Buyers DB'!$A:$A,'RAWDATA Cars Buyers DB'!H:H)</f>
        <v>Yes</v>
      </c>
      <c r="I129" s="8" t="str">
        <f>_xlfn.XLOOKUP($A129,'RAWDATA Cars Buyers DB'!$A:$A,'RAWDATA Cars Buyers DB'!I:I)</f>
        <v>1–2 Kilometre</v>
      </c>
      <c r="J129" s="8" t="str">
        <f>_xlfn.XLOOKUP($A129,'RAWDATA Cars Buyers DB'!$A:$A,'RAWDATA Cars Buyers DB'!J:J)</f>
        <v>Bremen</v>
      </c>
      <c r="K129" s="8">
        <f>_xlfn.XLOOKUP($A129,'RAWDATA Cars Buyers DB'!$A:$A,'RAWDATA Cars Buyers DB'!K:K)</f>
        <v>25</v>
      </c>
      <c r="L129" s="10" t="str">
        <f>IF(_xlfn.XLOOKUP($A129,'RAWDATA Cars Buyers DB'!$A:$A,'RAWDATA Cars Buyers DB'!K:K)&gt;54,"Old ",IF(_xlfn.XLOOKUP($A129,'RAWDATA Cars Buyers DB'!$A:$A,'RAWDATA Cars Buyers DB'!K:K)&gt;=31,"Middle Age ",IF(_xlfn.XLOOKUP($A129,'RAWDATA Cars Buyers DB'!$A:$A,'RAWDATA Cars Buyers DB'!K:K)&lt;31,"Adolescent","Invalid")))</f>
        <v>Adolescent</v>
      </c>
      <c r="M129" s="8" t="str">
        <f>_xlfn.XLOOKUP($A129,'RAWDATA Cars Buyers DB'!$A:$A,'RAWDATA Cars Buyers DB'!L:L)</f>
        <v>No</v>
      </c>
    </row>
    <row r="130" spans="1:13">
      <c r="A130" s="6">
        <v>10206</v>
      </c>
      <c r="B130" s="10" t="str">
        <f>IF(_xlfn.XLOOKUP($A130,'RAWDATA Cars Buyers DB'!$A:$A,'RAWDATA Cars Buyers DB'!B:B)="S","Single","Married")</f>
        <v>Single</v>
      </c>
      <c r="C130" s="10" t="str">
        <f>IF(_xlfn.XLOOKUP($A130,'RAWDATA Cars Buyers DB'!$A:$A,'RAWDATA Cars Buyers DB'!C:C)="F","Female","Male")</f>
        <v>Female</v>
      </c>
      <c r="D130" s="7">
        <f>_xlfn.XLOOKUP($A130,'RAWDATA Cars Buyers DB'!$A:$A,'RAWDATA Cars Buyers DB'!D:D)</f>
        <v>109900</v>
      </c>
      <c r="E130" s="8">
        <f>_xlfn.XLOOKUP($A130,'RAWDATA Cars Buyers DB'!$A:$A,'RAWDATA Cars Buyers DB'!E:E)</f>
        <v>4</v>
      </c>
      <c r="F130" s="8" t="str">
        <f>_xlfn.XLOOKUP($A130,'RAWDATA Cars Buyers DB'!$A:$A,'RAWDATA Cars Buyers DB'!F:F)</f>
        <v>Bachelors</v>
      </c>
      <c r="G130" s="8" t="str">
        <f>_xlfn.XLOOKUP($A130,'RAWDATA Cars Buyers DB'!$A:$A,'RAWDATA Cars Buyers DB'!G:G)</f>
        <v>Management</v>
      </c>
      <c r="H130" s="8" t="str">
        <f>_xlfn.XLOOKUP($A130,'RAWDATA Cars Buyers DB'!$A:$A,'RAWDATA Cars Buyers DB'!H:H)</f>
        <v>No</v>
      </c>
      <c r="I130" s="8" t="str">
        <f>_xlfn.XLOOKUP($A130,'RAWDATA Cars Buyers DB'!$A:$A,'RAWDATA Cars Buyers DB'!I:I)</f>
        <v>6+ Kilometre</v>
      </c>
      <c r="J130" s="8" t="str">
        <f>_xlfn.XLOOKUP($A130,'RAWDATA Cars Buyers DB'!$A:$A,'RAWDATA Cars Buyers DB'!J:J)</f>
        <v>Hamburg</v>
      </c>
      <c r="K130" s="8">
        <f>_xlfn.XLOOKUP($A130,'RAWDATA Cars Buyers DB'!$A:$A,'RAWDATA Cars Buyers DB'!K:K)</f>
        <v>32</v>
      </c>
      <c r="L130" s="10" t="str">
        <f>IF(_xlfn.XLOOKUP($A130,'RAWDATA Cars Buyers DB'!$A:$A,'RAWDATA Cars Buyers DB'!K:K)&gt;54,"Old ",IF(_xlfn.XLOOKUP($A130,'RAWDATA Cars Buyers DB'!$A:$A,'RAWDATA Cars Buyers DB'!K:K)&gt;=31,"Middle Age ",IF(_xlfn.XLOOKUP($A130,'RAWDATA Cars Buyers DB'!$A:$A,'RAWDATA Cars Buyers DB'!K:K)&lt;31,"Adolescent","Invalid")))</f>
        <v xml:space="preserve">Middle Age </v>
      </c>
      <c r="M130" s="8" t="str">
        <f>_xlfn.XLOOKUP($A130,'RAWDATA Cars Buyers DB'!$A:$A,'RAWDATA Cars Buyers DB'!L:L)</f>
        <v>No</v>
      </c>
    </row>
    <row r="131" spans="1:13">
      <c r="A131" s="6">
        <v>97054</v>
      </c>
      <c r="B131" s="10" t="str">
        <f>IF(_xlfn.XLOOKUP($A131,'RAWDATA Cars Buyers DB'!$A:$A,'RAWDATA Cars Buyers DB'!B:B)="S","Single","Married")</f>
        <v>Single</v>
      </c>
      <c r="C131" s="10" t="str">
        <f>IF(_xlfn.XLOOKUP($A131,'RAWDATA Cars Buyers DB'!$A:$A,'RAWDATA Cars Buyers DB'!C:C)="F","Female","Male")</f>
        <v>Male</v>
      </c>
      <c r="D131" s="7">
        <f>_xlfn.XLOOKUP($A131,'RAWDATA Cars Buyers DB'!$A:$A,'RAWDATA Cars Buyers DB'!D:D)</f>
        <v>87534</v>
      </c>
      <c r="E131" s="8">
        <f>_xlfn.XLOOKUP($A131,'RAWDATA Cars Buyers DB'!$A:$A,'RAWDATA Cars Buyers DB'!E:E)</f>
        <v>3</v>
      </c>
      <c r="F131" s="8" t="str">
        <f>_xlfn.XLOOKUP($A131,'RAWDATA Cars Buyers DB'!$A:$A,'RAWDATA Cars Buyers DB'!F:F)</f>
        <v>Graduate Degree</v>
      </c>
      <c r="G131" s="8" t="str">
        <f>_xlfn.XLOOKUP($A131,'RAWDATA Cars Buyers DB'!$A:$A,'RAWDATA Cars Buyers DB'!G:G)</f>
        <v>Skilled Manual</v>
      </c>
      <c r="H131" s="8" t="str">
        <f>_xlfn.XLOOKUP($A131,'RAWDATA Cars Buyers DB'!$A:$A,'RAWDATA Cars Buyers DB'!H:H)</f>
        <v>Yes</v>
      </c>
      <c r="I131" s="8" t="str">
        <f>_xlfn.XLOOKUP($A131,'RAWDATA Cars Buyers DB'!$A:$A,'RAWDATA Cars Buyers DB'!I:I)</f>
        <v>1–2 Kilometre</v>
      </c>
      <c r="J131" s="8" t="str">
        <f>_xlfn.XLOOKUP($A131,'RAWDATA Cars Buyers DB'!$A:$A,'RAWDATA Cars Buyers DB'!J:J)</f>
        <v>Thuringia</v>
      </c>
      <c r="K131" s="8">
        <f>_xlfn.XLOOKUP($A131,'RAWDATA Cars Buyers DB'!$A:$A,'RAWDATA Cars Buyers DB'!K:K)</f>
        <v>41</v>
      </c>
      <c r="L131" s="10" t="str">
        <f>IF(_xlfn.XLOOKUP($A131,'RAWDATA Cars Buyers DB'!$A:$A,'RAWDATA Cars Buyers DB'!K:K)&gt;54,"Old ",IF(_xlfn.XLOOKUP($A131,'RAWDATA Cars Buyers DB'!$A:$A,'RAWDATA Cars Buyers DB'!K:K)&gt;=31,"Middle Age ",IF(_xlfn.XLOOKUP($A131,'RAWDATA Cars Buyers DB'!$A:$A,'RAWDATA Cars Buyers DB'!K:K)&lt;31,"Adolescent","Invalid")))</f>
        <v xml:space="preserve">Middle Age </v>
      </c>
      <c r="M131" s="8" t="str">
        <f>_xlfn.XLOOKUP($A131,'RAWDATA Cars Buyers DB'!$A:$A,'RAWDATA Cars Buyers DB'!L:L)</f>
        <v>Yes</v>
      </c>
    </row>
    <row r="132" spans="1:13">
      <c r="A132" s="6">
        <v>97897</v>
      </c>
      <c r="B132" s="10" t="str">
        <f>IF(_xlfn.XLOOKUP($A132,'RAWDATA Cars Buyers DB'!$A:$A,'RAWDATA Cars Buyers DB'!B:B)="S","Single","Married")</f>
        <v>Married</v>
      </c>
      <c r="C132" s="10" t="str">
        <f>IF(_xlfn.XLOOKUP($A132,'RAWDATA Cars Buyers DB'!$A:$A,'RAWDATA Cars Buyers DB'!C:C)="F","Female","Male")</f>
        <v>Male</v>
      </c>
      <c r="D132" s="7">
        <f>_xlfn.XLOOKUP($A132,'RAWDATA Cars Buyers DB'!$A:$A,'RAWDATA Cars Buyers DB'!D:D)</f>
        <v>51705</v>
      </c>
      <c r="E132" s="8">
        <f>_xlfn.XLOOKUP($A132,'RAWDATA Cars Buyers DB'!$A:$A,'RAWDATA Cars Buyers DB'!E:E)</f>
        <v>4</v>
      </c>
      <c r="F132" s="8" t="str">
        <f>_xlfn.XLOOKUP($A132,'RAWDATA Cars Buyers DB'!$A:$A,'RAWDATA Cars Buyers DB'!F:F)</f>
        <v>Graduate Degree</v>
      </c>
      <c r="G132" s="8" t="str">
        <f>_xlfn.XLOOKUP($A132,'RAWDATA Cars Buyers DB'!$A:$A,'RAWDATA Cars Buyers DB'!G:G)</f>
        <v>Skilled Manual</v>
      </c>
      <c r="H132" s="8" t="str">
        <f>_xlfn.XLOOKUP($A132,'RAWDATA Cars Buyers DB'!$A:$A,'RAWDATA Cars Buyers DB'!H:H)</f>
        <v>No</v>
      </c>
      <c r="I132" s="8" t="str">
        <f>_xlfn.XLOOKUP($A132,'RAWDATA Cars Buyers DB'!$A:$A,'RAWDATA Cars Buyers DB'!I:I)</f>
        <v>1–2 Kilometre</v>
      </c>
      <c r="J132" s="8" t="str">
        <f>_xlfn.XLOOKUP($A132,'RAWDATA Cars Buyers DB'!$A:$A,'RAWDATA Cars Buyers DB'!J:J)</f>
        <v>Hesse</v>
      </c>
      <c r="K132" s="8">
        <f>_xlfn.XLOOKUP($A132,'RAWDATA Cars Buyers DB'!$A:$A,'RAWDATA Cars Buyers DB'!K:K)</f>
        <v>50</v>
      </c>
      <c r="L132" s="10" t="str">
        <f>IF(_xlfn.XLOOKUP($A132,'RAWDATA Cars Buyers DB'!$A:$A,'RAWDATA Cars Buyers DB'!K:K)&gt;54,"Old ",IF(_xlfn.XLOOKUP($A132,'RAWDATA Cars Buyers DB'!$A:$A,'RAWDATA Cars Buyers DB'!K:K)&gt;=31,"Middle Age ",IF(_xlfn.XLOOKUP($A132,'RAWDATA Cars Buyers DB'!$A:$A,'RAWDATA Cars Buyers DB'!K:K)&lt;31,"Adolescent","Invalid")))</f>
        <v xml:space="preserve">Middle Age </v>
      </c>
      <c r="M132" s="8" t="str">
        <f>_xlfn.XLOOKUP($A132,'RAWDATA Cars Buyers DB'!$A:$A,'RAWDATA Cars Buyers DB'!L:L)</f>
        <v>Yes</v>
      </c>
    </row>
    <row r="133" spans="1:13">
      <c r="A133" s="6">
        <v>33419</v>
      </c>
      <c r="B133" s="10" t="str">
        <f>IF(_xlfn.XLOOKUP($A133,'RAWDATA Cars Buyers DB'!$A:$A,'RAWDATA Cars Buyers DB'!B:B)="S","Single","Married")</f>
        <v>Single</v>
      </c>
      <c r="C133" s="10" t="str">
        <f>IF(_xlfn.XLOOKUP($A133,'RAWDATA Cars Buyers DB'!$A:$A,'RAWDATA Cars Buyers DB'!C:C)="F","Female","Male")</f>
        <v>Female</v>
      </c>
      <c r="D133" s="7">
        <f>_xlfn.XLOOKUP($A133,'RAWDATA Cars Buyers DB'!$A:$A,'RAWDATA Cars Buyers DB'!D:D)</f>
        <v>58244</v>
      </c>
      <c r="E133" s="8">
        <f>_xlfn.XLOOKUP($A133,'RAWDATA Cars Buyers DB'!$A:$A,'RAWDATA Cars Buyers DB'!E:E)</f>
        <v>1</v>
      </c>
      <c r="F133" s="8" t="str">
        <f>_xlfn.XLOOKUP($A133,'RAWDATA Cars Buyers DB'!$A:$A,'RAWDATA Cars Buyers DB'!F:F)</f>
        <v>Partial College</v>
      </c>
      <c r="G133" s="8" t="str">
        <f>_xlfn.XLOOKUP($A133,'RAWDATA Cars Buyers DB'!$A:$A,'RAWDATA Cars Buyers DB'!G:G)</f>
        <v>Management</v>
      </c>
      <c r="H133" s="8" t="str">
        <f>_xlfn.XLOOKUP($A133,'RAWDATA Cars Buyers DB'!$A:$A,'RAWDATA Cars Buyers DB'!H:H)</f>
        <v>Yes</v>
      </c>
      <c r="I133" s="8" t="str">
        <f>_xlfn.XLOOKUP($A133,'RAWDATA Cars Buyers DB'!$A:$A,'RAWDATA Cars Buyers DB'!I:I)</f>
        <v>1–2 Kilometre</v>
      </c>
      <c r="J133" s="8" t="str">
        <f>_xlfn.XLOOKUP($A133,'RAWDATA Cars Buyers DB'!$A:$A,'RAWDATA Cars Buyers DB'!J:J)</f>
        <v>Saxony</v>
      </c>
      <c r="K133" s="8">
        <f>_xlfn.XLOOKUP($A133,'RAWDATA Cars Buyers DB'!$A:$A,'RAWDATA Cars Buyers DB'!K:K)</f>
        <v>41</v>
      </c>
      <c r="L133" s="10" t="str">
        <f>IF(_xlfn.XLOOKUP($A133,'RAWDATA Cars Buyers DB'!$A:$A,'RAWDATA Cars Buyers DB'!K:K)&gt;54,"Old ",IF(_xlfn.XLOOKUP($A133,'RAWDATA Cars Buyers DB'!$A:$A,'RAWDATA Cars Buyers DB'!K:K)&gt;=31,"Middle Age ",IF(_xlfn.XLOOKUP($A133,'RAWDATA Cars Buyers DB'!$A:$A,'RAWDATA Cars Buyers DB'!K:K)&lt;31,"Adolescent","Invalid")))</f>
        <v xml:space="preserve">Middle Age </v>
      </c>
      <c r="M133" s="8" t="str">
        <f>_xlfn.XLOOKUP($A133,'RAWDATA Cars Buyers DB'!$A:$A,'RAWDATA Cars Buyers DB'!L:L)</f>
        <v>No</v>
      </c>
    </row>
    <row r="134" spans="1:13">
      <c r="A134" s="6">
        <v>60636</v>
      </c>
      <c r="B134" s="10" t="str">
        <f>IF(_xlfn.XLOOKUP($A134,'RAWDATA Cars Buyers DB'!$A:$A,'RAWDATA Cars Buyers DB'!B:B)="S","Single","Married")</f>
        <v>Married</v>
      </c>
      <c r="C134" s="10" t="str">
        <f>IF(_xlfn.XLOOKUP($A134,'RAWDATA Cars Buyers DB'!$A:$A,'RAWDATA Cars Buyers DB'!C:C)="F","Female","Male")</f>
        <v>Female</v>
      </c>
      <c r="D134" s="7">
        <f>_xlfn.XLOOKUP($A134,'RAWDATA Cars Buyers DB'!$A:$A,'RAWDATA Cars Buyers DB'!D:D)</f>
        <v>94964</v>
      </c>
      <c r="E134" s="8">
        <f>_xlfn.XLOOKUP($A134,'RAWDATA Cars Buyers DB'!$A:$A,'RAWDATA Cars Buyers DB'!E:E)</f>
        <v>1</v>
      </c>
      <c r="F134" s="8" t="str">
        <f>_xlfn.XLOOKUP($A134,'RAWDATA Cars Buyers DB'!$A:$A,'RAWDATA Cars Buyers DB'!F:F)</f>
        <v>Partial College</v>
      </c>
      <c r="G134" s="8" t="str">
        <f>_xlfn.XLOOKUP($A134,'RAWDATA Cars Buyers DB'!$A:$A,'RAWDATA Cars Buyers DB'!G:G)</f>
        <v>Skilled Manual</v>
      </c>
      <c r="H134" s="8" t="str">
        <f>_xlfn.XLOOKUP($A134,'RAWDATA Cars Buyers DB'!$A:$A,'RAWDATA Cars Buyers DB'!H:H)</f>
        <v>Yes</v>
      </c>
      <c r="I134" s="8" t="str">
        <f>_xlfn.XLOOKUP($A134,'RAWDATA Cars Buyers DB'!$A:$A,'RAWDATA Cars Buyers DB'!I:I)</f>
        <v>4–6 Kilometre</v>
      </c>
      <c r="J134" s="8" t="str">
        <f>_xlfn.XLOOKUP($A134,'RAWDATA Cars Buyers DB'!$A:$A,'RAWDATA Cars Buyers DB'!J:J)</f>
        <v>Baden-Württemberg</v>
      </c>
      <c r="K134" s="8">
        <f>_xlfn.XLOOKUP($A134,'RAWDATA Cars Buyers DB'!$A:$A,'RAWDATA Cars Buyers DB'!K:K)</f>
        <v>56</v>
      </c>
      <c r="L134" s="10" t="str">
        <f>IF(_xlfn.XLOOKUP($A134,'RAWDATA Cars Buyers DB'!$A:$A,'RAWDATA Cars Buyers DB'!K:K)&gt;54,"Old ",IF(_xlfn.XLOOKUP($A134,'RAWDATA Cars Buyers DB'!$A:$A,'RAWDATA Cars Buyers DB'!K:K)&gt;=31,"Middle Age ",IF(_xlfn.XLOOKUP($A134,'RAWDATA Cars Buyers DB'!$A:$A,'RAWDATA Cars Buyers DB'!K:K)&lt;31,"Adolescent","Invalid")))</f>
        <v xml:space="preserve">Old </v>
      </c>
      <c r="M134" s="8" t="str">
        <f>_xlfn.XLOOKUP($A134,'RAWDATA Cars Buyers DB'!$A:$A,'RAWDATA Cars Buyers DB'!L:L)</f>
        <v>No</v>
      </c>
    </row>
    <row r="135" spans="1:13">
      <c r="A135" s="6">
        <v>60015</v>
      </c>
      <c r="B135" s="10" t="str">
        <f>IF(_xlfn.XLOOKUP($A135,'RAWDATA Cars Buyers DB'!$A:$A,'RAWDATA Cars Buyers DB'!B:B)="S","Single","Married")</f>
        <v>Married</v>
      </c>
      <c r="C135" s="10" t="str">
        <f>IF(_xlfn.XLOOKUP($A135,'RAWDATA Cars Buyers DB'!$A:$A,'RAWDATA Cars Buyers DB'!C:C)="F","Female","Male")</f>
        <v>Male</v>
      </c>
      <c r="D135" s="7">
        <f>_xlfn.XLOOKUP($A135,'RAWDATA Cars Buyers DB'!$A:$A,'RAWDATA Cars Buyers DB'!D:D)</f>
        <v>57437</v>
      </c>
      <c r="E135" s="8">
        <f>_xlfn.XLOOKUP($A135,'RAWDATA Cars Buyers DB'!$A:$A,'RAWDATA Cars Buyers DB'!E:E)</f>
        <v>0</v>
      </c>
      <c r="F135" s="8" t="str">
        <f>_xlfn.XLOOKUP($A135,'RAWDATA Cars Buyers DB'!$A:$A,'RAWDATA Cars Buyers DB'!F:F)</f>
        <v>High School</v>
      </c>
      <c r="G135" s="8" t="str">
        <f>_xlfn.XLOOKUP($A135,'RAWDATA Cars Buyers DB'!$A:$A,'RAWDATA Cars Buyers DB'!G:G)</f>
        <v>Clerical</v>
      </c>
      <c r="H135" s="8" t="str">
        <f>_xlfn.XLOOKUP($A135,'RAWDATA Cars Buyers DB'!$A:$A,'RAWDATA Cars Buyers DB'!H:H)</f>
        <v>Yes</v>
      </c>
      <c r="I135" s="8" t="str">
        <f>_xlfn.XLOOKUP($A135,'RAWDATA Cars Buyers DB'!$A:$A,'RAWDATA Cars Buyers DB'!I:I)</f>
        <v>1–2 Kilometre</v>
      </c>
      <c r="J135" s="8" t="str">
        <f>_xlfn.XLOOKUP($A135,'RAWDATA Cars Buyers DB'!$A:$A,'RAWDATA Cars Buyers DB'!J:J)</f>
        <v>Hesse</v>
      </c>
      <c r="K135" s="8">
        <f>_xlfn.XLOOKUP($A135,'RAWDATA Cars Buyers DB'!$A:$A,'RAWDATA Cars Buyers DB'!K:K)</f>
        <v>66</v>
      </c>
      <c r="L135" s="10" t="str">
        <f>IF(_xlfn.XLOOKUP($A135,'RAWDATA Cars Buyers DB'!$A:$A,'RAWDATA Cars Buyers DB'!K:K)&gt;54,"Old ",IF(_xlfn.XLOOKUP($A135,'RAWDATA Cars Buyers DB'!$A:$A,'RAWDATA Cars Buyers DB'!K:K)&gt;=31,"Middle Age ",IF(_xlfn.XLOOKUP($A135,'RAWDATA Cars Buyers DB'!$A:$A,'RAWDATA Cars Buyers DB'!K:K)&lt;31,"Adolescent","Invalid")))</f>
        <v xml:space="preserve">Old </v>
      </c>
      <c r="M135" s="8" t="str">
        <f>_xlfn.XLOOKUP($A135,'RAWDATA Cars Buyers DB'!$A:$A,'RAWDATA Cars Buyers DB'!L:L)</f>
        <v>No</v>
      </c>
    </row>
    <row r="136" spans="1:13">
      <c r="A136" s="6">
        <v>64268</v>
      </c>
      <c r="B136" s="10" t="str">
        <f>IF(_xlfn.XLOOKUP($A136,'RAWDATA Cars Buyers DB'!$A:$A,'RAWDATA Cars Buyers DB'!B:B)="S","Single","Married")</f>
        <v>Married</v>
      </c>
      <c r="C136" s="10" t="str">
        <f>IF(_xlfn.XLOOKUP($A136,'RAWDATA Cars Buyers DB'!$A:$A,'RAWDATA Cars Buyers DB'!C:C)="F","Female","Male")</f>
        <v>Male</v>
      </c>
      <c r="D136" s="7">
        <f>_xlfn.XLOOKUP($A136,'RAWDATA Cars Buyers DB'!$A:$A,'RAWDATA Cars Buyers DB'!D:D)</f>
        <v>97872</v>
      </c>
      <c r="E136" s="8">
        <f>_xlfn.XLOOKUP($A136,'RAWDATA Cars Buyers DB'!$A:$A,'RAWDATA Cars Buyers DB'!E:E)</f>
        <v>0</v>
      </c>
      <c r="F136" s="8" t="str">
        <f>_xlfn.XLOOKUP($A136,'RAWDATA Cars Buyers DB'!$A:$A,'RAWDATA Cars Buyers DB'!F:F)</f>
        <v>Bachelors</v>
      </c>
      <c r="G136" s="8" t="str">
        <f>_xlfn.XLOOKUP($A136,'RAWDATA Cars Buyers DB'!$A:$A,'RAWDATA Cars Buyers DB'!G:G)</f>
        <v>Skilled Manual</v>
      </c>
      <c r="H136" s="8" t="str">
        <f>_xlfn.XLOOKUP($A136,'RAWDATA Cars Buyers DB'!$A:$A,'RAWDATA Cars Buyers DB'!H:H)</f>
        <v>Yes</v>
      </c>
      <c r="I136" s="8" t="str">
        <f>_xlfn.XLOOKUP($A136,'RAWDATA Cars Buyers DB'!$A:$A,'RAWDATA Cars Buyers DB'!I:I)</f>
        <v>0–1 Kilometre</v>
      </c>
      <c r="J136" s="8" t="str">
        <f>_xlfn.XLOOKUP($A136,'RAWDATA Cars Buyers DB'!$A:$A,'RAWDATA Cars Buyers DB'!J:J)</f>
        <v>Mecklenburg-Vorpommern</v>
      </c>
      <c r="K136" s="8">
        <f>_xlfn.XLOOKUP($A136,'RAWDATA Cars Buyers DB'!$A:$A,'RAWDATA Cars Buyers DB'!K:K)</f>
        <v>46</v>
      </c>
      <c r="L136" s="10" t="str">
        <f>IF(_xlfn.XLOOKUP($A136,'RAWDATA Cars Buyers DB'!$A:$A,'RAWDATA Cars Buyers DB'!K:K)&gt;54,"Old ",IF(_xlfn.XLOOKUP($A136,'RAWDATA Cars Buyers DB'!$A:$A,'RAWDATA Cars Buyers DB'!K:K)&gt;=31,"Middle Age ",IF(_xlfn.XLOOKUP($A136,'RAWDATA Cars Buyers DB'!$A:$A,'RAWDATA Cars Buyers DB'!K:K)&lt;31,"Adolescent","Invalid")))</f>
        <v xml:space="preserve">Middle Age </v>
      </c>
      <c r="M136" s="8" t="str">
        <f>_xlfn.XLOOKUP($A136,'RAWDATA Cars Buyers DB'!$A:$A,'RAWDATA Cars Buyers DB'!L:L)</f>
        <v>Yes</v>
      </c>
    </row>
    <row r="137" spans="1:13">
      <c r="A137" s="6">
        <v>97939</v>
      </c>
      <c r="B137" s="10" t="str">
        <f>IF(_xlfn.XLOOKUP($A137,'RAWDATA Cars Buyers DB'!$A:$A,'RAWDATA Cars Buyers DB'!B:B)="S","Single","Married")</f>
        <v>Single</v>
      </c>
      <c r="C137" s="10" t="str">
        <f>IF(_xlfn.XLOOKUP($A137,'RAWDATA Cars Buyers DB'!$A:$A,'RAWDATA Cars Buyers DB'!C:C)="F","Female","Male")</f>
        <v>Male</v>
      </c>
      <c r="D137" s="7">
        <f>_xlfn.XLOOKUP($A137,'RAWDATA Cars Buyers DB'!$A:$A,'RAWDATA Cars Buyers DB'!D:D)</f>
        <v>94878</v>
      </c>
      <c r="E137" s="8">
        <f>_xlfn.XLOOKUP($A137,'RAWDATA Cars Buyers DB'!$A:$A,'RAWDATA Cars Buyers DB'!E:E)</f>
        <v>1</v>
      </c>
      <c r="F137" s="8" t="str">
        <f>_xlfn.XLOOKUP($A137,'RAWDATA Cars Buyers DB'!$A:$A,'RAWDATA Cars Buyers DB'!F:F)</f>
        <v>Graduate Degree</v>
      </c>
      <c r="G137" s="8" t="str">
        <f>_xlfn.XLOOKUP($A137,'RAWDATA Cars Buyers DB'!$A:$A,'RAWDATA Cars Buyers DB'!G:G)</f>
        <v>Management</v>
      </c>
      <c r="H137" s="8" t="str">
        <f>_xlfn.XLOOKUP($A137,'RAWDATA Cars Buyers DB'!$A:$A,'RAWDATA Cars Buyers DB'!H:H)</f>
        <v>Yes</v>
      </c>
      <c r="I137" s="8" t="str">
        <f>_xlfn.XLOOKUP($A137,'RAWDATA Cars Buyers DB'!$A:$A,'RAWDATA Cars Buyers DB'!I:I)</f>
        <v>0–1 Kilometre</v>
      </c>
      <c r="J137" s="8" t="str">
        <f>_xlfn.XLOOKUP($A137,'RAWDATA Cars Buyers DB'!$A:$A,'RAWDATA Cars Buyers DB'!J:J)</f>
        <v>Berlin</v>
      </c>
      <c r="K137" s="8">
        <f>_xlfn.XLOOKUP($A137,'RAWDATA Cars Buyers DB'!$A:$A,'RAWDATA Cars Buyers DB'!K:K)</f>
        <v>69</v>
      </c>
      <c r="L137" s="10" t="str">
        <f>IF(_xlfn.XLOOKUP($A137,'RAWDATA Cars Buyers DB'!$A:$A,'RAWDATA Cars Buyers DB'!K:K)&gt;54,"Old ",IF(_xlfn.XLOOKUP($A137,'RAWDATA Cars Buyers DB'!$A:$A,'RAWDATA Cars Buyers DB'!K:K)&gt;=31,"Middle Age ",IF(_xlfn.XLOOKUP($A137,'RAWDATA Cars Buyers DB'!$A:$A,'RAWDATA Cars Buyers DB'!K:K)&lt;31,"Adolescent","Invalid")))</f>
        <v xml:space="preserve">Old </v>
      </c>
      <c r="M137" s="8" t="str">
        <f>_xlfn.XLOOKUP($A137,'RAWDATA Cars Buyers DB'!$A:$A,'RAWDATA Cars Buyers DB'!L:L)</f>
        <v>Yes</v>
      </c>
    </row>
    <row r="138" spans="1:13">
      <c r="A138" s="6">
        <v>28141</v>
      </c>
      <c r="B138" s="10" t="str">
        <f>IF(_xlfn.XLOOKUP($A138,'RAWDATA Cars Buyers DB'!$A:$A,'RAWDATA Cars Buyers DB'!B:B)="S","Single","Married")</f>
        <v>Married</v>
      </c>
      <c r="C138" s="10" t="str">
        <f>IF(_xlfn.XLOOKUP($A138,'RAWDATA Cars Buyers DB'!$A:$A,'RAWDATA Cars Buyers DB'!C:C)="F","Female","Male")</f>
        <v>Female</v>
      </c>
      <c r="D138" s="7">
        <f>_xlfn.XLOOKUP($A138,'RAWDATA Cars Buyers DB'!$A:$A,'RAWDATA Cars Buyers DB'!D:D)</f>
        <v>92982</v>
      </c>
      <c r="E138" s="8">
        <f>_xlfn.XLOOKUP($A138,'RAWDATA Cars Buyers DB'!$A:$A,'RAWDATA Cars Buyers DB'!E:E)</f>
        <v>5</v>
      </c>
      <c r="F138" s="8" t="str">
        <f>_xlfn.XLOOKUP($A138,'RAWDATA Cars Buyers DB'!$A:$A,'RAWDATA Cars Buyers DB'!F:F)</f>
        <v>Partial College</v>
      </c>
      <c r="G138" s="8" t="str">
        <f>_xlfn.XLOOKUP($A138,'RAWDATA Cars Buyers DB'!$A:$A,'RAWDATA Cars Buyers DB'!G:G)</f>
        <v>Clerical</v>
      </c>
      <c r="H138" s="8" t="str">
        <f>_xlfn.XLOOKUP($A138,'RAWDATA Cars Buyers DB'!$A:$A,'RAWDATA Cars Buyers DB'!H:H)</f>
        <v>No</v>
      </c>
      <c r="I138" s="8" t="str">
        <f>_xlfn.XLOOKUP($A138,'RAWDATA Cars Buyers DB'!$A:$A,'RAWDATA Cars Buyers DB'!I:I)</f>
        <v>6+ Kilometre</v>
      </c>
      <c r="J138" s="8" t="str">
        <f>_xlfn.XLOOKUP($A138,'RAWDATA Cars Buyers DB'!$A:$A,'RAWDATA Cars Buyers DB'!J:J)</f>
        <v>Brandenburg</v>
      </c>
      <c r="K138" s="8">
        <f>_xlfn.XLOOKUP($A138,'RAWDATA Cars Buyers DB'!$A:$A,'RAWDATA Cars Buyers DB'!K:K)</f>
        <v>33</v>
      </c>
      <c r="L138" s="10" t="str">
        <f>IF(_xlfn.XLOOKUP($A138,'RAWDATA Cars Buyers DB'!$A:$A,'RAWDATA Cars Buyers DB'!K:K)&gt;54,"Old ",IF(_xlfn.XLOOKUP($A138,'RAWDATA Cars Buyers DB'!$A:$A,'RAWDATA Cars Buyers DB'!K:K)&gt;=31,"Middle Age ",IF(_xlfn.XLOOKUP($A138,'RAWDATA Cars Buyers DB'!$A:$A,'RAWDATA Cars Buyers DB'!K:K)&lt;31,"Adolescent","Invalid")))</f>
        <v xml:space="preserve">Middle Age </v>
      </c>
      <c r="M138" s="8" t="str">
        <f>_xlfn.XLOOKUP($A138,'RAWDATA Cars Buyers DB'!$A:$A,'RAWDATA Cars Buyers DB'!L:L)</f>
        <v>Yes</v>
      </c>
    </row>
    <row r="139" spans="1:13">
      <c r="A139" s="6">
        <v>90356</v>
      </c>
      <c r="B139" s="10" t="str">
        <f>IF(_xlfn.XLOOKUP($A139,'RAWDATA Cars Buyers DB'!$A:$A,'RAWDATA Cars Buyers DB'!B:B)="S","Single","Married")</f>
        <v>Single</v>
      </c>
      <c r="C139" s="10" t="str">
        <f>IF(_xlfn.XLOOKUP($A139,'RAWDATA Cars Buyers DB'!$A:$A,'RAWDATA Cars Buyers DB'!C:C)="F","Female","Male")</f>
        <v>Male</v>
      </c>
      <c r="D139" s="7">
        <f>_xlfn.XLOOKUP($A139,'RAWDATA Cars Buyers DB'!$A:$A,'RAWDATA Cars Buyers DB'!D:D)</f>
        <v>70583</v>
      </c>
      <c r="E139" s="8">
        <f>_xlfn.XLOOKUP($A139,'RAWDATA Cars Buyers DB'!$A:$A,'RAWDATA Cars Buyers DB'!E:E)</f>
        <v>4</v>
      </c>
      <c r="F139" s="8" t="str">
        <f>_xlfn.XLOOKUP($A139,'RAWDATA Cars Buyers DB'!$A:$A,'RAWDATA Cars Buyers DB'!F:F)</f>
        <v>High School</v>
      </c>
      <c r="G139" s="8" t="str">
        <f>_xlfn.XLOOKUP($A139,'RAWDATA Cars Buyers DB'!$A:$A,'RAWDATA Cars Buyers DB'!G:G)</f>
        <v>Professional</v>
      </c>
      <c r="H139" s="8" t="str">
        <f>_xlfn.XLOOKUP($A139,'RAWDATA Cars Buyers DB'!$A:$A,'RAWDATA Cars Buyers DB'!H:H)</f>
        <v>No</v>
      </c>
      <c r="I139" s="8" t="str">
        <f>_xlfn.XLOOKUP($A139,'RAWDATA Cars Buyers DB'!$A:$A,'RAWDATA Cars Buyers DB'!I:I)</f>
        <v>4–6 Kilometre</v>
      </c>
      <c r="J139" s="8" t="str">
        <f>_xlfn.XLOOKUP($A139,'RAWDATA Cars Buyers DB'!$A:$A,'RAWDATA Cars Buyers DB'!J:J)</f>
        <v>Mecklenburg-Vorpommern</v>
      </c>
      <c r="K139" s="8">
        <f>_xlfn.XLOOKUP($A139,'RAWDATA Cars Buyers DB'!$A:$A,'RAWDATA Cars Buyers DB'!K:K)</f>
        <v>66</v>
      </c>
      <c r="L139" s="10" t="str">
        <f>IF(_xlfn.XLOOKUP($A139,'RAWDATA Cars Buyers DB'!$A:$A,'RAWDATA Cars Buyers DB'!K:K)&gt;54,"Old ",IF(_xlfn.XLOOKUP($A139,'RAWDATA Cars Buyers DB'!$A:$A,'RAWDATA Cars Buyers DB'!K:K)&gt;=31,"Middle Age ",IF(_xlfn.XLOOKUP($A139,'RAWDATA Cars Buyers DB'!$A:$A,'RAWDATA Cars Buyers DB'!K:K)&lt;31,"Adolescent","Invalid")))</f>
        <v xml:space="preserve">Old </v>
      </c>
      <c r="M139" s="8" t="str">
        <f>_xlfn.XLOOKUP($A139,'RAWDATA Cars Buyers DB'!$A:$A,'RAWDATA Cars Buyers DB'!L:L)</f>
        <v>Yes</v>
      </c>
    </row>
    <row r="140" spans="1:13">
      <c r="A140" s="6">
        <v>81910</v>
      </c>
      <c r="B140" s="10" t="str">
        <f>IF(_xlfn.XLOOKUP($A140,'RAWDATA Cars Buyers DB'!$A:$A,'RAWDATA Cars Buyers DB'!B:B)="S","Single","Married")</f>
        <v>Single</v>
      </c>
      <c r="C140" s="10" t="str">
        <f>IF(_xlfn.XLOOKUP($A140,'RAWDATA Cars Buyers DB'!$A:$A,'RAWDATA Cars Buyers DB'!C:C)="F","Female","Male")</f>
        <v>Female</v>
      </c>
      <c r="D140" s="7">
        <f>_xlfn.XLOOKUP($A140,'RAWDATA Cars Buyers DB'!$A:$A,'RAWDATA Cars Buyers DB'!D:D)</f>
        <v>58392</v>
      </c>
      <c r="E140" s="8">
        <f>_xlfn.XLOOKUP($A140,'RAWDATA Cars Buyers DB'!$A:$A,'RAWDATA Cars Buyers DB'!E:E)</f>
        <v>1</v>
      </c>
      <c r="F140" s="8" t="str">
        <f>_xlfn.XLOOKUP($A140,'RAWDATA Cars Buyers DB'!$A:$A,'RAWDATA Cars Buyers DB'!F:F)</f>
        <v>Graduate Degree</v>
      </c>
      <c r="G140" s="8" t="str">
        <f>_xlfn.XLOOKUP($A140,'RAWDATA Cars Buyers DB'!$A:$A,'RAWDATA Cars Buyers DB'!G:G)</f>
        <v>Management</v>
      </c>
      <c r="H140" s="8" t="str">
        <f>_xlfn.XLOOKUP($A140,'RAWDATA Cars Buyers DB'!$A:$A,'RAWDATA Cars Buyers DB'!H:H)</f>
        <v>No</v>
      </c>
      <c r="I140" s="8" t="str">
        <f>_xlfn.XLOOKUP($A140,'RAWDATA Cars Buyers DB'!$A:$A,'RAWDATA Cars Buyers DB'!I:I)</f>
        <v>0–1 Kilometre</v>
      </c>
      <c r="J140" s="8" t="str">
        <f>_xlfn.XLOOKUP($A140,'RAWDATA Cars Buyers DB'!$A:$A,'RAWDATA Cars Buyers DB'!J:J)</f>
        <v>Saxony</v>
      </c>
      <c r="K140" s="8">
        <f>_xlfn.XLOOKUP($A140,'RAWDATA Cars Buyers DB'!$A:$A,'RAWDATA Cars Buyers DB'!K:K)</f>
        <v>24</v>
      </c>
      <c r="L140" s="10" t="str">
        <f>IF(_xlfn.XLOOKUP($A140,'RAWDATA Cars Buyers DB'!$A:$A,'RAWDATA Cars Buyers DB'!K:K)&gt;54,"Old ",IF(_xlfn.XLOOKUP($A140,'RAWDATA Cars Buyers DB'!$A:$A,'RAWDATA Cars Buyers DB'!K:K)&gt;=31,"Middle Age ",IF(_xlfn.XLOOKUP($A140,'RAWDATA Cars Buyers DB'!$A:$A,'RAWDATA Cars Buyers DB'!K:K)&lt;31,"Adolescent","Invalid")))</f>
        <v>Adolescent</v>
      </c>
      <c r="M140" s="8" t="str">
        <f>_xlfn.XLOOKUP($A140,'RAWDATA Cars Buyers DB'!$A:$A,'RAWDATA Cars Buyers DB'!L:L)</f>
        <v>Yes</v>
      </c>
    </row>
    <row r="141" spans="1:13">
      <c r="A141" s="6">
        <v>66044</v>
      </c>
      <c r="B141" s="10" t="str">
        <f>IF(_xlfn.XLOOKUP($A141,'RAWDATA Cars Buyers DB'!$A:$A,'RAWDATA Cars Buyers DB'!B:B)="S","Single","Married")</f>
        <v>Single</v>
      </c>
      <c r="C141" s="10" t="str">
        <f>IF(_xlfn.XLOOKUP($A141,'RAWDATA Cars Buyers DB'!$A:$A,'RAWDATA Cars Buyers DB'!C:C)="F","Female","Male")</f>
        <v>Female</v>
      </c>
      <c r="D141" s="7">
        <f>_xlfn.XLOOKUP($A141,'RAWDATA Cars Buyers DB'!$A:$A,'RAWDATA Cars Buyers DB'!D:D)</f>
        <v>27461</v>
      </c>
      <c r="E141" s="8">
        <f>_xlfn.XLOOKUP($A141,'RAWDATA Cars Buyers DB'!$A:$A,'RAWDATA Cars Buyers DB'!E:E)</f>
        <v>0</v>
      </c>
      <c r="F141" s="8" t="str">
        <f>_xlfn.XLOOKUP($A141,'RAWDATA Cars Buyers DB'!$A:$A,'RAWDATA Cars Buyers DB'!F:F)</f>
        <v>Partial College</v>
      </c>
      <c r="G141" s="8" t="str">
        <f>_xlfn.XLOOKUP($A141,'RAWDATA Cars Buyers DB'!$A:$A,'RAWDATA Cars Buyers DB'!G:G)</f>
        <v>Management</v>
      </c>
      <c r="H141" s="8" t="str">
        <f>_xlfn.XLOOKUP($A141,'RAWDATA Cars Buyers DB'!$A:$A,'RAWDATA Cars Buyers DB'!H:H)</f>
        <v>Yes</v>
      </c>
      <c r="I141" s="8" t="str">
        <f>_xlfn.XLOOKUP($A141,'RAWDATA Cars Buyers DB'!$A:$A,'RAWDATA Cars Buyers DB'!I:I)</f>
        <v>4–6 Kilometre</v>
      </c>
      <c r="J141" s="8" t="str">
        <f>_xlfn.XLOOKUP($A141,'RAWDATA Cars Buyers DB'!$A:$A,'RAWDATA Cars Buyers DB'!J:J)</f>
        <v>Bavaria</v>
      </c>
      <c r="K141" s="8">
        <f>_xlfn.XLOOKUP($A141,'RAWDATA Cars Buyers DB'!$A:$A,'RAWDATA Cars Buyers DB'!K:K)</f>
        <v>55</v>
      </c>
      <c r="L141" s="10" t="str">
        <f>IF(_xlfn.XLOOKUP($A141,'RAWDATA Cars Buyers DB'!$A:$A,'RAWDATA Cars Buyers DB'!K:K)&gt;54,"Old ",IF(_xlfn.XLOOKUP($A141,'RAWDATA Cars Buyers DB'!$A:$A,'RAWDATA Cars Buyers DB'!K:K)&gt;=31,"Middle Age ",IF(_xlfn.XLOOKUP($A141,'RAWDATA Cars Buyers DB'!$A:$A,'RAWDATA Cars Buyers DB'!K:K)&lt;31,"Adolescent","Invalid")))</f>
        <v xml:space="preserve">Old </v>
      </c>
      <c r="M141" s="8" t="str">
        <f>_xlfn.XLOOKUP($A141,'RAWDATA Cars Buyers DB'!$A:$A,'RAWDATA Cars Buyers DB'!L:L)</f>
        <v>No</v>
      </c>
    </row>
    <row r="142" spans="1:13">
      <c r="A142" s="6">
        <v>77214</v>
      </c>
      <c r="B142" s="10" t="str">
        <f>IF(_xlfn.XLOOKUP($A142,'RAWDATA Cars Buyers DB'!$A:$A,'RAWDATA Cars Buyers DB'!B:B)="S","Single","Married")</f>
        <v>Single</v>
      </c>
      <c r="C142" s="10" t="str">
        <f>IF(_xlfn.XLOOKUP($A142,'RAWDATA Cars Buyers DB'!$A:$A,'RAWDATA Cars Buyers DB'!C:C)="F","Female","Male")</f>
        <v>Female</v>
      </c>
      <c r="D142" s="7">
        <f>_xlfn.XLOOKUP($A142,'RAWDATA Cars Buyers DB'!$A:$A,'RAWDATA Cars Buyers DB'!D:D)</f>
        <v>30516</v>
      </c>
      <c r="E142" s="8">
        <f>_xlfn.XLOOKUP($A142,'RAWDATA Cars Buyers DB'!$A:$A,'RAWDATA Cars Buyers DB'!E:E)</f>
        <v>1</v>
      </c>
      <c r="F142" s="8" t="str">
        <f>_xlfn.XLOOKUP($A142,'RAWDATA Cars Buyers DB'!$A:$A,'RAWDATA Cars Buyers DB'!F:F)</f>
        <v>Graduate Degree</v>
      </c>
      <c r="G142" s="8" t="str">
        <f>_xlfn.XLOOKUP($A142,'RAWDATA Cars Buyers DB'!$A:$A,'RAWDATA Cars Buyers DB'!G:G)</f>
        <v>Professional</v>
      </c>
      <c r="H142" s="8" t="str">
        <f>_xlfn.XLOOKUP($A142,'RAWDATA Cars Buyers DB'!$A:$A,'RAWDATA Cars Buyers DB'!H:H)</f>
        <v>No</v>
      </c>
      <c r="I142" s="8" t="str">
        <f>_xlfn.XLOOKUP($A142,'RAWDATA Cars Buyers DB'!$A:$A,'RAWDATA Cars Buyers DB'!I:I)</f>
        <v>4–6 Kilometre</v>
      </c>
      <c r="J142" s="8" t="str">
        <f>_xlfn.XLOOKUP($A142,'RAWDATA Cars Buyers DB'!$A:$A,'RAWDATA Cars Buyers DB'!J:J)</f>
        <v>Brandenburg</v>
      </c>
      <c r="K142" s="8">
        <f>_xlfn.XLOOKUP($A142,'RAWDATA Cars Buyers DB'!$A:$A,'RAWDATA Cars Buyers DB'!K:K)</f>
        <v>51</v>
      </c>
      <c r="L142" s="10" t="str">
        <f>IF(_xlfn.XLOOKUP($A142,'RAWDATA Cars Buyers DB'!$A:$A,'RAWDATA Cars Buyers DB'!K:K)&gt;54,"Old ",IF(_xlfn.XLOOKUP($A142,'RAWDATA Cars Buyers DB'!$A:$A,'RAWDATA Cars Buyers DB'!K:K)&gt;=31,"Middle Age ",IF(_xlfn.XLOOKUP($A142,'RAWDATA Cars Buyers DB'!$A:$A,'RAWDATA Cars Buyers DB'!K:K)&lt;31,"Adolescent","Invalid")))</f>
        <v xml:space="preserve">Middle Age </v>
      </c>
      <c r="M142" s="8" t="str">
        <f>_xlfn.XLOOKUP($A142,'RAWDATA Cars Buyers DB'!$A:$A,'RAWDATA Cars Buyers DB'!L:L)</f>
        <v>Yes</v>
      </c>
    </row>
    <row r="143" spans="1:13">
      <c r="A143" s="6">
        <v>43827</v>
      </c>
      <c r="B143" s="10" t="str">
        <f>IF(_xlfn.XLOOKUP($A143,'RAWDATA Cars Buyers DB'!$A:$A,'RAWDATA Cars Buyers DB'!B:B)="S","Single","Married")</f>
        <v>Single</v>
      </c>
      <c r="C143" s="10" t="str">
        <f>IF(_xlfn.XLOOKUP($A143,'RAWDATA Cars Buyers DB'!$A:$A,'RAWDATA Cars Buyers DB'!C:C)="F","Female","Male")</f>
        <v>Male</v>
      </c>
      <c r="D143" s="7">
        <f>_xlfn.XLOOKUP($A143,'RAWDATA Cars Buyers DB'!$A:$A,'RAWDATA Cars Buyers DB'!D:D)</f>
        <v>99285</v>
      </c>
      <c r="E143" s="8">
        <f>_xlfn.XLOOKUP($A143,'RAWDATA Cars Buyers DB'!$A:$A,'RAWDATA Cars Buyers DB'!E:E)</f>
        <v>5</v>
      </c>
      <c r="F143" s="8" t="str">
        <f>_xlfn.XLOOKUP($A143,'RAWDATA Cars Buyers DB'!$A:$A,'RAWDATA Cars Buyers DB'!F:F)</f>
        <v>High School</v>
      </c>
      <c r="G143" s="8" t="str">
        <f>_xlfn.XLOOKUP($A143,'RAWDATA Cars Buyers DB'!$A:$A,'RAWDATA Cars Buyers DB'!G:G)</f>
        <v>Management</v>
      </c>
      <c r="H143" s="8" t="str">
        <f>_xlfn.XLOOKUP($A143,'RAWDATA Cars Buyers DB'!$A:$A,'RAWDATA Cars Buyers DB'!H:H)</f>
        <v>Yes</v>
      </c>
      <c r="I143" s="8" t="str">
        <f>_xlfn.XLOOKUP($A143,'RAWDATA Cars Buyers DB'!$A:$A,'RAWDATA Cars Buyers DB'!I:I)</f>
        <v>6+ Kilometre</v>
      </c>
      <c r="J143" s="8" t="str">
        <f>_xlfn.XLOOKUP($A143,'RAWDATA Cars Buyers DB'!$A:$A,'RAWDATA Cars Buyers DB'!J:J)</f>
        <v>North Rhine-Westphalia</v>
      </c>
      <c r="K143" s="8">
        <f>_xlfn.XLOOKUP($A143,'RAWDATA Cars Buyers DB'!$A:$A,'RAWDATA Cars Buyers DB'!K:K)</f>
        <v>53</v>
      </c>
      <c r="L143" s="10" t="str">
        <f>IF(_xlfn.XLOOKUP($A143,'RAWDATA Cars Buyers DB'!$A:$A,'RAWDATA Cars Buyers DB'!K:K)&gt;54,"Old ",IF(_xlfn.XLOOKUP($A143,'RAWDATA Cars Buyers DB'!$A:$A,'RAWDATA Cars Buyers DB'!K:K)&gt;=31,"Middle Age ",IF(_xlfn.XLOOKUP($A143,'RAWDATA Cars Buyers DB'!$A:$A,'RAWDATA Cars Buyers DB'!K:K)&lt;31,"Adolescent","Invalid")))</f>
        <v xml:space="preserve">Middle Age </v>
      </c>
      <c r="M143" s="8" t="str">
        <f>_xlfn.XLOOKUP($A143,'RAWDATA Cars Buyers DB'!$A:$A,'RAWDATA Cars Buyers DB'!L:L)</f>
        <v>Yes</v>
      </c>
    </row>
    <row r="144" spans="1:13">
      <c r="A144" s="6">
        <v>65820</v>
      </c>
      <c r="B144" s="10" t="str">
        <f>IF(_xlfn.XLOOKUP($A144,'RAWDATA Cars Buyers DB'!$A:$A,'RAWDATA Cars Buyers DB'!B:B)="S","Single","Married")</f>
        <v>Single</v>
      </c>
      <c r="C144" s="10" t="str">
        <f>IF(_xlfn.XLOOKUP($A144,'RAWDATA Cars Buyers DB'!$A:$A,'RAWDATA Cars Buyers DB'!C:C)="F","Female","Male")</f>
        <v>Female</v>
      </c>
      <c r="D144" s="7">
        <f>_xlfn.XLOOKUP($A144,'RAWDATA Cars Buyers DB'!$A:$A,'RAWDATA Cars Buyers DB'!D:D)</f>
        <v>37514</v>
      </c>
      <c r="E144" s="8">
        <f>_xlfn.XLOOKUP($A144,'RAWDATA Cars Buyers DB'!$A:$A,'RAWDATA Cars Buyers DB'!E:E)</f>
        <v>1</v>
      </c>
      <c r="F144" s="8" t="str">
        <f>_xlfn.XLOOKUP($A144,'RAWDATA Cars Buyers DB'!$A:$A,'RAWDATA Cars Buyers DB'!F:F)</f>
        <v>High School</v>
      </c>
      <c r="G144" s="8" t="str">
        <f>_xlfn.XLOOKUP($A144,'RAWDATA Cars Buyers DB'!$A:$A,'RAWDATA Cars Buyers DB'!G:G)</f>
        <v>Skilled Manual</v>
      </c>
      <c r="H144" s="8" t="str">
        <f>_xlfn.XLOOKUP($A144,'RAWDATA Cars Buyers DB'!$A:$A,'RAWDATA Cars Buyers DB'!H:H)</f>
        <v>Yes</v>
      </c>
      <c r="I144" s="8" t="str">
        <f>_xlfn.XLOOKUP($A144,'RAWDATA Cars Buyers DB'!$A:$A,'RAWDATA Cars Buyers DB'!I:I)</f>
        <v>4–6 Kilometre</v>
      </c>
      <c r="J144" s="8" t="str">
        <f>_xlfn.XLOOKUP($A144,'RAWDATA Cars Buyers DB'!$A:$A,'RAWDATA Cars Buyers DB'!J:J)</f>
        <v>Baden-Württemberg</v>
      </c>
      <c r="K144" s="8">
        <f>_xlfn.XLOOKUP($A144,'RAWDATA Cars Buyers DB'!$A:$A,'RAWDATA Cars Buyers DB'!K:K)</f>
        <v>26</v>
      </c>
      <c r="L144" s="10" t="str">
        <f>IF(_xlfn.XLOOKUP($A144,'RAWDATA Cars Buyers DB'!$A:$A,'RAWDATA Cars Buyers DB'!K:K)&gt;54,"Old ",IF(_xlfn.XLOOKUP($A144,'RAWDATA Cars Buyers DB'!$A:$A,'RAWDATA Cars Buyers DB'!K:K)&gt;=31,"Middle Age ",IF(_xlfn.XLOOKUP($A144,'RAWDATA Cars Buyers DB'!$A:$A,'RAWDATA Cars Buyers DB'!K:K)&lt;31,"Adolescent","Invalid")))</f>
        <v>Adolescent</v>
      </c>
      <c r="M144" s="8" t="str">
        <f>_xlfn.XLOOKUP($A144,'RAWDATA Cars Buyers DB'!$A:$A,'RAWDATA Cars Buyers DB'!L:L)</f>
        <v>Yes</v>
      </c>
    </row>
    <row r="145" spans="1:13">
      <c r="A145" s="6">
        <v>72623</v>
      </c>
      <c r="B145" s="10" t="str">
        <f>IF(_xlfn.XLOOKUP($A145,'RAWDATA Cars Buyers DB'!$A:$A,'RAWDATA Cars Buyers DB'!B:B)="S","Single","Married")</f>
        <v>Single</v>
      </c>
      <c r="C145" s="10" t="str">
        <f>IF(_xlfn.XLOOKUP($A145,'RAWDATA Cars Buyers DB'!$A:$A,'RAWDATA Cars Buyers DB'!C:C)="F","Female","Male")</f>
        <v>Female</v>
      </c>
      <c r="D145" s="7">
        <f>_xlfn.XLOOKUP($A145,'RAWDATA Cars Buyers DB'!$A:$A,'RAWDATA Cars Buyers DB'!D:D)</f>
        <v>56268</v>
      </c>
      <c r="E145" s="8">
        <f>_xlfn.XLOOKUP($A145,'RAWDATA Cars Buyers DB'!$A:$A,'RAWDATA Cars Buyers DB'!E:E)</f>
        <v>4</v>
      </c>
      <c r="F145" s="8" t="str">
        <f>_xlfn.XLOOKUP($A145,'RAWDATA Cars Buyers DB'!$A:$A,'RAWDATA Cars Buyers DB'!F:F)</f>
        <v>Graduate Degree</v>
      </c>
      <c r="G145" s="8" t="str">
        <f>_xlfn.XLOOKUP($A145,'RAWDATA Cars Buyers DB'!$A:$A,'RAWDATA Cars Buyers DB'!G:G)</f>
        <v>Professional</v>
      </c>
      <c r="H145" s="8" t="str">
        <f>_xlfn.XLOOKUP($A145,'RAWDATA Cars Buyers DB'!$A:$A,'RAWDATA Cars Buyers DB'!H:H)</f>
        <v>Yes</v>
      </c>
      <c r="I145" s="8" t="str">
        <f>_xlfn.XLOOKUP($A145,'RAWDATA Cars Buyers DB'!$A:$A,'RAWDATA Cars Buyers DB'!I:I)</f>
        <v>1–2 Kilometre</v>
      </c>
      <c r="J145" s="8" t="str">
        <f>_xlfn.XLOOKUP($A145,'RAWDATA Cars Buyers DB'!$A:$A,'RAWDATA Cars Buyers DB'!J:J)</f>
        <v>Hamburg</v>
      </c>
      <c r="K145" s="8">
        <f>_xlfn.XLOOKUP($A145,'RAWDATA Cars Buyers DB'!$A:$A,'RAWDATA Cars Buyers DB'!K:K)</f>
        <v>61</v>
      </c>
      <c r="L145" s="10" t="str">
        <f>IF(_xlfn.XLOOKUP($A145,'RAWDATA Cars Buyers DB'!$A:$A,'RAWDATA Cars Buyers DB'!K:K)&gt;54,"Old ",IF(_xlfn.XLOOKUP($A145,'RAWDATA Cars Buyers DB'!$A:$A,'RAWDATA Cars Buyers DB'!K:K)&gt;=31,"Middle Age ",IF(_xlfn.XLOOKUP($A145,'RAWDATA Cars Buyers DB'!$A:$A,'RAWDATA Cars Buyers DB'!K:K)&lt;31,"Adolescent","Invalid")))</f>
        <v xml:space="preserve">Old </v>
      </c>
      <c r="M145" s="8" t="str">
        <f>_xlfn.XLOOKUP($A145,'RAWDATA Cars Buyers DB'!$A:$A,'RAWDATA Cars Buyers DB'!L:L)</f>
        <v>Yes</v>
      </c>
    </row>
    <row r="146" spans="1:13">
      <c r="A146" s="6">
        <v>91734</v>
      </c>
      <c r="B146" s="10" t="str">
        <f>IF(_xlfn.XLOOKUP($A146,'RAWDATA Cars Buyers DB'!$A:$A,'RAWDATA Cars Buyers DB'!B:B)="S","Single","Married")</f>
        <v>Single</v>
      </c>
      <c r="C146" s="10" t="str">
        <f>IF(_xlfn.XLOOKUP($A146,'RAWDATA Cars Buyers DB'!$A:$A,'RAWDATA Cars Buyers DB'!C:C)="F","Female","Male")</f>
        <v>Female</v>
      </c>
      <c r="D146" s="7">
        <f>_xlfn.XLOOKUP($A146,'RAWDATA Cars Buyers DB'!$A:$A,'RAWDATA Cars Buyers DB'!D:D)</f>
        <v>110486</v>
      </c>
      <c r="E146" s="8">
        <f>_xlfn.XLOOKUP($A146,'RAWDATA Cars Buyers DB'!$A:$A,'RAWDATA Cars Buyers DB'!E:E)</f>
        <v>3</v>
      </c>
      <c r="F146" s="8" t="str">
        <f>_xlfn.XLOOKUP($A146,'RAWDATA Cars Buyers DB'!$A:$A,'RAWDATA Cars Buyers DB'!F:F)</f>
        <v>Bachelors</v>
      </c>
      <c r="G146" s="8" t="str">
        <f>_xlfn.XLOOKUP($A146,'RAWDATA Cars Buyers DB'!$A:$A,'RAWDATA Cars Buyers DB'!G:G)</f>
        <v>Management</v>
      </c>
      <c r="H146" s="8" t="str">
        <f>_xlfn.XLOOKUP($A146,'RAWDATA Cars Buyers DB'!$A:$A,'RAWDATA Cars Buyers DB'!H:H)</f>
        <v>No</v>
      </c>
      <c r="I146" s="8" t="str">
        <f>_xlfn.XLOOKUP($A146,'RAWDATA Cars Buyers DB'!$A:$A,'RAWDATA Cars Buyers DB'!I:I)</f>
        <v>4–6 Kilometre</v>
      </c>
      <c r="J146" s="8" t="str">
        <f>_xlfn.XLOOKUP($A146,'RAWDATA Cars Buyers DB'!$A:$A,'RAWDATA Cars Buyers DB'!J:J)</f>
        <v>Bremen</v>
      </c>
      <c r="K146" s="8">
        <f>_xlfn.XLOOKUP($A146,'RAWDATA Cars Buyers DB'!$A:$A,'RAWDATA Cars Buyers DB'!K:K)</f>
        <v>67</v>
      </c>
      <c r="L146" s="10" t="str">
        <f>IF(_xlfn.XLOOKUP($A146,'RAWDATA Cars Buyers DB'!$A:$A,'RAWDATA Cars Buyers DB'!K:K)&gt;54,"Old ",IF(_xlfn.XLOOKUP($A146,'RAWDATA Cars Buyers DB'!$A:$A,'RAWDATA Cars Buyers DB'!K:K)&gt;=31,"Middle Age ",IF(_xlfn.XLOOKUP($A146,'RAWDATA Cars Buyers DB'!$A:$A,'RAWDATA Cars Buyers DB'!K:K)&lt;31,"Adolescent","Invalid")))</f>
        <v xml:space="preserve">Old </v>
      </c>
      <c r="M146" s="8" t="str">
        <f>_xlfn.XLOOKUP($A146,'RAWDATA Cars Buyers DB'!$A:$A,'RAWDATA Cars Buyers DB'!L:L)</f>
        <v>No</v>
      </c>
    </row>
    <row r="147" spans="1:13">
      <c r="A147" s="6">
        <v>85450</v>
      </c>
      <c r="B147" s="10" t="str">
        <f>IF(_xlfn.XLOOKUP($A147,'RAWDATA Cars Buyers DB'!$A:$A,'RAWDATA Cars Buyers DB'!B:B)="S","Single","Married")</f>
        <v>Single</v>
      </c>
      <c r="C147" s="10" t="str">
        <f>IF(_xlfn.XLOOKUP($A147,'RAWDATA Cars Buyers DB'!$A:$A,'RAWDATA Cars Buyers DB'!C:C)="F","Female","Male")</f>
        <v>Female</v>
      </c>
      <c r="D147" s="7">
        <f>_xlfn.XLOOKUP($A147,'RAWDATA Cars Buyers DB'!$A:$A,'RAWDATA Cars Buyers DB'!D:D)</f>
        <v>56788</v>
      </c>
      <c r="E147" s="8">
        <f>_xlfn.XLOOKUP($A147,'RAWDATA Cars Buyers DB'!$A:$A,'RAWDATA Cars Buyers DB'!E:E)</f>
        <v>5</v>
      </c>
      <c r="F147" s="8" t="str">
        <f>_xlfn.XLOOKUP($A147,'RAWDATA Cars Buyers DB'!$A:$A,'RAWDATA Cars Buyers DB'!F:F)</f>
        <v>Graduate Degree</v>
      </c>
      <c r="G147" s="8" t="str">
        <f>_xlfn.XLOOKUP($A147,'RAWDATA Cars Buyers DB'!$A:$A,'RAWDATA Cars Buyers DB'!G:G)</f>
        <v>Professional</v>
      </c>
      <c r="H147" s="8" t="str">
        <f>_xlfn.XLOOKUP($A147,'RAWDATA Cars Buyers DB'!$A:$A,'RAWDATA Cars Buyers DB'!H:H)</f>
        <v>Yes</v>
      </c>
      <c r="I147" s="8" t="str">
        <f>_xlfn.XLOOKUP($A147,'RAWDATA Cars Buyers DB'!$A:$A,'RAWDATA Cars Buyers DB'!I:I)</f>
        <v>6+ Kilometre</v>
      </c>
      <c r="J147" s="8" t="str">
        <f>_xlfn.XLOOKUP($A147,'RAWDATA Cars Buyers DB'!$A:$A,'RAWDATA Cars Buyers DB'!J:J)</f>
        <v>Saxony-Anhalt</v>
      </c>
      <c r="K147" s="8">
        <f>_xlfn.XLOOKUP($A147,'RAWDATA Cars Buyers DB'!$A:$A,'RAWDATA Cars Buyers DB'!K:K)</f>
        <v>29</v>
      </c>
      <c r="L147" s="10" t="str">
        <f>IF(_xlfn.XLOOKUP($A147,'RAWDATA Cars Buyers DB'!$A:$A,'RAWDATA Cars Buyers DB'!K:K)&gt;54,"Old ",IF(_xlfn.XLOOKUP($A147,'RAWDATA Cars Buyers DB'!$A:$A,'RAWDATA Cars Buyers DB'!K:K)&gt;=31,"Middle Age ",IF(_xlfn.XLOOKUP($A147,'RAWDATA Cars Buyers DB'!$A:$A,'RAWDATA Cars Buyers DB'!K:K)&lt;31,"Adolescent","Invalid")))</f>
        <v>Adolescent</v>
      </c>
      <c r="M147" s="8" t="str">
        <f>_xlfn.XLOOKUP($A147,'RAWDATA Cars Buyers DB'!$A:$A,'RAWDATA Cars Buyers DB'!L:L)</f>
        <v>No</v>
      </c>
    </row>
    <row r="148" spans="1:13">
      <c r="A148" s="6">
        <v>32299</v>
      </c>
      <c r="B148" s="10" t="str">
        <f>IF(_xlfn.XLOOKUP($A148,'RAWDATA Cars Buyers DB'!$A:$A,'RAWDATA Cars Buyers DB'!B:B)="S","Single","Married")</f>
        <v>Single</v>
      </c>
      <c r="C148" s="10" t="str">
        <f>IF(_xlfn.XLOOKUP($A148,'RAWDATA Cars Buyers DB'!$A:$A,'RAWDATA Cars Buyers DB'!C:C)="F","Female","Male")</f>
        <v>Female</v>
      </c>
      <c r="D148" s="7">
        <f>_xlfn.XLOOKUP($A148,'RAWDATA Cars Buyers DB'!$A:$A,'RAWDATA Cars Buyers DB'!D:D)</f>
        <v>95749</v>
      </c>
      <c r="E148" s="8">
        <f>_xlfn.XLOOKUP($A148,'RAWDATA Cars Buyers DB'!$A:$A,'RAWDATA Cars Buyers DB'!E:E)</f>
        <v>0</v>
      </c>
      <c r="F148" s="8" t="str">
        <f>_xlfn.XLOOKUP($A148,'RAWDATA Cars Buyers DB'!$A:$A,'RAWDATA Cars Buyers DB'!F:F)</f>
        <v>Partial College</v>
      </c>
      <c r="G148" s="8" t="str">
        <f>_xlfn.XLOOKUP($A148,'RAWDATA Cars Buyers DB'!$A:$A,'RAWDATA Cars Buyers DB'!G:G)</f>
        <v>Professional</v>
      </c>
      <c r="H148" s="8" t="str">
        <f>_xlfn.XLOOKUP($A148,'RAWDATA Cars Buyers DB'!$A:$A,'RAWDATA Cars Buyers DB'!H:H)</f>
        <v>No</v>
      </c>
      <c r="I148" s="8" t="str">
        <f>_xlfn.XLOOKUP($A148,'RAWDATA Cars Buyers DB'!$A:$A,'RAWDATA Cars Buyers DB'!I:I)</f>
        <v>6+ Kilometre</v>
      </c>
      <c r="J148" s="8" t="str">
        <f>_xlfn.XLOOKUP($A148,'RAWDATA Cars Buyers DB'!$A:$A,'RAWDATA Cars Buyers DB'!J:J)</f>
        <v>Lower Saxony</v>
      </c>
      <c r="K148" s="8">
        <f>_xlfn.XLOOKUP($A148,'RAWDATA Cars Buyers DB'!$A:$A,'RAWDATA Cars Buyers DB'!K:K)</f>
        <v>69</v>
      </c>
      <c r="L148" s="10" t="str">
        <f>IF(_xlfn.XLOOKUP($A148,'RAWDATA Cars Buyers DB'!$A:$A,'RAWDATA Cars Buyers DB'!K:K)&gt;54,"Old ",IF(_xlfn.XLOOKUP($A148,'RAWDATA Cars Buyers DB'!$A:$A,'RAWDATA Cars Buyers DB'!K:K)&gt;=31,"Middle Age ",IF(_xlfn.XLOOKUP($A148,'RAWDATA Cars Buyers DB'!$A:$A,'RAWDATA Cars Buyers DB'!K:K)&lt;31,"Adolescent","Invalid")))</f>
        <v xml:space="preserve">Old </v>
      </c>
      <c r="M148" s="8" t="str">
        <f>_xlfn.XLOOKUP($A148,'RAWDATA Cars Buyers DB'!$A:$A,'RAWDATA Cars Buyers DB'!L:L)</f>
        <v>No</v>
      </c>
    </row>
    <row r="149" spans="1:13">
      <c r="A149" s="6">
        <v>53585</v>
      </c>
      <c r="B149" s="10" t="str">
        <f>IF(_xlfn.XLOOKUP($A149,'RAWDATA Cars Buyers DB'!$A:$A,'RAWDATA Cars Buyers DB'!B:B)="S","Single","Married")</f>
        <v>Married</v>
      </c>
      <c r="C149" s="10" t="str">
        <f>IF(_xlfn.XLOOKUP($A149,'RAWDATA Cars Buyers DB'!$A:$A,'RAWDATA Cars Buyers DB'!C:C)="F","Female","Male")</f>
        <v>Male</v>
      </c>
      <c r="D149" s="7">
        <f>_xlfn.XLOOKUP($A149,'RAWDATA Cars Buyers DB'!$A:$A,'RAWDATA Cars Buyers DB'!D:D)</f>
        <v>81049</v>
      </c>
      <c r="E149" s="8">
        <f>_xlfn.XLOOKUP($A149,'RAWDATA Cars Buyers DB'!$A:$A,'RAWDATA Cars Buyers DB'!E:E)</f>
        <v>4</v>
      </c>
      <c r="F149" s="8" t="str">
        <f>_xlfn.XLOOKUP($A149,'RAWDATA Cars Buyers DB'!$A:$A,'RAWDATA Cars Buyers DB'!F:F)</f>
        <v>Bachelors</v>
      </c>
      <c r="G149" s="8" t="str">
        <f>_xlfn.XLOOKUP($A149,'RAWDATA Cars Buyers DB'!$A:$A,'RAWDATA Cars Buyers DB'!G:G)</f>
        <v>Professional</v>
      </c>
      <c r="H149" s="8" t="str">
        <f>_xlfn.XLOOKUP($A149,'RAWDATA Cars Buyers DB'!$A:$A,'RAWDATA Cars Buyers DB'!H:H)</f>
        <v>No</v>
      </c>
      <c r="I149" s="8" t="str">
        <f>_xlfn.XLOOKUP($A149,'RAWDATA Cars Buyers DB'!$A:$A,'RAWDATA Cars Buyers DB'!I:I)</f>
        <v>6+ Kilometre</v>
      </c>
      <c r="J149" s="8" t="str">
        <f>_xlfn.XLOOKUP($A149,'RAWDATA Cars Buyers DB'!$A:$A,'RAWDATA Cars Buyers DB'!J:J)</f>
        <v>Hamburg</v>
      </c>
      <c r="K149" s="8">
        <f>_xlfn.XLOOKUP($A149,'RAWDATA Cars Buyers DB'!$A:$A,'RAWDATA Cars Buyers DB'!K:K)</f>
        <v>36</v>
      </c>
      <c r="L149" s="10" t="str">
        <f>IF(_xlfn.XLOOKUP($A149,'RAWDATA Cars Buyers DB'!$A:$A,'RAWDATA Cars Buyers DB'!K:K)&gt;54,"Old ",IF(_xlfn.XLOOKUP($A149,'RAWDATA Cars Buyers DB'!$A:$A,'RAWDATA Cars Buyers DB'!K:K)&gt;=31,"Middle Age ",IF(_xlfn.XLOOKUP($A149,'RAWDATA Cars Buyers DB'!$A:$A,'RAWDATA Cars Buyers DB'!K:K)&lt;31,"Adolescent","Invalid")))</f>
        <v xml:space="preserve">Middle Age </v>
      </c>
      <c r="M149" s="8" t="str">
        <f>_xlfn.XLOOKUP($A149,'RAWDATA Cars Buyers DB'!$A:$A,'RAWDATA Cars Buyers DB'!L:L)</f>
        <v>Yes</v>
      </c>
    </row>
    <row r="150" spans="1:13">
      <c r="A150" s="6">
        <v>74044</v>
      </c>
      <c r="B150" s="10" t="str">
        <f>IF(_xlfn.XLOOKUP($A150,'RAWDATA Cars Buyers DB'!$A:$A,'RAWDATA Cars Buyers DB'!B:B)="S","Single","Married")</f>
        <v>Married</v>
      </c>
      <c r="C150" s="10" t="str">
        <f>IF(_xlfn.XLOOKUP($A150,'RAWDATA Cars Buyers DB'!$A:$A,'RAWDATA Cars Buyers DB'!C:C)="F","Female","Male")</f>
        <v>Female</v>
      </c>
      <c r="D150" s="7">
        <f>_xlfn.XLOOKUP($A150,'RAWDATA Cars Buyers DB'!$A:$A,'RAWDATA Cars Buyers DB'!D:D)</f>
        <v>82493</v>
      </c>
      <c r="E150" s="8">
        <f>_xlfn.XLOOKUP($A150,'RAWDATA Cars Buyers DB'!$A:$A,'RAWDATA Cars Buyers DB'!E:E)</f>
        <v>1</v>
      </c>
      <c r="F150" s="8" t="str">
        <f>_xlfn.XLOOKUP($A150,'RAWDATA Cars Buyers DB'!$A:$A,'RAWDATA Cars Buyers DB'!F:F)</f>
        <v>Partial College</v>
      </c>
      <c r="G150" s="8" t="str">
        <f>_xlfn.XLOOKUP($A150,'RAWDATA Cars Buyers DB'!$A:$A,'RAWDATA Cars Buyers DB'!G:G)</f>
        <v>Clerical</v>
      </c>
      <c r="H150" s="8" t="str">
        <f>_xlfn.XLOOKUP($A150,'RAWDATA Cars Buyers DB'!$A:$A,'RAWDATA Cars Buyers DB'!H:H)</f>
        <v>Yes</v>
      </c>
      <c r="I150" s="8" t="str">
        <f>_xlfn.XLOOKUP($A150,'RAWDATA Cars Buyers DB'!$A:$A,'RAWDATA Cars Buyers DB'!I:I)</f>
        <v>0–1 Kilometre</v>
      </c>
      <c r="J150" s="8" t="str">
        <f>_xlfn.XLOOKUP($A150,'RAWDATA Cars Buyers DB'!$A:$A,'RAWDATA Cars Buyers DB'!J:J)</f>
        <v>Saxony</v>
      </c>
      <c r="K150" s="8">
        <f>_xlfn.XLOOKUP($A150,'RAWDATA Cars Buyers DB'!$A:$A,'RAWDATA Cars Buyers DB'!K:K)</f>
        <v>49</v>
      </c>
      <c r="L150" s="10" t="str">
        <f>IF(_xlfn.XLOOKUP($A150,'RAWDATA Cars Buyers DB'!$A:$A,'RAWDATA Cars Buyers DB'!K:K)&gt;54,"Old ",IF(_xlfn.XLOOKUP($A150,'RAWDATA Cars Buyers DB'!$A:$A,'RAWDATA Cars Buyers DB'!K:K)&gt;=31,"Middle Age ",IF(_xlfn.XLOOKUP($A150,'RAWDATA Cars Buyers DB'!$A:$A,'RAWDATA Cars Buyers DB'!K:K)&lt;31,"Adolescent","Invalid")))</f>
        <v xml:space="preserve">Middle Age </v>
      </c>
      <c r="M150" s="8" t="str">
        <f>_xlfn.XLOOKUP($A150,'RAWDATA Cars Buyers DB'!$A:$A,'RAWDATA Cars Buyers DB'!L:L)</f>
        <v>Yes</v>
      </c>
    </row>
    <row r="151" spans="1:13">
      <c r="A151" s="6">
        <v>52557</v>
      </c>
      <c r="B151" s="10" t="str">
        <f>IF(_xlfn.XLOOKUP($A151,'RAWDATA Cars Buyers DB'!$A:$A,'RAWDATA Cars Buyers DB'!B:B)="S","Single","Married")</f>
        <v>Married</v>
      </c>
      <c r="C151" s="10" t="str">
        <f>IF(_xlfn.XLOOKUP($A151,'RAWDATA Cars Buyers DB'!$A:$A,'RAWDATA Cars Buyers DB'!C:C)="F","Female","Male")</f>
        <v>Female</v>
      </c>
      <c r="D151" s="7">
        <f>_xlfn.XLOOKUP($A151,'RAWDATA Cars Buyers DB'!$A:$A,'RAWDATA Cars Buyers DB'!D:D)</f>
        <v>56027</v>
      </c>
      <c r="E151" s="8">
        <f>_xlfn.XLOOKUP($A151,'RAWDATA Cars Buyers DB'!$A:$A,'RAWDATA Cars Buyers DB'!E:E)</f>
        <v>1</v>
      </c>
      <c r="F151" s="8" t="str">
        <f>_xlfn.XLOOKUP($A151,'RAWDATA Cars Buyers DB'!$A:$A,'RAWDATA Cars Buyers DB'!F:F)</f>
        <v>Graduate Degree</v>
      </c>
      <c r="G151" s="8" t="str">
        <f>_xlfn.XLOOKUP($A151,'RAWDATA Cars Buyers DB'!$A:$A,'RAWDATA Cars Buyers DB'!G:G)</f>
        <v>Management</v>
      </c>
      <c r="H151" s="8" t="str">
        <f>_xlfn.XLOOKUP($A151,'RAWDATA Cars Buyers DB'!$A:$A,'RAWDATA Cars Buyers DB'!H:H)</f>
        <v>Yes</v>
      </c>
      <c r="I151" s="8" t="str">
        <f>_xlfn.XLOOKUP($A151,'RAWDATA Cars Buyers DB'!$A:$A,'RAWDATA Cars Buyers DB'!I:I)</f>
        <v>1–2 Kilometre</v>
      </c>
      <c r="J151" s="8" t="str">
        <f>_xlfn.XLOOKUP($A151,'RAWDATA Cars Buyers DB'!$A:$A,'RAWDATA Cars Buyers DB'!J:J)</f>
        <v>Baden-Württemberg</v>
      </c>
      <c r="K151" s="8">
        <f>_xlfn.XLOOKUP($A151,'RAWDATA Cars Buyers DB'!$A:$A,'RAWDATA Cars Buyers DB'!K:K)</f>
        <v>40</v>
      </c>
      <c r="L151" s="10" t="str">
        <f>IF(_xlfn.XLOOKUP($A151,'RAWDATA Cars Buyers DB'!$A:$A,'RAWDATA Cars Buyers DB'!K:K)&gt;54,"Old ",IF(_xlfn.XLOOKUP($A151,'RAWDATA Cars Buyers DB'!$A:$A,'RAWDATA Cars Buyers DB'!K:K)&gt;=31,"Middle Age ",IF(_xlfn.XLOOKUP($A151,'RAWDATA Cars Buyers DB'!$A:$A,'RAWDATA Cars Buyers DB'!K:K)&lt;31,"Adolescent","Invalid")))</f>
        <v xml:space="preserve">Middle Age </v>
      </c>
      <c r="M151" s="8" t="str">
        <f>_xlfn.XLOOKUP($A151,'RAWDATA Cars Buyers DB'!$A:$A,'RAWDATA Cars Buyers DB'!L:L)</f>
        <v>No</v>
      </c>
    </row>
    <row r="152" spans="1:13">
      <c r="A152" s="6">
        <v>59080</v>
      </c>
      <c r="B152" s="10" t="str">
        <f>IF(_xlfn.XLOOKUP($A152,'RAWDATA Cars Buyers DB'!$A:$A,'RAWDATA Cars Buyers DB'!B:B)="S","Single","Married")</f>
        <v>Married</v>
      </c>
      <c r="C152" s="10" t="str">
        <f>IF(_xlfn.XLOOKUP($A152,'RAWDATA Cars Buyers DB'!$A:$A,'RAWDATA Cars Buyers DB'!C:C)="F","Female","Male")</f>
        <v>Male</v>
      </c>
      <c r="D152" s="7">
        <f>_xlfn.XLOOKUP($A152,'RAWDATA Cars Buyers DB'!$A:$A,'RAWDATA Cars Buyers DB'!D:D)</f>
        <v>113547</v>
      </c>
      <c r="E152" s="8">
        <f>_xlfn.XLOOKUP($A152,'RAWDATA Cars Buyers DB'!$A:$A,'RAWDATA Cars Buyers DB'!E:E)</f>
        <v>3</v>
      </c>
      <c r="F152" s="8" t="str">
        <f>_xlfn.XLOOKUP($A152,'RAWDATA Cars Buyers DB'!$A:$A,'RAWDATA Cars Buyers DB'!F:F)</f>
        <v>Bachelors</v>
      </c>
      <c r="G152" s="8" t="str">
        <f>_xlfn.XLOOKUP($A152,'RAWDATA Cars Buyers DB'!$A:$A,'RAWDATA Cars Buyers DB'!G:G)</f>
        <v>Clerical</v>
      </c>
      <c r="H152" s="8" t="str">
        <f>_xlfn.XLOOKUP($A152,'RAWDATA Cars Buyers DB'!$A:$A,'RAWDATA Cars Buyers DB'!H:H)</f>
        <v>No</v>
      </c>
      <c r="I152" s="8" t="str">
        <f>_xlfn.XLOOKUP($A152,'RAWDATA Cars Buyers DB'!$A:$A,'RAWDATA Cars Buyers DB'!I:I)</f>
        <v>0–1 Kilometre</v>
      </c>
      <c r="J152" s="8" t="str">
        <f>_xlfn.XLOOKUP($A152,'RAWDATA Cars Buyers DB'!$A:$A,'RAWDATA Cars Buyers DB'!J:J)</f>
        <v>Hesse</v>
      </c>
      <c r="K152" s="8">
        <f>_xlfn.XLOOKUP($A152,'RAWDATA Cars Buyers DB'!$A:$A,'RAWDATA Cars Buyers DB'!K:K)</f>
        <v>32</v>
      </c>
      <c r="L152" s="10" t="str">
        <f>IF(_xlfn.XLOOKUP($A152,'RAWDATA Cars Buyers DB'!$A:$A,'RAWDATA Cars Buyers DB'!K:K)&gt;54,"Old ",IF(_xlfn.XLOOKUP($A152,'RAWDATA Cars Buyers DB'!$A:$A,'RAWDATA Cars Buyers DB'!K:K)&gt;=31,"Middle Age ",IF(_xlfn.XLOOKUP($A152,'RAWDATA Cars Buyers DB'!$A:$A,'RAWDATA Cars Buyers DB'!K:K)&lt;31,"Adolescent","Invalid")))</f>
        <v xml:space="preserve">Middle Age </v>
      </c>
      <c r="M152" s="8" t="str">
        <f>_xlfn.XLOOKUP($A152,'RAWDATA Cars Buyers DB'!$A:$A,'RAWDATA Cars Buyers DB'!L:L)</f>
        <v>Yes</v>
      </c>
    </row>
    <row r="153" spans="1:13">
      <c r="A153" s="6">
        <v>12693</v>
      </c>
      <c r="B153" s="10" t="str">
        <f>IF(_xlfn.XLOOKUP($A153,'RAWDATA Cars Buyers DB'!$A:$A,'RAWDATA Cars Buyers DB'!B:B)="S","Single","Married")</f>
        <v>Single</v>
      </c>
      <c r="C153" s="10" t="str">
        <f>IF(_xlfn.XLOOKUP($A153,'RAWDATA Cars Buyers DB'!$A:$A,'RAWDATA Cars Buyers DB'!C:C)="F","Female","Male")</f>
        <v>Female</v>
      </c>
      <c r="D153" s="7">
        <f>_xlfn.XLOOKUP($A153,'RAWDATA Cars Buyers DB'!$A:$A,'RAWDATA Cars Buyers DB'!D:D)</f>
        <v>62849</v>
      </c>
      <c r="E153" s="8">
        <f>_xlfn.XLOOKUP($A153,'RAWDATA Cars Buyers DB'!$A:$A,'RAWDATA Cars Buyers DB'!E:E)</f>
        <v>0</v>
      </c>
      <c r="F153" s="8" t="str">
        <f>_xlfn.XLOOKUP($A153,'RAWDATA Cars Buyers DB'!$A:$A,'RAWDATA Cars Buyers DB'!F:F)</f>
        <v>Partial College</v>
      </c>
      <c r="G153" s="8" t="str">
        <f>_xlfn.XLOOKUP($A153,'RAWDATA Cars Buyers DB'!$A:$A,'RAWDATA Cars Buyers DB'!G:G)</f>
        <v>Management</v>
      </c>
      <c r="H153" s="8" t="str">
        <f>_xlfn.XLOOKUP($A153,'RAWDATA Cars Buyers DB'!$A:$A,'RAWDATA Cars Buyers DB'!H:H)</f>
        <v>No</v>
      </c>
      <c r="I153" s="8" t="str">
        <f>_xlfn.XLOOKUP($A153,'RAWDATA Cars Buyers DB'!$A:$A,'RAWDATA Cars Buyers DB'!I:I)</f>
        <v>2–4 Kilometre</v>
      </c>
      <c r="J153" s="8" t="str">
        <f>_xlfn.XLOOKUP($A153,'RAWDATA Cars Buyers DB'!$A:$A,'RAWDATA Cars Buyers DB'!J:J)</f>
        <v>Mecklenburg-Vorpommern</v>
      </c>
      <c r="K153" s="8">
        <f>_xlfn.XLOOKUP($A153,'RAWDATA Cars Buyers DB'!$A:$A,'RAWDATA Cars Buyers DB'!K:K)</f>
        <v>20</v>
      </c>
      <c r="L153" s="10" t="str">
        <f>IF(_xlfn.XLOOKUP($A153,'RAWDATA Cars Buyers DB'!$A:$A,'RAWDATA Cars Buyers DB'!K:K)&gt;54,"Old ",IF(_xlfn.XLOOKUP($A153,'RAWDATA Cars Buyers DB'!$A:$A,'RAWDATA Cars Buyers DB'!K:K)&gt;=31,"Middle Age ",IF(_xlfn.XLOOKUP($A153,'RAWDATA Cars Buyers DB'!$A:$A,'RAWDATA Cars Buyers DB'!K:K)&lt;31,"Adolescent","Invalid")))</f>
        <v>Adolescent</v>
      </c>
      <c r="M153" s="8" t="str">
        <f>_xlfn.XLOOKUP($A153,'RAWDATA Cars Buyers DB'!$A:$A,'RAWDATA Cars Buyers DB'!L:L)</f>
        <v>No</v>
      </c>
    </row>
    <row r="154" spans="1:13">
      <c r="A154" s="6">
        <v>79163</v>
      </c>
      <c r="B154" s="10" t="str">
        <f>IF(_xlfn.XLOOKUP($A154,'RAWDATA Cars Buyers DB'!$A:$A,'RAWDATA Cars Buyers DB'!B:B)="S","Single","Married")</f>
        <v>Single</v>
      </c>
      <c r="C154" s="10" t="str">
        <f>IF(_xlfn.XLOOKUP($A154,'RAWDATA Cars Buyers DB'!$A:$A,'RAWDATA Cars Buyers DB'!C:C)="F","Female","Male")</f>
        <v>Male</v>
      </c>
      <c r="D154" s="7">
        <f>_xlfn.XLOOKUP($A154,'RAWDATA Cars Buyers DB'!$A:$A,'RAWDATA Cars Buyers DB'!D:D)</f>
        <v>37858</v>
      </c>
      <c r="E154" s="8">
        <f>_xlfn.XLOOKUP($A154,'RAWDATA Cars Buyers DB'!$A:$A,'RAWDATA Cars Buyers DB'!E:E)</f>
        <v>0</v>
      </c>
      <c r="F154" s="8" t="str">
        <f>_xlfn.XLOOKUP($A154,'RAWDATA Cars Buyers DB'!$A:$A,'RAWDATA Cars Buyers DB'!F:F)</f>
        <v>Graduate Degree</v>
      </c>
      <c r="G154" s="8" t="str">
        <f>_xlfn.XLOOKUP($A154,'RAWDATA Cars Buyers DB'!$A:$A,'RAWDATA Cars Buyers DB'!G:G)</f>
        <v>Skilled Manual</v>
      </c>
      <c r="H154" s="8" t="str">
        <f>_xlfn.XLOOKUP($A154,'RAWDATA Cars Buyers DB'!$A:$A,'RAWDATA Cars Buyers DB'!H:H)</f>
        <v>No</v>
      </c>
      <c r="I154" s="8" t="str">
        <f>_xlfn.XLOOKUP($A154,'RAWDATA Cars Buyers DB'!$A:$A,'RAWDATA Cars Buyers DB'!I:I)</f>
        <v>1–2 Kilometre</v>
      </c>
      <c r="J154" s="8" t="str">
        <f>_xlfn.XLOOKUP($A154,'RAWDATA Cars Buyers DB'!$A:$A,'RAWDATA Cars Buyers DB'!J:J)</f>
        <v>Lower Saxony</v>
      </c>
      <c r="K154" s="8">
        <f>_xlfn.XLOOKUP($A154,'RAWDATA Cars Buyers DB'!$A:$A,'RAWDATA Cars Buyers DB'!K:K)</f>
        <v>20</v>
      </c>
      <c r="L154" s="10" t="str">
        <f>IF(_xlfn.XLOOKUP($A154,'RAWDATA Cars Buyers DB'!$A:$A,'RAWDATA Cars Buyers DB'!K:K)&gt;54,"Old ",IF(_xlfn.XLOOKUP($A154,'RAWDATA Cars Buyers DB'!$A:$A,'RAWDATA Cars Buyers DB'!K:K)&gt;=31,"Middle Age ",IF(_xlfn.XLOOKUP($A154,'RAWDATA Cars Buyers DB'!$A:$A,'RAWDATA Cars Buyers DB'!K:K)&lt;31,"Adolescent","Invalid")))</f>
        <v>Adolescent</v>
      </c>
      <c r="M154" s="8" t="str">
        <f>_xlfn.XLOOKUP($A154,'RAWDATA Cars Buyers DB'!$A:$A,'RAWDATA Cars Buyers DB'!L:L)</f>
        <v>Yes</v>
      </c>
    </row>
    <row r="155" spans="1:13">
      <c r="A155" s="6">
        <v>35939</v>
      </c>
      <c r="B155" s="10" t="str">
        <f>IF(_xlfn.XLOOKUP($A155,'RAWDATA Cars Buyers DB'!$A:$A,'RAWDATA Cars Buyers DB'!B:B)="S","Single","Married")</f>
        <v>Single</v>
      </c>
      <c r="C155" s="10" t="str">
        <f>IF(_xlfn.XLOOKUP($A155,'RAWDATA Cars Buyers DB'!$A:$A,'RAWDATA Cars Buyers DB'!C:C)="F","Female","Male")</f>
        <v>Female</v>
      </c>
      <c r="D155" s="7">
        <f>_xlfn.XLOOKUP($A155,'RAWDATA Cars Buyers DB'!$A:$A,'RAWDATA Cars Buyers DB'!D:D)</f>
        <v>104162</v>
      </c>
      <c r="E155" s="8">
        <f>_xlfn.XLOOKUP($A155,'RAWDATA Cars Buyers DB'!$A:$A,'RAWDATA Cars Buyers DB'!E:E)</f>
        <v>2</v>
      </c>
      <c r="F155" s="8" t="str">
        <f>_xlfn.XLOOKUP($A155,'RAWDATA Cars Buyers DB'!$A:$A,'RAWDATA Cars Buyers DB'!F:F)</f>
        <v>Graduate Degree</v>
      </c>
      <c r="G155" s="8" t="str">
        <f>_xlfn.XLOOKUP($A155,'RAWDATA Cars Buyers DB'!$A:$A,'RAWDATA Cars Buyers DB'!G:G)</f>
        <v>Skilled Manual</v>
      </c>
      <c r="H155" s="8" t="str">
        <f>_xlfn.XLOOKUP($A155,'RAWDATA Cars Buyers DB'!$A:$A,'RAWDATA Cars Buyers DB'!H:H)</f>
        <v>No</v>
      </c>
      <c r="I155" s="8" t="str">
        <f>_xlfn.XLOOKUP($A155,'RAWDATA Cars Buyers DB'!$A:$A,'RAWDATA Cars Buyers DB'!I:I)</f>
        <v>4–6 Kilometre</v>
      </c>
      <c r="J155" s="8" t="str">
        <f>_xlfn.XLOOKUP($A155,'RAWDATA Cars Buyers DB'!$A:$A,'RAWDATA Cars Buyers DB'!J:J)</f>
        <v>Saxony</v>
      </c>
      <c r="K155" s="8">
        <f>_xlfn.XLOOKUP($A155,'RAWDATA Cars Buyers DB'!$A:$A,'RAWDATA Cars Buyers DB'!K:K)</f>
        <v>66</v>
      </c>
      <c r="L155" s="10" t="str">
        <f>IF(_xlfn.XLOOKUP($A155,'RAWDATA Cars Buyers DB'!$A:$A,'RAWDATA Cars Buyers DB'!K:K)&gt;54,"Old ",IF(_xlfn.XLOOKUP($A155,'RAWDATA Cars Buyers DB'!$A:$A,'RAWDATA Cars Buyers DB'!K:K)&gt;=31,"Middle Age ",IF(_xlfn.XLOOKUP($A155,'RAWDATA Cars Buyers DB'!$A:$A,'RAWDATA Cars Buyers DB'!K:K)&lt;31,"Adolescent","Invalid")))</f>
        <v xml:space="preserve">Old </v>
      </c>
      <c r="M155" s="8" t="str">
        <f>_xlfn.XLOOKUP($A155,'RAWDATA Cars Buyers DB'!$A:$A,'RAWDATA Cars Buyers DB'!L:L)</f>
        <v>No</v>
      </c>
    </row>
    <row r="156" spans="1:13">
      <c r="A156" s="6">
        <v>58925</v>
      </c>
      <c r="B156" s="10" t="str">
        <f>IF(_xlfn.XLOOKUP($A156,'RAWDATA Cars Buyers DB'!$A:$A,'RAWDATA Cars Buyers DB'!B:B)="S","Single","Married")</f>
        <v>Married</v>
      </c>
      <c r="C156" s="10" t="str">
        <f>IF(_xlfn.XLOOKUP($A156,'RAWDATA Cars Buyers DB'!$A:$A,'RAWDATA Cars Buyers DB'!C:C)="F","Female","Male")</f>
        <v>Male</v>
      </c>
      <c r="D156" s="7">
        <f>_xlfn.XLOOKUP($A156,'RAWDATA Cars Buyers DB'!$A:$A,'RAWDATA Cars Buyers DB'!D:D)</f>
        <v>99003</v>
      </c>
      <c r="E156" s="8">
        <f>_xlfn.XLOOKUP($A156,'RAWDATA Cars Buyers DB'!$A:$A,'RAWDATA Cars Buyers DB'!E:E)</f>
        <v>0</v>
      </c>
      <c r="F156" s="8" t="str">
        <f>_xlfn.XLOOKUP($A156,'RAWDATA Cars Buyers DB'!$A:$A,'RAWDATA Cars Buyers DB'!F:F)</f>
        <v>Bachelors</v>
      </c>
      <c r="G156" s="8" t="str">
        <f>_xlfn.XLOOKUP($A156,'RAWDATA Cars Buyers DB'!$A:$A,'RAWDATA Cars Buyers DB'!G:G)</f>
        <v>Skilled Manual</v>
      </c>
      <c r="H156" s="8" t="str">
        <f>_xlfn.XLOOKUP($A156,'RAWDATA Cars Buyers DB'!$A:$A,'RAWDATA Cars Buyers DB'!H:H)</f>
        <v>No</v>
      </c>
      <c r="I156" s="8" t="str">
        <f>_xlfn.XLOOKUP($A156,'RAWDATA Cars Buyers DB'!$A:$A,'RAWDATA Cars Buyers DB'!I:I)</f>
        <v>6+ Kilometre</v>
      </c>
      <c r="J156" s="8" t="str">
        <f>_xlfn.XLOOKUP($A156,'RAWDATA Cars Buyers DB'!$A:$A,'RAWDATA Cars Buyers DB'!J:J)</f>
        <v>Saarland</v>
      </c>
      <c r="K156" s="8">
        <f>_xlfn.XLOOKUP($A156,'RAWDATA Cars Buyers DB'!$A:$A,'RAWDATA Cars Buyers DB'!K:K)</f>
        <v>52</v>
      </c>
      <c r="L156" s="10" t="str">
        <f>IF(_xlfn.XLOOKUP($A156,'RAWDATA Cars Buyers DB'!$A:$A,'RAWDATA Cars Buyers DB'!K:K)&gt;54,"Old ",IF(_xlfn.XLOOKUP($A156,'RAWDATA Cars Buyers DB'!$A:$A,'RAWDATA Cars Buyers DB'!K:K)&gt;=31,"Middle Age ",IF(_xlfn.XLOOKUP($A156,'RAWDATA Cars Buyers DB'!$A:$A,'RAWDATA Cars Buyers DB'!K:K)&lt;31,"Adolescent","Invalid")))</f>
        <v xml:space="preserve">Middle Age </v>
      </c>
      <c r="M156" s="8" t="str">
        <f>_xlfn.XLOOKUP($A156,'RAWDATA Cars Buyers DB'!$A:$A,'RAWDATA Cars Buyers DB'!L:L)</f>
        <v>Yes</v>
      </c>
    </row>
    <row r="157" spans="1:13">
      <c r="A157" s="6">
        <v>52941</v>
      </c>
      <c r="B157" s="10" t="str">
        <f>IF(_xlfn.XLOOKUP($A157,'RAWDATA Cars Buyers DB'!$A:$A,'RAWDATA Cars Buyers DB'!B:B)="S","Single","Married")</f>
        <v>Single</v>
      </c>
      <c r="C157" s="10" t="str">
        <f>IF(_xlfn.XLOOKUP($A157,'RAWDATA Cars Buyers DB'!$A:$A,'RAWDATA Cars Buyers DB'!C:C)="F","Female","Male")</f>
        <v>Male</v>
      </c>
      <c r="D157" s="7">
        <f>_xlfn.XLOOKUP($A157,'RAWDATA Cars Buyers DB'!$A:$A,'RAWDATA Cars Buyers DB'!D:D)</f>
        <v>72395</v>
      </c>
      <c r="E157" s="8">
        <f>_xlfn.XLOOKUP($A157,'RAWDATA Cars Buyers DB'!$A:$A,'RAWDATA Cars Buyers DB'!E:E)</f>
        <v>3</v>
      </c>
      <c r="F157" s="8" t="str">
        <f>_xlfn.XLOOKUP($A157,'RAWDATA Cars Buyers DB'!$A:$A,'RAWDATA Cars Buyers DB'!F:F)</f>
        <v>Graduate Degree</v>
      </c>
      <c r="G157" s="8" t="str">
        <f>_xlfn.XLOOKUP($A157,'RAWDATA Cars Buyers DB'!$A:$A,'RAWDATA Cars Buyers DB'!G:G)</f>
        <v>Management</v>
      </c>
      <c r="H157" s="8" t="str">
        <f>_xlfn.XLOOKUP($A157,'RAWDATA Cars Buyers DB'!$A:$A,'RAWDATA Cars Buyers DB'!H:H)</f>
        <v>No</v>
      </c>
      <c r="I157" s="8" t="str">
        <f>_xlfn.XLOOKUP($A157,'RAWDATA Cars Buyers DB'!$A:$A,'RAWDATA Cars Buyers DB'!I:I)</f>
        <v>2–4 Kilometre</v>
      </c>
      <c r="J157" s="8" t="str">
        <f>_xlfn.XLOOKUP($A157,'RAWDATA Cars Buyers DB'!$A:$A,'RAWDATA Cars Buyers DB'!J:J)</f>
        <v>Schleswig-Holstein</v>
      </c>
      <c r="K157" s="8">
        <f>_xlfn.XLOOKUP($A157,'RAWDATA Cars Buyers DB'!$A:$A,'RAWDATA Cars Buyers DB'!K:K)</f>
        <v>57</v>
      </c>
      <c r="L157" s="10" t="str">
        <f>IF(_xlfn.XLOOKUP($A157,'RAWDATA Cars Buyers DB'!$A:$A,'RAWDATA Cars Buyers DB'!K:K)&gt;54,"Old ",IF(_xlfn.XLOOKUP($A157,'RAWDATA Cars Buyers DB'!$A:$A,'RAWDATA Cars Buyers DB'!K:K)&gt;=31,"Middle Age ",IF(_xlfn.XLOOKUP($A157,'RAWDATA Cars Buyers DB'!$A:$A,'RAWDATA Cars Buyers DB'!K:K)&lt;31,"Adolescent","Invalid")))</f>
        <v xml:space="preserve">Old </v>
      </c>
      <c r="M157" s="8" t="str">
        <f>_xlfn.XLOOKUP($A157,'RAWDATA Cars Buyers DB'!$A:$A,'RAWDATA Cars Buyers DB'!L:L)</f>
        <v>No</v>
      </c>
    </row>
    <row r="158" spans="1:13">
      <c r="A158" s="6">
        <v>31834</v>
      </c>
      <c r="B158" s="10" t="str">
        <f>IF(_xlfn.XLOOKUP($A158,'RAWDATA Cars Buyers DB'!$A:$A,'RAWDATA Cars Buyers DB'!B:B)="S","Single","Married")</f>
        <v>Single</v>
      </c>
      <c r="C158" s="10" t="str">
        <f>IF(_xlfn.XLOOKUP($A158,'RAWDATA Cars Buyers DB'!$A:$A,'RAWDATA Cars Buyers DB'!C:C)="F","Female","Male")</f>
        <v>Female</v>
      </c>
      <c r="D158" s="7">
        <f>_xlfn.XLOOKUP($A158,'RAWDATA Cars Buyers DB'!$A:$A,'RAWDATA Cars Buyers DB'!D:D)</f>
        <v>59758</v>
      </c>
      <c r="E158" s="8">
        <f>_xlfn.XLOOKUP($A158,'RAWDATA Cars Buyers DB'!$A:$A,'RAWDATA Cars Buyers DB'!E:E)</f>
        <v>2</v>
      </c>
      <c r="F158" s="8" t="str">
        <f>_xlfn.XLOOKUP($A158,'RAWDATA Cars Buyers DB'!$A:$A,'RAWDATA Cars Buyers DB'!F:F)</f>
        <v>High School</v>
      </c>
      <c r="G158" s="8" t="str">
        <f>_xlfn.XLOOKUP($A158,'RAWDATA Cars Buyers DB'!$A:$A,'RAWDATA Cars Buyers DB'!G:G)</f>
        <v>Professional</v>
      </c>
      <c r="H158" s="8" t="str">
        <f>_xlfn.XLOOKUP($A158,'RAWDATA Cars Buyers DB'!$A:$A,'RAWDATA Cars Buyers DB'!H:H)</f>
        <v>Yes</v>
      </c>
      <c r="I158" s="8" t="str">
        <f>_xlfn.XLOOKUP($A158,'RAWDATA Cars Buyers DB'!$A:$A,'RAWDATA Cars Buyers DB'!I:I)</f>
        <v>1–2 Kilometre</v>
      </c>
      <c r="J158" s="8" t="str">
        <f>_xlfn.XLOOKUP($A158,'RAWDATA Cars Buyers DB'!$A:$A,'RAWDATA Cars Buyers DB'!J:J)</f>
        <v>Bremen</v>
      </c>
      <c r="K158" s="8">
        <f>_xlfn.XLOOKUP($A158,'RAWDATA Cars Buyers DB'!$A:$A,'RAWDATA Cars Buyers DB'!K:K)</f>
        <v>44</v>
      </c>
      <c r="L158" s="10" t="str">
        <f>IF(_xlfn.XLOOKUP($A158,'RAWDATA Cars Buyers DB'!$A:$A,'RAWDATA Cars Buyers DB'!K:K)&gt;54,"Old ",IF(_xlfn.XLOOKUP($A158,'RAWDATA Cars Buyers DB'!$A:$A,'RAWDATA Cars Buyers DB'!K:K)&gt;=31,"Middle Age ",IF(_xlfn.XLOOKUP($A158,'RAWDATA Cars Buyers DB'!$A:$A,'RAWDATA Cars Buyers DB'!K:K)&lt;31,"Adolescent","Invalid")))</f>
        <v xml:space="preserve">Middle Age </v>
      </c>
      <c r="M158" s="8" t="str">
        <f>_xlfn.XLOOKUP($A158,'RAWDATA Cars Buyers DB'!$A:$A,'RAWDATA Cars Buyers DB'!L:L)</f>
        <v>No</v>
      </c>
    </row>
    <row r="159" spans="1:13">
      <c r="A159" s="6">
        <v>28047</v>
      </c>
      <c r="B159" s="10" t="str">
        <f>IF(_xlfn.XLOOKUP($A159,'RAWDATA Cars Buyers DB'!$A:$A,'RAWDATA Cars Buyers DB'!B:B)="S","Single","Married")</f>
        <v>Single</v>
      </c>
      <c r="C159" s="10" t="str">
        <f>IF(_xlfn.XLOOKUP($A159,'RAWDATA Cars Buyers DB'!$A:$A,'RAWDATA Cars Buyers DB'!C:C)="F","Female","Male")</f>
        <v>Female</v>
      </c>
      <c r="D159" s="7">
        <f>_xlfn.XLOOKUP($A159,'RAWDATA Cars Buyers DB'!$A:$A,'RAWDATA Cars Buyers DB'!D:D)</f>
        <v>74312</v>
      </c>
      <c r="E159" s="8">
        <f>_xlfn.XLOOKUP($A159,'RAWDATA Cars Buyers DB'!$A:$A,'RAWDATA Cars Buyers DB'!E:E)</f>
        <v>2</v>
      </c>
      <c r="F159" s="8" t="str">
        <f>_xlfn.XLOOKUP($A159,'RAWDATA Cars Buyers DB'!$A:$A,'RAWDATA Cars Buyers DB'!F:F)</f>
        <v>Partial College</v>
      </c>
      <c r="G159" s="8" t="str">
        <f>_xlfn.XLOOKUP($A159,'RAWDATA Cars Buyers DB'!$A:$A,'RAWDATA Cars Buyers DB'!G:G)</f>
        <v>Professional</v>
      </c>
      <c r="H159" s="8" t="str">
        <f>_xlfn.XLOOKUP($A159,'RAWDATA Cars Buyers DB'!$A:$A,'RAWDATA Cars Buyers DB'!H:H)</f>
        <v>No</v>
      </c>
      <c r="I159" s="8" t="str">
        <f>_xlfn.XLOOKUP($A159,'RAWDATA Cars Buyers DB'!$A:$A,'RAWDATA Cars Buyers DB'!I:I)</f>
        <v>0–1 Kilometre</v>
      </c>
      <c r="J159" s="8" t="str">
        <f>_xlfn.XLOOKUP($A159,'RAWDATA Cars Buyers DB'!$A:$A,'RAWDATA Cars Buyers DB'!J:J)</f>
        <v>Bavaria</v>
      </c>
      <c r="K159" s="8">
        <f>_xlfn.XLOOKUP($A159,'RAWDATA Cars Buyers DB'!$A:$A,'RAWDATA Cars Buyers DB'!K:K)</f>
        <v>45</v>
      </c>
      <c r="L159" s="10" t="str">
        <f>IF(_xlfn.XLOOKUP($A159,'RAWDATA Cars Buyers DB'!$A:$A,'RAWDATA Cars Buyers DB'!K:K)&gt;54,"Old ",IF(_xlfn.XLOOKUP($A159,'RAWDATA Cars Buyers DB'!$A:$A,'RAWDATA Cars Buyers DB'!K:K)&gt;=31,"Middle Age ",IF(_xlfn.XLOOKUP($A159,'RAWDATA Cars Buyers DB'!$A:$A,'RAWDATA Cars Buyers DB'!K:K)&lt;31,"Adolescent","Invalid")))</f>
        <v xml:space="preserve">Middle Age </v>
      </c>
      <c r="M159" s="8" t="str">
        <f>_xlfn.XLOOKUP($A159,'RAWDATA Cars Buyers DB'!$A:$A,'RAWDATA Cars Buyers DB'!L:L)</f>
        <v>No</v>
      </c>
    </row>
    <row r="160" spans="1:13">
      <c r="A160" s="6">
        <v>36105</v>
      </c>
      <c r="B160" s="10" t="str">
        <f>IF(_xlfn.XLOOKUP($A160,'RAWDATA Cars Buyers DB'!$A:$A,'RAWDATA Cars Buyers DB'!B:B)="S","Single","Married")</f>
        <v>Single</v>
      </c>
      <c r="C160" s="10" t="str">
        <f>IF(_xlfn.XLOOKUP($A160,'RAWDATA Cars Buyers DB'!$A:$A,'RAWDATA Cars Buyers DB'!C:C)="F","Female","Male")</f>
        <v>Female</v>
      </c>
      <c r="D160" s="7">
        <f>_xlfn.XLOOKUP($A160,'RAWDATA Cars Buyers DB'!$A:$A,'RAWDATA Cars Buyers DB'!D:D)</f>
        <v>88670</v>
      </c>
      <c r="E160" s="8">
        <f>_xlfn.XLOOKUP($A160,'RAWDATA Cars Buyers DB'!$A:$A,'RAWDATA Cars Buyers DB'!E:E)</f>
        <v>1</v>
      </c>
      <c r="F160" s="8" t="str">
        <f>_xlfn.XLOOKUP($A160,'RAWDATA Cars Buyers DB'!$A:$A,'RAWDATA Cars Buyers DB'!F:F)</f>
        <v>Partial College</v>
      </c>
      <c r="G160" s="8" t="str">
        <f>_xlfn.XLOOKUP($A160,'RAWDATA Cars Buyers DB'!$A:$A,'RAWDATA Cars Buyers DB'!G:G)</f>
        <v>Clerical</v>
      </c>
      <c r="H160" s="8" t="str">
        <f>_xlfn.XLOOKUP($A160,'RAWDATA Cars Buyers DB'!$A:$A,'RAWDATA Cars Buyers DB'!H:H)</f>
        <v>No</v>
      </c>
      <c r="I160" s="8" t="str">
        <f>_xlfn.XLOOKUP($A160,'RAWDATA Cars Buyers DB'!$A:$A,'RAWDATA Cars Buyers DB'!I:I)</f>
        <v>6+ Kilometre</v>
      </c>
      <c r="J160" s="8" t="str">
        <f>_xlfn.XLOOKUP($A160,'RAWDATA Cars Buyers DB'!$A:$A,'RAWDATA Cars Buyers DB'!J:J)</f>
        <v>Saxony</v>
      </c>
      <c r="K160" s="8">
        <f>_xlfn.XLOOKUP($A160,'RAWDATA Cars Buyers DB'!$A:$A,'RAWDATA Cars Buyers DB'!K:K)</f>
        <v>32</v>
      </c>
      <c r="L160" s="10" t="str">
        <f>IF(_xlfn.XLOOKUP($A160,'RAWDATA Cars Buyers DB'!$A:$A,'RAWDATA Cars Buyers DB'!K:K)&gt;54,"Old ",IF(_xlfn.XLOOKUP($A160,'RAWDATA Cars Buyers DB'!$A:$A,'RAWDATA Cars Buyers DB'!K:K)&gt;=31,"Middle Age ",IF(_xlfn.XLOOKUP($A160,'RAWDATA Cars Buyers DB'!$A:$A,'RAWDATA Cars Buyers DB'!K:K)&lt;31,"Adolescent","Invalid")))</f>
        <v xml:space="preserve">Middle Age </v>
      </c>
      <c r="M160" s="8" t="str">
        <f>_xlfn.XLOOKUP($A160,'RAWDATA Cars Buyers DB'!$A:$A,'RAWDATA Cars Buyers DB'!L:L)</f>
        <v>No</v>
      </c>
    </row>
    <row r="161" spans="1:13">
      <c r="A161" s="6">
        <v>85766</v>
      </c>
      <c r="B161" s="10" t="str">
        <f>IF(_xlfn.XLOOKUP($A161,'RAWDATA Cars Buyers DB'!$A:$A,'RAWDATA Cars Buyers DB'!B:B)="S","Single","Married")</f>
        <v>Single</v>
      </c>
      <c r="C161" s="10" t="str">
        <f>IF(_xlfn.XLOOKUP($A161,'RAWDATA Cars Buyers DB'!$A:$A,'RAWDATA Cars Buyers DB'!C:C)="F","Female","Male")</f>
        <v>Male</v>
      </c>
      <c r="D161" s="7">
        <f>_xlfn.XLOOKUP($A161,'RAWDATA Cars Buyers DB'!$A:$A,'RAWDATA Cars Buyers DB'!D:D)</f>
        <v>102279</v>
      </c>
      <c r="E161" s="8">
        <f>_xlfn.XLOOKUP($A161,'RAWDATA Cars Buyers DB'!$A:$A,'RAWDATA Cars Buyers DB'!E:E)</f>
        <v>1</v>
      </c>
      <c r="F161" s="8" t="str">
        <f>_xlfn.XLOOKUP($A161,'RAWDATA Cars Buyers DB'!$A:$A,'RAWDATA Cars Buyers DB'!F:F)</f>
        <v>Graduate Degree</v>
      </c>
      <c r="G161" s="8" t="str">
        <f>_xlfn.XLOOKUP($A161,'RAWDATA Cars Buyers DB'!$A:$A,'RAWDATA Cars Buyers DB'!G:G)</f>
        <v>Clerical</v>
      </c>
      <c r="H161" s="8" t="str">
        <f>_xlfn.XLOOKUP($A161,'RAWDATA Cars Buyers DB'!$A:$A,'RAWDATA Cars Buyers DB'!H:H)</f>
        <v>No</v>
      </c>
      <c r="I161" s="8" t="str">
        <f>_xlfn.XLOOKUP($A161,'RAWDATA Cars Buyers DB'!$A:$A,'RAWDATA Cars Buyers DB'!I:I)</f>
        <v>0–1 Kilometre</v>
      </c>
      <c r="J161" s="8" t="str">
        <f>_xlfn.XLOOKUP($A161,'RAWDATA Cars Buyers DB'!$A:$A,'RAWDATA Cars Buyers DB'!J:J)</f>
        <v>Saxony</v>
      </c>
      <c r="K161" s="8">
        <f>_xlfn.XLOOKUP($A161,'RAWDATA Cars Buyers DB'!$A:$A,'RAWDATA Cars Buyers DB'!K:K)</f>
        <v>47</v>
      </c>
      <c r="L161" s="10" t="str">
        <f>IF(_xlfn.XLOOKUP($A161,'RAWDATA Cars Buyers DB'!$A:$A,'RAWDATA Cars Buyers DB'!K:K)&gt;54,"Old ",IF(_xlfn.XLOOKUP($A161,'RAWDATA Cars Buyers DB'!$A:$A,'RAWDATA Cars Buyers DB'!K:K)&gt;=31,"Middle Age ",IF(_xlfn.XLOOKUP($A161,'RAWDATA Cars Buyers DB'!$A:$A,'RAWDATA Cars Buyers DB'!K:K)&lt;31,"Adolescent","Invalid")))</f>
        <v xml:space="preserve">Middle Age </v>
      </c>
      <c r="M161" s="8" t="str">
        <f>_xlfn.XLOOKUP($A161,'RAWDATA Cars Buyers DB'!$A:$A,'RAWDATA Cars Buyers DB'!L:L)</f>
        <v>No</v>
      </c>
    </row>
    <row r="162" spans="1:13">
      <c r="A162" s="6">
        <v>25707</v>
      </c>
      <c r="B162" s="10" t="str">
        <f>IF(_xlfn.XLOOKUP($A162,'RAWDATA Cars Buyers DB'!$A:$A,'RAWDATA Cars Buyers DB'!B:B)="S","Single","Married")</f>
        <v>Married</v>
      </c>
      <c r="C162" s="10" t="str">
        <f>IF(_xlfn.XLOOKUP($A162,'RAWDATA Cars Buyers DB'!$A:$A,'RAWDATA Cars Buyers DB'!C:C)="F","Female","Male")</f>
        <v>Male</v>
      </c>
      <c r="D162" s="7">
        <f>_xlfn.XLOOKUP($A162,'RAWDATA Cars Buyers DB'!$A:$A,'RAWDATA Cars Buyers DB'!D:D)</f>
        <v>35434</v>
      </c>
      <c r="E162" s="8">
        <f>_xlfn.XLOOKUP($A162,'RAWDATA Cars Buyers DB'!$A:$A,'RAWDATA Cars Buyers DB'!E:E)</f>
        <v>0</v>
      </c>
      <c r="F162" s="8" t="str">
        <f>_xlfn.XLOOKUP($A162,'RAWDATA Cars Buyers DB'!$A:$A,'RAWDATA Cars Buyers DB'!F:F)</f>
        <v>Graduate Degree</v>
      </c>
      <c r="G162" s="8" t="str">
        <f>_xlfn.XLOOKUP($A162,'RAWDATA Cars Buyers DB'!$A:$A,'RAWDATA Cars Buyers DB'!G:G)</f>
        <v>Skilled Manual</v>
      </c>
      <c r="H162" s="8" t="str">
        <f>_xlfn.XLOOKUP($A162,'RAWDATA Cars Buyers DB'!$A:$A,'RAWDATA Cars Buyers DB'!H:H)</f>
        <v>No</v>
      </c>
      <c r="I162" s="8" t="str">
        <f>_xlfn.XLOOKUP($A162,'RAWDATA Cars Buyers DB'!$A:$A,'RAWDATA Cars Buyers DB'!I:I)</f>
        <v>1–2 Kilometre</v>
      </c>
      <c r="J162" s="8" t="str">
        <f>_xlfn.XLOOKUP($A162,'RAWDATA Cars Buyers DB'!$A:$A,'RAWDATA Cars Buyers DB'!J:J)</f>
        <v>Brandenburg</v>
      </c>
      <c r="K162" s="8">
        <f>_xlfn.XLOOKUP($A162,'RAWDATA Cars Buyers DB'!$A:$A,'RAWDATA Cars Buyers DB'!K:K)</f>
        <v>52</v>
      </c>
      <c r="L162" s="10" t="str">
        <f>IF(_xlfn.XLOOKUP($A162,'RAWDATA Cars Buyers DB'!$A:$A,'RAWDATA Cars Buyers DB'!K:K)&gt;54,"Old ",IF(_xlfn.XLOOKUP($A162,'RAWDATA Cars Buyers DB'!$A:$A,'RAWDATA Cars Buyers DB'!K:K)&gt;=31,"Middle Age ",IF(_xlfn.XLOOKUP($A162,'RAWDATA Cars Buyers DB'!$A:$A,'RAWDATA Cars Buyers DB'!K:K)&lt;31,"Adolescent","Invalid")))</f>
        <v xml:space="preserve">Middle Age </v>
      </c>
      <c r="M162" s="8" t="str">
        <f>_xlfn.XLOOKUP($A162,'RAWDATA Cars Buyers DB'!$A:$A,'RAWDATA Cars Buyers DB'!L:L)</f>
        <v>No</v>
      </c>
    </row>
    <row r="163" spans="1:13">
      <c r="A163" s="6">
        <v>31976</v>
      </c>
      <c r="B163" s="10" t="str">
        <f>IF(_xlfn.XLOOKUP($A163,'RAWDATA Cars Buyers DB'!$A:$A,'RAWDATA Cars Buyers DB'!B:B)="S","Single","Married")</f>
        <v>Single</v>
      </c>
      <c r="C163" s="10" t="str">
        <f>IF(_xlfn.XLOOKUP($A163,'RAWDATA Cars Buyers DB'!$A:$A,'RAWDATA Cars Buyers DB'!C:C)="F","Female","Male")</f>
        <v>Male</v>
      </c>
      <c r="D163" s="7">
        <f>_xlfn.XLOOKUP($A163,'RAWDATA Cars Buyers DB'!$A:$A,'RAWDATA Cars Buyers DB'!D:D)</f>
        <v>84047</v>
      </c>
      <c r="E163" s="8">
        <f>_xlfn.XLOOKUP($A163,'RAWDATA Cars Buyers DB'!$A:$A,'RAWDATA Cars Buyers DB'!E:E)</f>
        <v>2</v>
      </c>
      <c r="F163" s="8" t="str">
        <f>_xlfn.XLOOKUP($A163,'RAWDATA Cars Buyers DB'!$A:$A,'RAWDATA Cars Buyers DB'!F:F)</f>
        <v>High School</v>
      </c>
      <c r="G163" s="8" t="str">
        <f>_xlfn.XLOOKUP($A163,'RAWDATA Cars Buyers DB'!$A:$A,'RAWDATA Cars Buyers DB'!G:G)</f>
        <v>Clerical</v>
      </c>
      <c r="H163" s="8" t="str">
        <f>_xlfn.XLOOKUP($A163,'RAWDATA Cars Buyers DB'!$A:$A,'RAWDATA Cars Buyers DB'!H:H)</f>
        <v>Yes</v>
      </c>
      <c r="I163" s="8" t="str">
        <f>_xlfn.XLOOKUP($A163,'RAWDATA Cars Buyers DB'!$A:$A,'RAWDATA Cars Buyers DB'!I:I)</f>
        <v>1–2 Kilometre</v>
      </c>
      <c r="J163" s="8" t="str">
        <f>_xlfn.XLOOKUP($A163,'RAWDATA Cars Buyers DB'!$A:$A,'RAWDATA Cars Buyers DB'!J:J)</f>
        <v>Berlin</v>
      </c>
      <c r="K163" s="8">
        <f>_xlfn.XLOOKUP($A163,'RAWDATA Cars Buyers DB'!$A:$A,'RAWDATA Cars Buyers DB'!K:K)</f>
        <v>56</v>
      </c>
      <c r="L163" s="10" t="str">
        <f>IF(_xlfn.XLOOKUP($A163,'RAWDATA Cars Buyers DB'!$A:$A,'RAWDATA Cars Buyers DB'!K:K)&gt;54,"Old ",IF(_xlfn.XLOOKUP($A163,'RAWDATA Cars Buyers DB'!$A:$A,'RAWDATA Cars Buyers DB'!K:K)&gt;=31,"Middle Age ",IF(_xlfn.XLOOKUP($A163,'RAWDATA Cars Buyers DB'!$A:$A,'RAWDATA Cars Buyers DB'!K:K)&lt;31,"Adolescent","Invalid")))</f>
        <v xml:space="preserve">Old </v>
      </c>
      <c r="M163" s="8" t="str">
        <f>_xlfn.XLOOKUP($A163,'RAWDATA Cars Buyers DB'!$A:$A,'RAWDATA Cars Buyers DB'!L:L)</f>
        <v>Yes</v>
      </c>
    </row>
    <row r="164" spans="1:13">
      <c r="A164" s="6">
        <v>54262</v>
      </c>
      <c r="B164" s="10" t="str">
        <f>IF(_xlfn.XLOOKUP($A164,'RAWDATA Cars Buyers DB'!$A:$A,'RAWDATA Cars Buyers DB'!B:B)="S","Single","Married")</f>
        <v>Married</v>
      </c>
      <c r="C164" s="10" t="str">
        <f>IF(_xlfn.XLOOKUP($A164,'RAWDATA Cars Buyers DB'!$A:$A,'RAWDATA Cars Buyers DB'!C:C)="F","Female","Male")</f>
        <v>Female</v>
      </c>
      <c r="D164" s="7">
        <f>_xlfn.XLOOKUP($A164,'RAWDATA Cars Buyers DB'!$A:$A,'RAWDATA Cars Buyers DB'!D:D)</f>
        <v>67775</v>
      </c>
      <c r="E164" s="8">
        <f>_xlfn.XLOOKUP($A164,'RAWDATA Cars Buyers DB'!$A:$A,'RAWDATA Cars Buyers DB'!E:E)</f>
        <v>1</v>
      </c>
      <c r="F164" s="8" t="str">
        <f>_xlfn.XLOOKUP($A164,'RAWDATA Cars Buyers DB'!$A:$A,'RAWDATA Cars Buyers DB'!F:F)</f>
        <v>Bachelors</v>
      </c>
      <c r="G164" s="8" t="str">
        <f>_xlfn.XLOOKUP($A164,'RAWDATA Cars Buyers DB'!$A:$A,'RAWDATA Cars Buyers DB'!G:G)</f>
        <v>Management</v>
      </c>
      <c r="H164" s="8" t="str">
        <f>_xlfn.XLOOKUP($A164,'RAWDATA Cars Buyers DB'!$A:$A,'RAWDATA Cars Buyers DB'!H:H)</f>
        <v>Yes</v>
      </c>
      <c r="I164" s="8" t="str">
        <f>_xlfn.XLOOKUP($A164,'RAWDATA Cars Buyers DB'!$A:$A,'RAWDATA Cars Buyers DB'!I:I)</f>
        <v>2–4 Kilometre</v>
      </c>
      <c r="J164" s="8" t="str">
        <f>_xlfn.XLOOKUP($A164,'RAWDATA Cars Buyers DB'!$A:$A,'RAWDATA Cars Buyers DB'!J:J)</f>
        <v>Bavaria</v>
      </c>
      <c r="K164" s="8">
        <f>_xlfn.XLOOKUP($A164,'RAWDATA Cars Buyers DB'!$A:$A,'RAWDATA Cars Buyers DB'!K:K)</f>
        <v>60</v>
      </c>
      <c r="L164" s="10" t="str">
        <f>IF(_xlfn.XLOOKUP($A164,'RAWDATA Cars Buyers DB'!$A:$A,'RAWDATA Cars Buyers DB'!K:K)&gt;54,"Old ",IF(_xlfn.XLOOKUP($A164,'RAWDATA Cars Buyers DB'!$A:$A,'RAWDATA Cars Buyers DB'!K:K)&gt;=31,"Middle Age ",IF(_xlfn.XLOOKUP($A164,'RAWDATA Cars Buyers DB'!$A:$A,'RAWDATA Cars Buyers DB'!K:K)&lt;31,"Adolescent","Invalid")))</f>
        <v xml:space="preserve">Old </v>
      </c>
      <c r="M164" s="8" t="str">
        <f>_xlfn.XLOOKUP($A164,'RAWDATA Cars Buyers DB'!$A:$A,'RAWDATA Cars Buyers DB'!L:L)</f>
        <v>Yes</v>
      </c>
    </row>
    <row r="165" spans="1:13">
      <c r="A165" s="6">
        <v>33776</v>
      </c>
      <c r="B165" s="10" t="str">
        <f>IF(_xlfn.XLOOKUP($A165,'RAWDATA Cars Buyers DB'!$A:$A,'RAWDATA Cars Buyers DB'!B:B)="S","Single","Married")</f>
        <v>Married</v>
      </c>
      <c r="C165" s="10" t="str">
        <f>IF(_xlfn.XLOOKUP($A165,'RAWDATA Cars Buyers DB'!$A:$A,'RAWDATA Cars Buyers DB'!C:C)="F","Female","Male")</f>
        <v>Male</v>
      </c>
      <c r="D165" s="7">
        <f>_xlfn.XLOOKUP($A165,'RAWDATA Cars Buyers DB'!$A:$A,'RAWDATA Cars Buyers DB'!D:D)</f>
        <v>95769</v>
      </c>
      <c r="E165" s="8">
        <f>_xlfn.XLOOKUP($A165,'RAWDATA Cars Buyers DB'!$A:$A,'RAWDATA Cars Buyers DB'!E:E)</f>
        <v>3</v>
      </c>
      <c r="F165" s="8" t="str">
        <f>_xlfn.XLOOKUP($A165,'RAWDATA Cars Buyers DB'!$A:$A,'RAWDATA Cars Buyers DB'!F:F)</f>
        <v>Graduate Degree</v>
      </c>
      <c r="G165" s="8" t="str">
        <f>_xlfn.XLOOKUP($A165,'RAWDATA Cars Buyers DB'!$A:$A,'RAWDATA Cars Buyers DB'!G:G)</f>
        <v>Management</v>
      </c>
      <c r="H165" s="8" t="str">
        <f>_xlfn.XLOOKUP($A165,'RAWDATA Cars Buyers DB'!$A:$A,'RAWDATA Cars Buyers DB'!H:H)</f>
        <v>No</v>
      </c>
      <c r="I165" s="8" t="str">
        <f>_xlfn.XLOOKUP($A165,'RAWDATA Cars Buyers DB'!$A:$A,'RAWDATA Cars Buyers DB'!I:I)</f>
        <v>4–6 Kilometre</v>
      </c>
      <c r="J165" s="8" t="str">
        <f>_xlfn.XLOOKUP($A165,'RAWDATA Cars Buyers DB'!$A:$A,'RAWDATA Cars Buyers DB'!J:J)</f>
        <v>Brandenburg</v>
      </c>
      <c r="K165" s="8">
        <f>_xlfn.XLOOKUP($A165,'RAWDATA Cars Buyers DB'!$A:$A,'RAWDATA Cars Buyers DB'!K:K)</f>
        <v>49</v>
      </c>
      <c r="L165" s="10" t="str">
        <f>IF(_xlfn.XLOOKUP($A165,'RAWDATA Cars Buyers DB'!$A:$A,'RAWDATA Cars Buyers DB'!K:K)&gt;54,"Old ",IF(_xlfn.XLOOKUP($A165,'RAWDATA Cars Buyers DB'!$A:$A,'RAWDATA Cars Buyers DB'!K:K)&gt;=31,"Middle Age ",IF(_xlfn.XLOOKUP($A165,'RAWDATA Cars Buyers DB'!$A:$A,'RAWDATA Cars Buyers DB'!K:K)&lt;31,"Adolescent","Invalid")))</f>
        <v xml:space="preserve">Middle Age </v>
      </c>
      <c r="M165" s="8" t="str">
        <f>_xlfn.XLOOKUP($A165,'RAWDATA Cars Buyers DB'!$A:$A,'RAWDATA Cars Buyers DB'!L:L)</f>
        <v>No</v>
      </c>
    </row>
    <row r="166" spans="1:13">
      <c r="A166" s="6">
        <v>40080</v>
      </c>
      <c r="B166" s="10" t="str">
        <f>IF(_xlfn.XLOOKUP($A166,'RAWDATA Cars Buyers DB'!$A:$A,'RAWDATA Cars Buyers DB'!B:B)="S","Single","Married")</f>
        <v>Single</v>
      </c>
      <c r="C166" s="10" t="str">
        <f>IF(_xlfn.XLOOKUP($A166,'RAWDATA Cars Buyers DB'!$A:$A,'RAWDATA Cars Buyers DB'!C:C)="F","Female","Male")</f>
        <v>Male</v>
      </c>
      <c r="D166" s="7">
        <f>_xlfn.XLOOKUP($A166,'RAWDATA Cars Buyers DB'!$A:$A,'RAWDATA Cars Buyers DB'!D:D)</f>
        <v>86677</v>
      </c>
      <c r="E166" s="8">
        <f>_xlfn.XLOOKUP($A166,'RAWDATA Cars Buyers DB'!$A:$A,'RAWDATA Cars Buyers DB'!E:E)</f>
        <v>1</v>
      </c>
      <c r="F166" s="8" t="str">
        <f>_xlfn.XLOOKUP($A166,'RAWDATA Cars Buyers DB'!$A:$A,'RAWDATA Cars Buyers DB'!F:F)</f>
        <v>Graduate Degree</v>
      </c>
      <c r="G166" s="8" t="str">
        <f>_xlfn.XLOOKUP($A166,'RAWDATA Cars Buyers DB'!$A:$A,'RAWDATA Cars Buyers DB'!G:G)</f>
        <v>Clerical</v>
      </c>
      <c r="H166" s="8" t="str">
        <f>_xlfn.XLOOKUP($A166,'RAWDATA Cars Buyers DB'!$A:$A,'RAWDATA Cars Buyers DB'!H:H)</f>
        <v>No</v>
      </c>
      <c r="I166" s="8" t="str">
        <f>_xlfn.XLOOKUP($A166,'RAWDATA Cars Buyers DB'!$A:$A,'RAWDATA Cars Buyers DB'!I:I)</f>
        <v>0–1 Kilometre</v>
      </c>
      <c r="J166" s="8" t="str">
        <f>_xlfn.XLOOKUP($A166,'RAWDATA Cars Buyers DB'!$A:$A,'RAWDATA Cars Buyers DB'!J:J)</f>
        <v>North Rhine-Westphalia</v>
      </c>
      <c r="K166" s="8">
        <f>_xlfn.XLOOKUP($A166,'RAWDATA Cars Buyers DB'!$A:$A,'RAWDATA Cars Buyers DB'!K:K)</f>
        <v>68</v>
      </c>
      <c r="L166" s="10" t="str">
        <f>IF(_xlfn.XLOOKUP($A166,'RAWDATA Cars Buyers DB'!$A:$A,'RAWDATA Cars Buyers DB'!K:K)&gt;54,"Old ",IF(_xlfn.XLOOKUP($A166,'RAWDATA Cars Buyers DB'!$A:$A,'RAWDATA Cars Buyers DB'!K:K)&gt;=31,"Middle Age ",IF(_xlfn.XLOOKUP($A166,'RAWDATA Cars Buyers DB'!$A:$A,'RAWDATA Cars Buyers DB'!K:K)&lt;31,"Adolescent","Invalid")))</f>
        <v xml:space="preserve">Old </v>
      </c>
      <c r="M166" s="8" t="str">
        <f>_xlfn.XLOOKUP($A166,'RAWDATA Cars Buyers DB'!$A:$A,'RAWDATA Cars Buyers DB'!L:L)</f>
        <v>No</v>
      </c>
    </row>
    <row r="167" spans="1:13">
      <c r="A167" s="6">
        <v>76842</v>
      </c>
      <c r="B167" s="10" t="str">
        <f>IF(_xlfn.XLOOKUP($A167,'RAWDATA Cars Buyers DB'!$A:$A,'RAWDATA Cars Buyers DB'!B:B)="S","Single","Married")</f>
        <v>Married</v>
      </c>
      <c r="C167" s="10" t="str">
        <f>IF(_xlfn.XLOOKUP($A167,'RAWDATA Cars Buyers DB'!$A:$A,'RAWDATA Cars Buyers DB'!C:C)="F","Female","Male")</f>
        <v>Female</v>
      </c>
      <c r="D167" s="7">
        <f>_xlfn.XLOOKUP($A167,'RAWDATA Cars Buyers DB'!$A:$A,'RAWDATA Cars Buyers DB'!D:D)</f>
        <v>103555</v>
      </c>
      <c r="E167" s="8">
        <f>_xlfn.XLOOKUP($A167,'RAWDATA Cars Buyers DB'!$A:$A,'RAWDATA Cars Buyers DB'!E:E)</f>
        <v>5</v>
      </c>
      <c r="F167" s="8" t="str">
        <f>_xlfn.XLOOKUP($A167,'RAWDATA Cars Buyers DB'!$A:$A,'RAWDATA Cars Buyers DB'!F:F)</f>
        <v>Graduate Degree</v>
      </c>
      <c r="G167" s="8" t="str">
        <f>_xlfn.XLOOKUP($A167,'RAWDATA Cars Buyers DB'!$A:$A,'RAWDATA Cars Buyers DB'!G:G)</f>
        <v>Clerical</v>
      </c>
      <c r="H167" s="8" t="str">
        <f>_xlfn.XLOOKUP($A167,'RAWDATA Cars Buyers DB'!$A:$A,'RAWDATA Cars Buyers DB'!H:H)</f>
        <v>No</v>
      </c>
      <c r="I167" s="8" t="str">
        <f>_xlfn.XLOOKUP($A167,'RAWDATA Cars Buyers DB'!$A:$A,'RAWDATA Cars Buyers DB'!I:I)</f>
        <v>2–4 Kilometre</v>
      </c>
      <c r="J167" s="8" t="str">
        <f>_xlfn.XLOOKUP($A167,'RAWDATA Cars Buyers DB'!$A:$A,'RAWDATA Cars Buyers DB'!J:J)</f>
        <v>Rhineland-Palatinate</v>
      </c>
      <c r="K167" s="8">
        <f>_xlfn.XLOOKUP($A167,'RAWDATA Cars Buyers DB'!$A:$A,'RAWDATA Cars Buyers DB'!K:K)</f>
        <v>67</v>
      </c>
      <c r="L167" s="10" t="str">
        <f>IF(_xlfn.XLOOKUP($A167,'RAWDATA Cars Buyers DB'!$A:$A,'RAWDATA Cars Buyers DB'!K:K)&gt;54,"Old ",IF(_xlfn.XLOOKUP($A167,'RAWDATA Cars Buyers DB'!$A:$A,'RAWDATA Cars Buyers DB'!K:K)&gt;=31,"Middle Age ",IF(_xlfn.XLOOKUP($A167,'RAWDATA Cars Buyers DB'!$A:$A,'RAWDATA Cars Buyers DB'!K:K)&lt;31,"Adolescent","Invalid")))</f>
        <v xml:space="preserve">Old </v>
      </c>
      <c r="M167" s="8" t="str">
        <f>_xlfn.XLOOKUP($A167,'RAWDATA Cars Buyers DB'!$A:$A,'RAWDATA Cars Buyers DB'!L:L)</f>
        <v>Yes</v>
      </c>
    </row>
    <row r="168" spans="1:13">
      <c r="A168" s="6">
        <v>71373</v>
      </c>
      <c r="B168" s="10" t="str">
        <f>IF(_xlfn.XLOOKUP($A168,'RAWDATA Cars Buyers DB'!$A:$A,'RAWDATA Cars Buyers DB'!B:B)="S","Single","Married")</f>
        <v>Single</v>
      </c>
      <c r="C168" s="10" t="str">
        <f>IF(_xlfn.XLOOKUP($A168,'RAWDATA Cars Buyers DB'!$A:$A,'RAWDATA Cars Buyers DB'!C:C)="F","Female","Male")</f>
        <v>Male</v>
      </c>
      <c r="D168" s="7">
        <f>_xlfn.XLOOKUP($A168,'RAWDATA Cars Buyers DB'!$A:$A,'RAWDATA Cars Buyers DB'!D:D)</f>
        <v>105920</v>
      </c>
      <c r="E168" s="8">
        <f>_xlfn.XLOOKUP($A168,'RAWDATA Cars Buyers DB'!$A:$A,'RAWDATA Cars Buyers DB'!E:E)</f>
        <v>5</v>
      </c>
      <c r="F168" s="8" t="str">
        <f>_xlfn.XLOOKUP($A168,'RAWDATA Cars Buyers DB'!$A:$A,'RAWDATA Cars Buyers DB'!F:F)</f>
        <v>Graduate Degree</v>
      </c>
      <c r="G168" s="8" t="str">
        <f>_xlfn.XLOOKUP($A168,'RAWDATA Cars Buyers DB'!$A:$A,'RAWDATA Cars Buyers DB'!G:G)</f>
        <v>Clerical</v>
      </c>
      <c r="H168" s="8" t="str">
        <f>_xlfn.XLOOKUP($A168,'RAWDATA Cars Buyers DB'!$A:$A,'RAWDATA Cars Buyers DB'!H:H)</f>
        <v>Yes</v>
      </c>
      <c r="I168" s="8" t="str">
        <f>_xlfn.XLOOKUP($A168,'RAWDATA Cars Buyers DB'!$A:$A,'RAWDATA Cars Buyers DB'!I:I)</f>
        <v>6+ Kilometre</v>
      </c>
      <c r="J168" s="8" t="str">
        <f>_xlfn.XLOOKUP($A168,'RAWDATA Cars Buyers DB'!$A:$A,'RAWDATA Cars Buyers DB'!J:J)</f>
        <v>Mecklenburg-Vorpommern</v>
      </c>
      <c r="K168" s="8">
        <f>_xlfn.XLOOKUP($A168,'RAWDATA Cars Buyers DB'!$A:$A,'RAWDATA Cars Buyers DB'!K:K)</f>
        <v>27</v>
      </c>
      <c r="L168" s="10" t="str">
        <f>IF(_xlfn.XLOOKUP($A168,'RAWDATA Cars Buyers DB'!$A:$A,'RAWDATA Cars Buyers DB'!K:K)&gt;54,"Old ",IF(_xlfn.XLOOKUP($A168,'RAWDATA Cars Buyers DB'!$A:$A,'RAWDATA Cars Buyers DB'!K:K)&gt;=31,"Middle Age ",IF(_xlfn.XLOOKUP($A168,'RAWDATA Cars Buyers DB'!$A:$A,'RAWDATA Cars Buyers DB'!K:K)&lt;31,"Adolescent","Invalid")))</f>
        <v>Adolescent</v>
      </c>
      <c r="M168" s="8" t="str">
        <f>_xlfn.XLOOKUP($A168,'RAWDATA Cars Buyers DB'!$A:$A,'RAWDATA Cars Buyers DB'!L:L)</f>
        <v>Yes</v>
      </c>
    </row>
    <row r="169" spans="1:13">
      <c r="A169" s="6">
        <v>16776</v>
      </c>
      <c r="B169" s="10" t="str">
        <f>IF(_xlfn.XLOOKUP($A169,'RAWDATA Cars Buyers DB'!$A:$A,'RAWDATA Cars Buyers DB'!B:B)="S","Single","Married")</f>
        <v>Married</v>
      </c>
      <c r="C169" s="10" t="str">
        <f>IF(_xlfn.XLOOKUP($A169,'RAWDATA Cars Buyers DB'!$A:$A,'RAWDATA Cars Buyers DB'!C:C)="F","Female","Male")</f>
        <v>Male</v>
      </c>
      <c r="D169" s="7">
        <f>_xlfn.XLOOKUP($A169,'RAWDATA Cars Buyers DB'!$A:$A,'RAWDATA Cars Buyers DB'!D:D)</f>
        <v>65734</v>
      </c>
      <c r="E169" s="8">
        <f>_xlfn.XLOOKUP($A169,'RAWDATA Cars Buyers DB'!$A:$A,'RAWDATA Cars Buyers DB'!E:E)</f>
        <v>1</v>
      </c>
      <c r="F169" s="8" t="str">
        <f>_xlfn.XLOOKUP($A169,'RAWDATA Cars Buyers DB'!$A:$A,'RAWDATA Cars Buyers DB'!F:F)</f>
        <v>Partial College</v>
      </c>
      <c r="G169" s="8" t="str">
        <f>_xlfn.XLOOKUP($A169,'RAWDATA Cars Buyers DB'!$A:$A,'RAWDATA Cars Buyers DB'!G:G)</f>
        <v>Clerical</v>
      </c>
      <c r="H169" s="8" t="str">
        <f>_xlfn.XLOOKUP($A169,'RAWDATA Cars Buyers DB'!$A:$A,'RAWDATA Cars Buyers DB'!H:H)</f>
        <v>Yes</v>
      </c>
      <c r="I169" s="8" t="str">
        <f>_xlfn.XLOOKUP($A169,'RAWDATA Cars Buyers DB'!$A:$A,'RAWDATA Cars Buyers DB'!I:I)</f>
        <v>4–6 Kilometre</v>
      </c>
      <c r="J169" s="8" t="str">
        <f>_xlfn.XLOOKUP($A169,'RAWDATA Cars Buyers DB'!$A:$A,'RAWDATA Cars Buyers DB'!J:J)</f>
        <v>Hamburg</v>
      </c>
      <c r="K169" s="8">
        <f>_xlfn.XLOOKUP($A169,'RAWDATA Cars Buyers DB'!$A:$A,'RAWDATA Cars Buyers DB'!K:K)</f>
        <v>68</v>
      </c>
      <c r="L169" s="10" t="str">
        <f>IF(_xlfn.XLOOKUP($A169,'RAWDATA Cars Buyers DB'!$A:$A,'RAWDATA Cars Buyers DB'!K:K)&gt;54,"Old ",IF(_xlfn.XLOOKUP($A169,'RAWDATA Cars Buyers DB'!$A:$A,'RAWDATA Cars Buyers DB'!K:K)&gt;=31,"Middle Age ",IF(_xlfn.XLOOKUP($A169,'RAWDATA Cars Buyers DB'!$A:$A,'RAWDATA Cars Buyers DB'!K:K)&lt;31,"Adolescent","Invalid")))</f>
        <v xml:space="preserve">Old </v>
      </c>
      <c r="M169" s="8" t="str">
        <f>_xlfn.XLOOKUP($A169,'RAWDATA Cars Buyers DB'!$A:$A,'RAWDATA Cars Buyers DB'!L:L)</f>
        <v>No</v>
      </c>
    </row>
    <row r="170" spans="1:13">
      <c r="A170" s="6">
        <v>65016</v>
      </c>
      <c r="B170" s="10" t="str">
        <f>IF(_xlfn.XLOOKUP($A170,'RAWDATA Cars Buyers DB'!$A:$A,'RAWDATA Cars Buyers DB'!B:B)="S","Single","Married")</f>
        <v>Single</v>
      </c>
      <c r="C170" s="10" t="str">
        <f>IF(_xlfn.XLOOKUP($A170,'RAWDATA Cars Buyers DB'!$A:$A,'RAWDATA Cars Buyers DB'!C:C)="F","Female","Male")</f>
        <v>Female</v>
      </c>
      <c r="D170" s="7">
        <f>_xlfn.XLOOKUP($A170,'RAWDATA Cars Buyers DB'!$A:$A,'RAWDATA Cars Buyers DB'!D:D)</f>
        <v>108503</v>
      </c>
      <c r="E170" s="8">
        <f>_xlfn.XLOOKUP($A170,'RAWDATA Cars Buyers DB'!$A:$A,'RAWDATA Cars Buyers DB'!E:E)</f>
        <v>2</v>
      </c>
      <c r="F170" s="8" t="str">
        <f>_xlfn.XLOOKUP($A170,'RAWDATA Cars Buyers DB'!$A:$A,'RAWDATA Cars Buyers DB'!F:F)</f>
        <v>Graduate Degree</v>
      </c>
      <c r="G170" s="8" t="str">
        <f>_xlfn.XLOOKUP($A170,'RAWDATA Cars Buyers DB'!$A:$A,'RAWDATA Cars Buyers DB'!G:G)</f>
        <v>Skilled Manual</v>
      </c>
      <c r="H170" s="8" t="str">
        <f>_xlfn.XLOOKUP($A170,'RAWDATA Cars Buyers DB'!$A:$A,'RAWDATA Cars Buyers DB'!H:H)</f>
        <v>Yes</v>
      </c>
      <c r="I170" s="8" t="str">
        <f>_xlfn.XLOOKUP($A170,'RAWDATA Cars Buyers DB'!$A:$A,'RAWDATA Cars Buyers DB'!I:I)</f>
        <v>2–4 Kilometre</v>
      </c>
      <c r="J170" s="8" t="str">
        <f>_xlfn.XLOOKUP($A170,'RAWDATA Cars Buyers DB'!$A:$A,'RAWDATA Cars Buyers DB'!J:J)</f>
        <v>Saxony</v>
      </c>
      <c r="K170" s="8">
        <f>_xlfn.XLOOKUP($A170,'RAWDATA Cars Buyers DB'!$A:$A,'RAWDATA Cars Buyers DB'!K:K)</f>
        <v>66</v>
      </c>
      <c r="L170" s="10" t="str">
        <f>IF(_xlfn.XLOOKUP($A170,'RAWDATA Cars Buyers DB'!$A:$A,'RAWDATA Cars Buyers DB'!K:K)&gt;54,"Old ",IF(_xlfn.XLOOKUP($A170,'RAWDATA Cars Buyers DB'!$A:$A,'RAWDATA Cars Buyers DB'!K:K)&gt;=31,"Middle Age ",IF(_xlfn.XLOOKUP($A170,'RAWDATA Cars Buyers DB'!$A:$A,'RAWDATA Cars Buyers DB'!K:K)&lt;31,"Adolescent","Invalid")))</f>
        <v xml:space="preserve">Old </v>
      </c>
      <c r="M170" s="8" t="str">
        <f>_xlfn.XLOOKUP($A170,'RAWDATA Cars Buyers DB'!$A:$A,'RAWDATA Cars Buyers DB'!L:L)</f>
        <v>Yes</v>
      </c>
    </row>
    <row r="171" spans="1:13">
      <c r="A171" s="6">
        <v>19474</v>
      </c>
      <c r="B171" s="10" t="str">
        <f>IF(_xlfn.XLOOKUP($A171,'RAWDATA Cars Buyers DB'!$A:$A,'RAWDATA Cars Buyers DB'!B:B)="S","Single","Married")</f>
        <v>Married</v>
      </c>
      <c r="C171" s="10" t="str">
        <f>IF(_xlfn.XLOOKUP($A171,'RAWDATA Cars Buyers DB'!$A:$A,'RAWDATA Cars Buyers DB'!C:C)="F","Female","Male")</f>
        <v>Male</v>
      </c>
      <c r="D171" s="7">
        <f>_xlfn.XLOOKUP($A171,'RAWDATA Cars Buyers DB'!$A:$A,'RAWDATA Cars Buyers DB'!D:D)</f>
        <v>60603</v>
      </c>
      <c r="E171" s="8">
        <f>_xlfn.XLOOKUP($A171,'RAWDATA Cars Buyers DB'!$A:$A,'RAWDATA Cars Buyers DB'!E:E)</f>
        <v>2</v>
      </c>
      <c r="F171" s="8" t="str">
        <f>_xlfn.XLOOKUP($A171,'RAWDATA Cars Buyers DB'!$A:$A,'RAWDATA Cars Buyers DB'!F:F)</f>
        <v>Partial College</v>
      </c>
      <c r="G171" s="8" t="str">
        <f>_xlfn.XLOOKUP($A171,'RAWDATA Cars Buyers DB'!$A:$A,'RAWDATA Cars Buyers DB'!G:G)</f>
        <v>Skilled Manual</v>
      </c>
      <c r="H171" s="8" t="str">
        <f>_xlfn.XLOOKUP($A171,'RAWDATA Cars Buyers DB'!$A:$A,'RAWDATA Cars Buyers DB'!H:H)</f>
        <v>Yes</v>
      </c>
      <c r="I171" s="8" t="str">
        <f>_xlfn.XLOOKUP($A171,'RAWDATA Cars Buyers DB'!$A:$A,'RAWDATA Cars Buyers DB'!I:I)</f>
        <v>0–1 Kilometre</v>
      </c>
      <c r="J171" s="8" t="str">
        <f>_xlfn.XLOOKUP($A171,'RAWDATA Cars Buyers DB'!$A:$A,'RAWDATA Cars Buyers DB'!J:J)</f>
        <v>Lower Saxony</v>
      </c>
      <c r="K171" s="8">
        <f>_xlfn.XLOOKUP($A171,'RAWDATA Cars Buyers DB'!$A:$A,'RAWDATA Cars Buyers DB'!K:K)</f>
        <v>20</v>
      </c>
      <c r="L171" s="10" t="str">
        <f>IF(_xlfn.XLOOKUP($A171,'RAWDATA Cars Buyers DB'!$A:$A,'RAWDATA Cars Buyers DB'!K:K)&gt;54,"Old ",IF(_xlfn.XLOOKUP($A171,'RAWDATA Cars Buyers DB'!$A:$A,'RAWDATA Cars Buyers DB'!K:K)&gt;=31,"Middle Age ",IF(_xlfn.XLOOKUP($A171,'RAWDATA Cars Buyers DB'!$A:$A,'RAWDATA Cars Buyers DB'!K:K)&lt;31,"Adolescent","Invalid")))</f>
        <v>Adolescent</v>
      </c>
      <c r="M171" s="8" t="str">
        <f>_xlfn.XLOOKUP($A171,'RAWDATA Cars Buyers DB'!$A:$A,'RAWDATA Cars Buyers DB'!L:L)</f>
        <v>Yes</v>
      </c>
    </row>
    <row r="172" spans="1:13">
      <c r="A172" s="6">
        <v>68053</v>
      </c>
      <c r="B172" s="10" t="str">
        <f>IF(_xlfn.XLOOKUP($A172,'RAWDATA Cars Buyers DB'!$A:$A,'RAWDATA Cars Buyers DB'!B:B)="S","Single","Married")</f>
        <v>Single</v>
      </c>
      <c r="C172" s="10" t="str">
        <f>IF(_xlfn.XLOOKUP($A172,'RAWDATA Cars Buyers DB'!$A:$A,'RAWDATA Cars Buyers DB'!C:C)="F","Female","Male")</f>
        <v>Female</v>
      </c>
      <c r="D172" s="7">
        <f>_xlfn.XLOOKUP($A172,'RAWDATA Cars Buyers DB'!$A:$A,'RAWDATA Cars Buyers DB'!D:D)</f>
        <v>96708</v>
      </c>
      <c r="E172" s="8">
        <f>_xlfn.XLOOKUP($A172,'RAWDATA Cars Buyers DB'!$A:$A,'RAWDATA Cars Buyers DB'!E:E)</f>
        <v>4</v>
      </c>
      <c r="F172" s="8" t="str">
        <f>_xlfn.XLOOKUP($A172,'RAWDATA Cars Buyers DB'!$A:$A,'RAWDATA Cars Buyers DB'!F:F)</f>
        <v>Graduate Degree</v>
      </c>
      <c r="G172" s="8" t="str">
        <f>_xlfn.XLOOKUP($A172,'RAWDATA Cars Buyers DB'!$A:$A,'RAWDATA Cars Buyers DB'!G:G)</f>
        <v>Clerical</v>
      </c>
      <c r="H172" s="8" t="str">
        <f>_xlfn.XLOOKUP($A172,'RAWDATA Cars Buyers DB'!$A:$A,'RAWDATA Cars Buyers DB'!H:H)</f>
        <v>Yes</v>
      </c>
      <c r="I172" s="8" t="str">
        <f>_xlfn.XLOOKUP($A172,'RAWDATA Cars Buyers DB'!$A:$A,'RAWDATA Cars Buyers DB'!I:I)</f>
        <v>1–2 Kilometre</v>
      </c>
      <c r="J172" s="8" t="str">
        <f>_xlfn.XLOOKUP($A172,'RAWDATA Cars Buyers DB'!$A:$A,'RAWDATA Cars Buyers DB'!J:J)</f>
        <v>Mecklenburg-Vorpommern</v>
      </c>
      <c r="K172" s="8">
        <f>_xlfn.XLOOKUP($A172,'RAWDATA Cars Buyers DB'!$A:$A,'RAWDATA Cars Buyers DB'!K:K)</f>
        <v>31</v>
      </c>
      <c r="L172" s="10" t="str">
        <f>IF(_xlfn.XLOOKUP($A172,'RAWDATA Cars Buyers DB'!$A:$A,'RAWDATA Cars Buyers DB'!K:K)&gt;54,"Old ",IF(_xlfn.XLOOKUP($A172,'RAWDATA Cars Buyers DB'!$A:$A,'RAWDATA Cars Buyers DB'!K:K)&gt;=31,"Middle Age ",IF(_xlfn.XLOOKUP($A172,'RAWDATA Cars Buyers DB'!$A:$A,'RAWDATA Cars Buyers DB'!K:K)&lt;31,"Adolescent","Invalid")))</f>
        <v xml:space="preserve">Middle Age </v>
      </c>
      <c r="M172" s="8" t="str">
        <f>_xlfn.XLOOKUP($A172,'RAWDATA Cars Buyers DB'!$A:$A,'RAWDATA Cars Buyers DB'!L:L)</f>
        <v>Yes</v>
      </c>
    </row>
    <row r="173" spans="1:13">
      <c r="A173" s="6">
        <v>31959</v>
      </c>
      <c r="B173" s="10" t="str">
        <f>IF(_xlfn.XLOOKUP($A173,'RAWDATA Cars Buyers DB'!$A:$A,'RAWDATA Cars Buyers DB'!B:B)="S","Single","Married")</f>
        <v>Single</v>
      </c>
      <c r="C173" s="10" t="str">
        <f>IF(_xlfn.XLOOKUP($A173,'RAWDATA Cars Buyers DB'!$A:$A,'RAWDATA Cars Buyers DB'!C:C)="F","Female","Male")</f>
        <v>Female</v>
      </c>
      <c r="D173" s="7">
        <f>_xlfn.XLOOKUP($A173,'RAWDATA Cars Buyers DB'!$A:$A,'RAWDATA Cars Buyers DB'!D:D)</f>
        <v>101926</v>
      </c>
      <c r="E173" s="8">
        <f>_xlfn.XLOOKUP($A173,'RAWDATA Cars Buyers DB'!$A:$A,'RAWDATA Cars Buyers DB'!E:E)</f>
        <v>5</v>
      </c>
      <c r="F173" s="8" t="str">
        <f>_xlfn.XLOOKUP($A173,'RAWDATA Cars Buyers DB'!$A:$A,'RAWDATA Cars Buyers DB'!F:F)</f>
        <v>Bachelors</v>
      </c>
      <c r="G173" s="8" t="str">
        <f>_xlfn.XLOOKUP($A173,'RAWDATA Cars Buyers DB'!$A:$A,'RAWDATA Cars Buyers DB'!G:G)</f>
        <v>Management</v>
      </c>
      <c r="H173" s="8" t="str">
        <f>_xlfn.XLOOKUP($A173,'RAWDATA Cars Buyers DB'!$A:$A,'RAWDATA Cars Buyers DB'!H:H)</f>
        <v>Yes</v>
      </c>
      <c r="I173" s="8" t="str">
        <f>_xlfn.XLOOKUP($A173,'RAWDATA Cars Buyers DB'!$A:$A,'RAWDATA Cars Buyers DB'!I:I)</f>
        <v>6+ Kilometre</v>
      </c>
      <c r="J173" s="8" t="str">
        <f>_xlfn.XLOOKUP($A173,'RAWDATA Cars Buyers DB'!$A:$A,'RAWDATA Cars Buyers DB'!J:J)</f>
        <v>Bavaria</v>
      </c>
      <c r="K173" s="8">
        <f>_xlfn.XLOOKUP($A173,'RAWDATA Cars Buyers DB'!$A:$A,'RAWDATA Cars Buyers DB'!K:K)</f>
        <v>24</v>
      </c>
      <c r="L173" s="10" t="str">
        <f>IF(_xlfn.XLOOKUP($A173,'RAWDATA Cars Buyers DB'!$A:$A,'RAWDATA Cars Buyers DB'!K:K)&gt;54,"Old ",IF(_xlfn.XLOOKUP($A173,'RAWDATA Cars Buyers DB'!$A:$A,'RAWDATA Cars Buyers DB'!K:K)&gt;=31,"Middle Age ",IF(_xlfn.XLOOKUP($A173,'RAWDATA Cars Buyers DB'!$A:$A,'RAWDATA Cars Buyers DB'!K:K)&lt;31,"Adolescent","Invalid")))</f>
        <v>Adolescent</v>
      </c>
      <c r="M173" s="8" t="str">
        <f>_xlfn.XLOOKUP($A173,'RAWDATA Cars Buyers DB'!$A:$A,'RAWDATA Cars Buyers DB'!L:L)</f>
        <v>No</v>
      </c>
    </row>
    <row r="174" spans="1:13">
      <c r="A174" s="6">
        <v>15530</v>
      </c>
      <c r="B174" s="10" t="str">
        <f>IF(_xlfn.XLOOKUP($A174,'RAWDATA Cars Buyers DB'!$A:$A,'RAWDATA Cars Buyers DB'!B:B)="S","Single","Married")</f>
        <v>Married</v>
      </c>
      <c r="C174" s="10" t="str">
        <f>IF(_xlfn.XLOOKUP($A174,'RAWDATA Cars Buyers DB'!$A:$A,'RAWDATA Cars Buyers DB'!C:C)="F","Female","Male")</f>
        <v>Female</v>
      </c>
      <c r="D174" s="7">
        <f>_xlfn.XLOOKUP($A174,'RAWDATA Cars Buyers DB'!$A:$A,'RAWDATA Cars Buyers DB'!D:D)</f>
        <v>88803</v>
      </c>
      <c r="E174" s="8">
        <f>_xlfn.XLOOKUP($A174,'RAWDATA Cars Buyers DB'!$A:$A,'RAWDATA Cars Buyers DB'!E:E)</f>
        <v>3</v>
      </c>
      <c r="F174" s="8" t="str">
        <f>_xlfn.XLOOKUP($A174,'RAWDATA Cars Buyers DB'!$A:$A,'RAWDATA Cars Buyers DB'!F:F)</f>
        <v>High School</v>
      </c>
      <c r="G174" s="8" t="str">
        <f>_xlfn.XLOOKUP($A174,'RAWDATA Cars Buyers DB'!$A:$A,'RAWDATA Cars Buyers DB'!G:G)</f>
        <v>Skilled Manual</v>
      </c>
      <c r="H174" s="8" t="str">
        <f>_xlfn.XLOOKUP($A174,'RAWDATA Cars Buyers DB'!$A:$A,'RAWDATA Cars Buyers DB'!H:H)</f>
        <v>No</v>
      </c>
      <c r="I174" s="8" t="str">
        <f>_xlfn.XLOOKUP($A174,'RAWDATA Cars Buyers DB'!$A:$A,'RAWDATA Cars Buyers DB'!I:I)</f>
        <v>0–1 Kilometre</v>
      </c>
      <c r="J174" s="8" t="str">
        <f>_xlfn.XLOOKUP($A174,'RAWDATA Cars Buyers DB'!$A:$A,'RAWDATA Cars Buyers DB'!J:J)</f>
        <v>Hamburg</v>
      </c>
      <c r="K174" s="8">
        <f>_xlfn.XLOOKUP($A174,'RAWDATA Cars Buyers DB'!$A:$A,'RAWDATA Cars Buyers DB'!K:K)</f>
        <v>43</v>
      </c>
      <c r="L174" s="10" t="str">
        <f>IF(_xlfn.XLOOKUP($A174,'RAWDATA Cars Buyers DB'!$A:$A,'RAWDATA Cars Buyers DB'!K:K)&gt;54,"Old ",IF(_xlfn.XLOOKUP($A174,'RAWDATA Cars Buyers DB'!$A:$A,'RAWDATA Cars Buyers DB'!K:K)&gt;=31,"Middle Age ",IF(_xlfn.XLOOKUP($A174,'RAWDATA Cars Buyers DB'!$A:$A,'RAWDATA Cars Buyers DB'!K:K)&lt;31,"Adolescent","Invalid")))</f>
        <v xml:space="preserve">Middle Age </v>
      </c>
      <c r="M174" s="8" t="str">
        <f>_xlfn.XLOOKUP($A174,'RAWDATA Cars Buyers DB'!$A:$A,'RAWDATA Cars Buyers DB'!L:L)</f>
        <v>Yes</v>
      </c>
    </row>
    <row r="175" spans="1:13">
      <c r="A175" s="6">
        <v>13748</v>
      </c>
      <c r="B175" s="10" t="str">
        <f>IF(_xlfn.XLOOKUP($A175,'RAWDATA Cars Buyers DB'!$A:$A,'RAWDATA Cars Buyers DB'!B:B)="S","Single","Married")</f>
        <v>Single</v>
      </c>
      <c r="C175" s="10" t="str">
        <f>IF(_xlfn.XLOOKUP($A175,'RAWDATA Cars Buyers DB'!$A:$A,'RAWDATA Cars Buyers DB'!C:C)="F","Female","Male")</f>
        <v>Female</v>
      </c>
      <c r="D175" s="7">
        <f>_xlfn.XLOOKUP($A175,'RAWDATA Cars Buyers DB'!$A:$A,'RAWDATA Cars Buyers DB'!D:D)</f>
        <v>59332</v>
      </c>
      <c r="E175" s="8">
        <f>_xlfn.XLOOKUP($A175,'RAWDATA Cars Buyers DB'!$A:$A,'RAWDATA Cars Buyers DB'!E:E)</f>
        <v>2</v>
      </c>
      <c r="F175" s="8" t="str">
        <f>_xlfn.XLOOKUP($A175,'RAWDATA Cars Buyers DB'!$A:$A,'RAWDATA Cars Buyers DB'!F:F)</f>
        <v>Bachelors</v>
      </c>
      <c r="G175" s="8" t="str">
        <f>_xlfn.XLOOKUP($A175,'RAWDATA Cars Buyers DB'!$A:$A,'RAWDATA Cars Buyers DB'!G:G)</f>
        <v>Management</v>
      </c>
      <c r="H175" s="8" t="str">
        <f>_xlfn.XLOOKUP($A175,'RAWDATA Cars Buyers DB'!$A:$A,'RAWDATA Cars Buyers DB'!H:H)</f>
        <v>Yes</v>
      </c>
      <c r="I175" s="8" t="str">
        <f>_xlfn.XLOOKUP($A175,'RAWDATA Cars Buyers DB'!$A:$A,'RAWDATA Cars Buyers DB'!I:I)</f>
        <v>4–6 Kilometre</v>
      </c>
      <c r="J175" s="8" t="str">
        <f>_xlfn.XLOOKUP($A175,'RAWDATA Cars Buyers DB'!$A:$A,'RAWDATA Cars Buyers DB'!J:J)</f>
        <v>North Rhine-Westphalia</v>
      </c>
      <c r="K175" s="8">
        <f>_xlfn.XLOOKUP($A175,'RAWDATA Cars Buyers DB'!$A:$A,'RAWDATA Cars Buyers DB'!K:K)</f>
        <v>25</v>
      </c>
      <c r="L175" s="10" t="str">
        <f>IF(_xlfn.XLOOKUP($A175,'RAWDATA Cars Buyers DB'!$A:$A,'RAWDATA Cars Buyers DB'!K:K)&gt;54,"Old ",IF(_xlfn.XLOOKUP($A175,'RAWDATA Cars Buyers DB'!$A:$A,'RAWDATA Cars Buyers DB'!K:K)&gt;=31,"Middle Age ",IF(_xlfn.XLOOKUP($A175,'RAWDATA Cars Buyers DB'!$A:$A,'RAWDATA Cars Buyers DB'!K:K)&lt;31,"Adolescent","Invalid")))</f>
        <v>Adolescent</v>
      </c>
      <c r="M175" s="8" t="str">
        <f>_xlfn.XLOOKUP($A175,'RAWDATA Cars Buyers DB'!$A:$A,'RAWDATA Cars Buyers DB'!L:L)</f>
        <v>No</v>
      </c>
    </row>
    <row r="176" spans="1:13">
      <c r="A176" s="6">
        <v>23545</v>
      </c>
      <c r="B176" s="10" t="str">
        <f>IF(_xlfn.XLOOKUP($A176,'RAWDATA Cars Buyers DB'!$A:$A,'RAWDATA Cars Buyers DB'!B:B)="S","Single","Married")</f>
        <v>Single</v>
      </c>
      <c r="C176" s="10" t="str">
        <f>IF(_xlfn.XLOOKUP($A176,'RAWDATA Cars Buyers DB'!$A:$A,'RAWDATA Cars Buyers DB'!C:C)="F","Female","Male")</f>
        <v>Female</v>
      </c>
      <c r="D176" s="7">
        <f>_xlfn.XLOOKUP($A176,'RAWDATA Cars Buyers DB'!$A:$A,'RAWDATA Cars Buyers DB'!D:D)</f>
        <v>111703</v>
      </c>
      <c r="E176" s="8">
        <f>_xlfn.XLOOKUP($A176,'RAWDATA Cars Buyers DB'!$A:$A,'RAWDATA Cars Buyers DB'!E:E)</f>
        <v>0</v>
      </c>
      <c r="F176" s="8" t="str">
        <f>_xlfn.XLOOKUP($A176,'RAWDATA Cars Buyers DB'!$A:$A,'RAWDATA Cars Buyers DB'!F:F)</f>
        <v>Graduate Degree</v>
      </c>
      <c r="G176" s="8" t="str">
        <f>_xlfn.XLOOKUP($A176,'RAWDATA Cars Buyers DB'!$A:$A,'RAWDATA Cars Buyers DB'!G:G)</f>
        <v>Professional</v>
      </c>
      <c r="H176" s="8" t="str">
        <f>_xlfn.XLOOKUP($A176,'RAWDATA Cars Buyers DB'!$A:$A,'RAWDATA Cars Buyers DB'!H:H)</f>
        <v>Yes</v>
      </c>
      <c r="I176" s="8" t="str">
        <f>_xlfn.XLOOKUP($A176,'RAWDATA Cars Buyers DB'!$A:$A,'RAWDATA Cars Buyers DB'!I:I)</f>
        <v>4–6 Kilometre</v>
      </c>
      <c r="J176" s="8" t="str">
        <f>_xlfn.XLOOKUP($A176,'RAWDATA Cars Buyers DB'!$A:$A,'RAWDATA Cars Buyers DB'!J:J)</f>
        <v>Thuringia</v>
      </c>
      <c r="K176" s="8">
        <f>_xlfn.XLOOKUP($A176,'RAWDATA Cars Buyers DB'!$A:$A,'RAWDATA Cars Buyers DB'!K:K)</f>
        <v>44</v>
      </c>
      <c r="L176" s="10" t="str">
        <f>IF(_xlfn.XLOOKUP($A176,'RAWDATA Cars Buyers DB'!$A:$A,'RAWDATA Cars Buyers DB'!K:K)&gt;54,"Old ",IF(_xlfn.XLOOKUP($A176,'RAWDATA Cars Buyers DB'!$A:$A,'RAWDATA Cars Buyers DB'!K:K)&gt;=31,"Middle Age ",IF(_xlfn.XLOOKUP($A176,'RAWDATA Cars Buyers DB'!$A:$A,'RAWDATA Cars Buyers DB'!K:K)&lt;31,"Adolescent","Invalid")))</f>
        <v xml:space="preserve">Middle Age </v>
      </c>
      <c r="M176" s="8" t="str">
        <f>_xlfn.XLOOKUP($A176,'RAWDATA Cars Buyers DB'!$A:$A,'RAWDATA Cars Buyers DB'!L:L)</f>
        <v>Yes</v>
      </c>
    </row>
    <row r="177" spans="1:13">
      <c r="A177" s="6">
        <v>76199</v>
      </c>
      <c r="B177" s="10" t="str">
        <f>IF(_xlfn.XLOOKUP($A177,'RAWDATA Cars Buyers DB'!$A:$A,'RAWDATA Cars Buyers DB'!B:B)="S","Single","Married")</f>
        <v>Married</v>
      </c>
      <c r="C177" s="10" t="str">
        <f>IF(_xlfn.XLOOKUP($A177,'RAWDATA Cars Buyers DB'!$A:$A,'RAWDATA Cars Buyers DB'!C:C)="F","Female","Male")</f>
        <v>Male</v>
      </c>
      <c r="D177" s="7">
        <f>_xlfn.XLOOKUP($A177,'RAWDATA Cars Buyers DB'!$A:$A,'RAWDATA Cars Buyers DB'!D:D)</f>
        <v>41312</v>
      </c>
      <c r="E177" s="8">
        <f>_xlfn.XLOOKUP($A177,'RAWDATA Cars Buyers DB'!$A:$A,'RAWDATA Cars Buyers DB'!E:E)</f>
        <v>5</v>
      </c>
      <c r="F177" s="8" t="str">
        <f>_xlfn.XLOOKUP($A177,'RAWDATA Cars Buyers DB'!$A:$A,'RAWDATA Cars Buyers DB'!F:F)</f>
        <v>Graduate Degree</v>
      </c>
      <c r="G177" s="8" t="str">
        <f>_xlfn.XLOOKUP($A177,'RAWDATA Cars Buyers DB'!$A:$A,'RAWDATA Cars Buyers DB'!G:G)</f>
        <v>Management</v>
      </c>
      <c r="H177" s="8" t="str">
        <f>_xlfn.XLOOKUP($A177,'RAWDATA Cars Buyers DB'!$A:$A,'RAWDATA Cars Buyers DB'!H:H)</f>
        <v>No</v>
      </c>
      <c r="I177" s="8" t="str">
        <f>_xlfn.XLOOKUP($A177,'RAWDATA Cars Buyers DB'!$A:$A,'RAWDATA Cars Buyers DB'!I:I)</f>
        <v>1–2 Kilometre</v>
      </c>
      <c r="J177" s="8" t="str">
        <f>_xlfn.XLOOKUP($A177,'RAWDATA Cars Buyers DB'!$A:$A,'RAWDATA Cars Buyers DB'!J:J)</f>
        <v>North Rhine-Westphalia</v>
      </c>
      <c r="K177" s="8">
        <f>_xlfn.XLOOKUP($A177,'RAWDATA Cars Buyers DB'!$A:$A,'RAWDATA Cars Buyers DB'!K:K)</f>
        <v>20</v>
      </c>
      <c r="L177" s="10" t="str">
        <f>IF(_xlfn.XLOOKUP($A177,'RAWDATA Cars Buyers DB'!$A:$A,'RAWDATA Cars Buyers DB'!K:K)&gt;54,"Old ",IF(_xlfn.XLOOKUP($A177,'RAWDATA Cars Buyers DB'!$A:$A,'RAWDATA Cars Buyers DB'!K:K)&gt;=31,"Middle Age ",IF(_xlfn.XLOOKUP($A177,'RAWDATA Cars Buyers DB'!$A:$A,'RAWDATA Cars Buyers DB'!K:K)&lt;31,"Adolescent","Invalid")))</f>
        <v>Adolescent</v>
      </c>
      <c r="M177" s="8" t="str">
        <f>_xlfn.XLOOKUP($A177,'RAWDATA Cars Buyers DB'!$A:$A,'RAWDATA Cars Buyers DB'!L:L)</f>
        <v>No</v>
      </c>
    </row>
    <row r="178" spans="1:13">
      <c r="A178" s="6">
        <v>44766</v>
      </c>
      <c r="B178" s="10" t="str">
        <f>IF(_xlfn.XLOOKUP($A178,'RAWDATA Cars Buyers DB'!$A:$A,'RAWDATA Cars Buyers DB'!B:B)="S","Single","Married")</f>
        <v>Married</v>
      </c>
      <c r="C178" s="10" t="str">
        <f>IF(_xlfn.XLOOKUP($A178,'RAWDATA Cars Buyers DB'!$A:$A,'RAWDATA Cars Buyers DB'!C:C)="F","Female","Male")</f>
        <v>Male</v>
      </c>
      <c r="D178" s="7">
        <f>_xlfn.XLOOKUP($A178,'RAWDATA Cars Buyers DB'!$A:$A,'RAWDATA Cars Buyers DB'!D:D)</f>
        <v>113376</v>
      </c>
      <c r="E178" s="8">
        <f>_xlfn.XLOOKUP($A178,'RAWDATA Cars Buyers DB'!$A:$A,'RAWDATA Cars Buyers DB'!E:E)</f>
        <v>3</v>
      </c>
      <c r="F178" s="8" t="str">
        <f>_xlfn.XLOOKUP($A178,'RAWDATA Cars Buyers DB'!$A:$A,'RAWDATA Cars Buyers DB'!F:F)</f>
        <v>Graduate Degree</v>
      </c>
      <c r="G178" s="8" t="str">
        <f>_xlfn.XLOOKUP($A178,'RAWDATA Cars Buyers DB'!$A:$A,'RAWDATA Cars Buyers DB'!G:G)</f>
        <v>Clerical</v>
      </c>
      <c r="H178" s="8" t="str">
        <f>_xlfn.XLOOKUP($A178,'RAWDATA Cars Buyers DB'!$A:$A,'RAWDATA Cars Buyers DB'!H:H)</f>
        <v>Yes</v>
      </c>
      <c r="I178" s="8" t="str">
        <f>_xlfn.XLOOKUP($A178,'RAWDATA Cars Buyers DB'!$A:$A,'RAWDATA Cars Buyers DB'!I:I)</f>
        <v>1–2 Kilometre</v>
      </c>
      <c r="J178" s="8" t="str">
        <f>_xlfn.XLOOKUP($A178,'RAWDATA Cars Buyers DB'!$A:$A,'RAWDATA Cars Buyers DB'!J:J)</f>
        <v>Hamburg</v>
      </c>
      <c r="K178" s="8">
        <f>_xlfn.XLOOKUP($A178,'RAWDATA Cars Buyers DB'!$A:$A,'RAWDATA Cars Buyers DB'!K:K)</f>
        <v>44</v>
      </c>
      <c r="L178" s="10" t="str">
        <f>IF(_xlfn.XLOOKUP($A178,'RAWDATA Cars Buyers DB'!$A:$A,'RAWDATA Cars Buyers DB'!K:K)&gt;54,"Old ",IF(_xlfn.XLOOKUP($A178,'RAWDATA Cars Buyers DB'!$A:$A,'RAWDATA Cars Buyers DB'!K:K)&gt;=31,"Middle Age ",IF(_xlfn.XLOOKUP($A178,'RAWDATA Cars Buyers DB'!$A:$A,'RAWDATA Cars Buyers DB'!K:K)&lt;31,"Adolescent","Invalid")))</f>
        <v xml:space="preserve">Middle Age </v>
      </c>
      <c r="M178" s="8" t="str">
        <f>_xlfn.XLOOKUP($A178,'RAWDATA Cars Buyers DB'!$A:$A,'RAWDATA Cars Buyers DB'!L:L)</f>
        <v>No</v>
      </c>
    </row>
    <row r="179" spans="1:13">
      <c r="A179" s="6">
        <v>83530</v>
      </c>
      <c r="B179" s="10" t="str">
        <f>IF(_xlfn.XLOOKUP($A179,'RAWDATA Cars Buyers DB'!$A:$A,'RAWDATA Cars Buyers DB'!B:B)="S","Single","Married")</f>
        <v>Married</v>
      </c>
      <c r="C179" s="10" t="str">
        <f>IF(_xlfn.XLOOKUP($A179,'RAWDATA Cars Buyers DB'!$A:$A,'RAWDATA Cars Buyers DB'!C:C)="F","Female","Male")</f>
        <v>Female</v>
      </c>
      <c r="D179" s="7">
        <f>_xlfn.XLOOKUP($A179,'RAWDATA Cars Buyers DB'!$A:$A,'RAWDATA Cars Buyers DB'!D:D)</f>
        <v>104526</v>
      </c>
      <c r="E179" s="8">
        <f>_xlfn.XLOOKUP($A179,'RAWDATA Cars Buyers DB'!$A:$A,'RAWDATA Cars Buyers DB'!E:E)</f>
        <v>3</v>
      </c>
      <c r="F179" s="8" t="str">
        <f>_xlfn.XLOOKUP($A179,'RAWDATA Cars Buyers DB'!$A:$A,'RAWDATA Cars Buyers DB'!F:F)</f>
        <v>Bachelors</v>
      </c>
      <c r="G179" s="8" t="str">
        <f>_xlfn.XLOOKUP($A179,'RAWDATA Cars Buyers DB'!$A:$A,'RAWDATA Cars Buyers DB'!G:G)</f>
        <v>Professional</v>
      </c>
      <c r="H179" s="8" t="str">
        <f>_xlfn.XLOOKUP($A179,'RAWDATA Cars Buyers DB'!$A:$A,'RAWDATA Cars Buyers DB'!H:H)</f>
        <v>No</v>
      </c>
      <c r="I179" s="8" t="str">
        <f>_xlfn.XLOOKUP($A179,'RAWDATA Cars Buyers DB'!$A:$A,'RAWDATA Cars Buyers DB'!I:I)</f>
        <v>6+ Kilometre</v>
      </c>
      <c r="J179" s="8" t="str">
        <f>_xlfn.XLOOKUP($A179,'RAWDATA Cars Buyers DB'!$A:$A,'RAWDATA Cars Buyers DB'!J:J)</f>
        <v>Brandenburg</v>
      </c>
      <c r="K179" s="8">
        <f>_xlfn.XLOOKUP($A179,'RAWDATA Cars Buyers DB'!$A:$A,'RAWDATA Cars Buyers DB'!K:K)</f>
        <v>20</v>
      </c>
      <c r="L179" s="10" t="str">
        <f>IF(_xlfn.XLOOKUP($A179,'RAWDATA Cars Buyers DB'!$A:$A,'RAWDATA Cars Buyers DB'!K:K)&gt;54,"Old ",IF(_xlfn.XLOOKUP($A179,'RAWDATA Cars Buyers DB'!$A:$A,'RAWDATA Cars Buyers DB'!K:K)&gt;=31,"Middle Age ",IF(_xlfn.XLOOKUP($A179,'RAWDATA Cars Buyers DB'!$A:$A,'RAWDATA Cars Buyers DB'!K:K)&lt;31,"Adolescent","Invalid")))</f>
        <v>Adolescent</v>
      </c>
      <c r="M179" s="8" t="str">
        <f>_xlfn.XLOOKUP($A179,'RAWDATA Cars Buyers DB'!$A:$A,'RAWDATA Cars Buyers DB'!L:L)</f>
        <v>Yes</v>
      </c>
    </row>
    <row r="180" spans="1:13">
      <c r="A180" s="6">
        <v>71087</v>
      </c>
      <c r="B180" s="10" t="str">
        <f>IF(_xlfn.XLOOKUP($A180,'RAWDATA Cars Buyers DB'!$A:$A,'RAWDATA Cars Buyers DB'!B:B)="S","Single","Married")</f>
        <v>Married</v>
      </c>
      <c r="C180" s="10" t="str">
        <f>IF(_xlfn.XLOOKUP($A180,'RAWDATA Cars Buyers DB'!$A:$A,'RAWDATA Cars Buyers DB'!C:C)="F","Female","Male")</f>
        <v>Female</v>
      </c>
      <c r="D180" s="7">
        <f>_xlfn.XLOOKUP($A180,'RAWDATA Cars Buyers DB'!$A:$A,'RAWDATA Cars Buyers DB'!D:D)</f>
        <v>64179</v>
      </c>
      <c r="E180" s="8">
        <f>_xlfn.XLOOKUP($A180,'RAWDATA Cars Buyers DB'!$A:$A,'RAWDATA Cars Buyers DB'!E:E)</f>
        <v>2</v>
      </c>
      <c r="F180" s="8" t="str">
        <f>_xlfn.XLOOKUP($A180,'RAWDATA Cars Buyers DB'!$A:$A,'RAWDATA Cars Buyers DB'!F:F)</f>
        <v>Graduate Degree</v>
      </c>
      <c r="G180" s="8" t="str">
        <f>_xlfn.XLOOKUP($A180,'RAWDATA Cars Buyers DB'!$A:$A,'RAWDATA Cars Buyers DB'!G:G)</f>
        <v>Skilled Manual</v>
      </c>
      <c r="H180" s="8" t="str">
        <f>_xlfn.XLOOKUP($A180,'RAWDATA Cars Buyers DB'!$A:$A,'RAWDATA Cars Buyers DB'!H:H)</f>
        <v>Yes</v>
      </c>
      <c r="I180" s="8" t="str">
        <f>_xlfn.XLOOKUP($A180,'RAWDATA Cars Buyers DB'!$A:$A,'RAWDATA Cars Buyers DB'!I:I)</f>
        <v>6+ Kilometre</v>
      </c>
      <c r="J180" s="8" t="str">
        <f>_xlfn.XLOOKUP($A180,'RAWDATA Cars Buyers DB'!$A:$A,'RAWDATA Cars Buyers DB'!J:J)</f>
        <v>Schleswig-Holstein</v>
      </c>
      <c r="K180" s="8">
        <f>_xlfn.XLOOKUP($A180,'RAWDATA Cars Buyers DB'!$A:$A,'RAWDATA Cars Buyers DB'!K:K)</f>
        <v>51</v>
      </c>
      <c r="L180" s="10" t="str">
        <f>IF(_xlfn.XLOOKUP($A180,'RAWDATA Cars Buyers DB'!$A:$A,'RAWDATA Cars Buyers DB'!K:K)&gt;54,"Old ",IF(_xlfn.XLOOKUP($A180,'RAWDATA Cars Buyers DB'!$A:$A,'RAWDATA Cars Buyers DB'!K:K)&gt;=31,"Middle Age ",IF(_xlfn.XLOOKUP($A180,'RAWDATA Cars Buyers DB'!$A:$A,'RAWDATA Cars Buyers DB'!K:K)&lt;31,"Adolescent","Invalid")))</f>
        <v xml:space="preserve">Middle Age </v>
      </c>
      <c r="M180" s="8" t="str">
        <f>_xlfn.XLOOKUP($A180,'RAWDATA Cars Buyers DB'!$A:$A,'RAWDATA Cars Buyers DB'!L:L)</f>
        <v>No</v>
      </c>
    </row>
    <row r="181" spans="1:13">
      <c r="A181" s="6">
        <v>78840</v>
      </c>
      <c r="B181" s="10" t="str">
        <f>IF(_xlfn.XLOOKUP($A181,'RAWDATA Cars Buyers DB'!$A:$A,'RAWDATA Cars Buyers DB'!B:B)="S","Single","Married")</f>
        <v>Single</v>
      </c>
      <c r="C181" s="10" t="str">
        <f>IF(_xlfn.XLOOKUP($A181,'RAWDATA Cars Buyers DB'!$A:$A,'RAWDATA Cars Buyers DB'!C:C)="F","Female","Male")</f>
        <v>Male</v>
      </c>
      <c r="D181" s="7">
        <f>_xlfn.XLOOKUP($A181,'RAWDATA Cars Buyers DB'!$A:$A,'RAWDATA Cars Buyers DB'!D:D)</f>
        <v>91442</v>
      </c>
      <c r="E181" s="8">
        <f>_xlfn.XLOOKUP($A181,'RAWDATA Cars Buyers DB'!$A:$A,'RAWDATA Cars Buyers DB'!E:E)</f>
        <v>3</v>
      </c>
      <c r="F181" s="8" t="str">
        <f>_xlfn.XLOOKUP($A181,'RAWDATA Cars Buyers DB'!$A:$A,'RAWDATA Cars Buyers DB'!F:F)</f>
        <v>Bachelors</v>
      </c>
      <c r="G181" s="8" t="str">
        <f>_xlfn.XLOOKUP($A181,'RAWDATA Cars Buyers DB'!$A:$A,'RAWDATA Cars Buyers DB'!G:G)</f>
        <v>Skilled Manual</v>
      </c>
      <c r="H181" s="8" t="str">
        <f>_xlfn.XLOOKUP($A181,'RAWDATA Cars Buyers DB'!$A:$A,'RAWDATA Cars Buyers DB'!H:H)</f>
        <v>No</v>
      </c>
      <c r="I181" s="8" t="str">
        <f>_xlfn.XLOOKUP($A181,'RAWDATA Cars Buyers DB'!$A:$A,'RAWDATA Cars Buyers DB'!I:I)</f>
        <v>1–2 Kilometre</v>
      </c>
      <c r="J181" s="8" t="str">
        <f>_xlfn.XLOOKUP($A181,'RAWDATA Cars Buyers DB'!$A:$A,'RAWDATA Cars Buyers DB'!J:J)</f>
        <v>Saarland</v>
      </c>
      <c r="K181" s="8">
        <f>_xlfn.XLOOKUP($A181,'RAWDATA Cars Buyers DB'!$A:$A,'RAWDATA Cars Buyers DB'!K:K)</f>
        <v>61</v>
      </c>
      <c r="L181" s="10" t="str">
        <f>IF(_xlfn.XLOOKUP($A181,'RAWDATA Cars Buyers DB'!$A:$A,'RAWDATA Cars Buyers DB'!K:K)&gt;54,"Old ",IF(_xlfn.XLOOKUP($A181,'RAWDATA Cars Buyers DB'!$A:$A,'RAWDATA Cars Buyers DB'!K:K)&gt;=31,"Middle Age ",IF(_xlfn.XLOOKUP($A181,'RAWDATA Cars Buyers DB'!$A:$A,'RAWDATA Cars Buyers DB'!K:K)&lt;31,"Adolescent","Invalid")))</f>
        <v xml:space="preserve">Old </v>
      </c>
      <c r="M181" s="8" t="str">
        <f>_xlfn.XLOOKUP($A181,'RAWDATA Cars Buyers DB'!$A:$A,'RAWDATA Cars Buyers DB'!L:L)</f>
        <v>Yes</v>
      </c>
    </row>
    <row r="182" spans="1:13">
      <c r="A182" s="6">
        <v>64384</v>
      </c>
      <c r="B182" s="10" t="str">
        <f>IF(_xlfn.XLOOKUP($A182,'RAWDATA Cars Buyers DB'!$A:$A,'RAWDATA Cars Buyers DB'!B:B)="S","Single","Married")</f>
        <v>Single</v>
      </c>
      <c r="C182" s="10" t="str">
        <f>IF(_xlfn.XLOOKUP($A182,'RAWDATA Cars Buyers DB'!$A:$A,'RAWDATA Cars Buyers DB'!C:C)="F","Female","Male")</f>
        <v>Female</v>
      </c>
      <c r="D182" s="7">
        <f>_xlfn.XLOOKUP($A182,'RAWDATA Cars Buyers DB'!$A:$A,'RAWDATA Cars Buyers DB'!D:D)</f>
        <v>60379</v>
      </c>
      <c r="E182" s="8">
        <f>_xlfn.XLOOKUP($A182,'RAWDATA Cars Buyers DB'!$A:$A,'RAWDATA Cars Buyers DB'!E:E)</f>
        <v>2</v>
      </c>
      <c r="F182" s="8" t="str">
        <f>_xlfn.XLOOKUP($A182,'RAWDATA Cars Buyers DB'!$A:$A,'RAWDATA Cars Buyers DB'!F:F)</f>
        <v>Partial College</v>
      </c>
      <c r="G182" s="8" t="str">
        <f>_xlfn.XLOOKUP($A182,'RAWDATA Cars Buyers DB'!$A:$A,'RAWDATA Cars Buyers DB'!G:G)</f>
        <v>Professional</v>
      </c>
      <c r="H182" s="8" t="str">
        <f>_xlfn.XLOOKUP($A182,'RAWDATA Cars Buyers DB'!$A:$A,'RAWDATA Cars Buyers DB'!H:H)</f>
        <v>No</v>
      </c>
      <c r="I182" s="8" t="str">
        <f>_xlfn.XLOOKUP($A182,'RAWDATA Cars Buyers DB'!$A:$A,'RAWDATA Cars Buyers DB'!I:I)</f>
        <v>1–2 Kilometre</v>
      </c>
      <c r="J182" s="8" t="str">
        <f>_xlfn.XLOOKUP($A182,'RAWDATA Cars Buyers DB'!$A:$A,'RAWDATA Cars Buyers DB'!J:J)</f>
        <v>Saxony</v>
      </c>
      <c r="K182" s="8">
        <f>_xlfn.XLOOKUP($A182,'RAWDATA Cars Buyers DB'!$A:$A,'RAWDATA Cars Buyers DB'!K:K)</f>
        <v>61</v>
      </c>
      <c r="L182" s="10" t="str">
        <f>IF(_xlfn.XLOOKUP($A182,'RAWDATA Cars Buyers DB'!$A:$A,'RAWDATA Cars Buyers DB'!K:K)&gt;54,"Old ",IF(_xlfn.XLOOKUP($A182,'RAWDATA Cars Buyers DB'!$A:$A,'RAWDATA Cars Buyers DB'!K:K)&gt;=31,"Middle Age ",IF(_xlfn.XLOOKUP($A182,'RAWDATA Cars Buyers DB'!$A:$A,'RAWDATA Cars Buyers DB'!K:K)&lt;31,"Adolescent","Invalid")))</f>
        <v xml:space="preserve">Old </v>
      </c>
      <c r="M182" s="8" t="str">
        <f>_xlfn.XLOOKUP($A182,'RAWDATA Cars Buyers DB'!$A:$A,'RAWDATA Cars Buyers DB'!L:L)</f>
        <v>Yes</v>
      </c>
    </row>
    <row r="183" spans="1:13">
      <c r="A183" s="6">
        <v>61005</v>
      </c>
      <c r="B183" s="10" t="str">
        <f>IF(_xlfn.XLOOKUP($A183,'RAWDATA Cars Buyers DB'!$A:$A,'RAWDATA Cars Buyers DB'!B:B)="S","Single","Married")</f>
        <v>Married</v>
      </c>
      <c r="C183" s="10" t="str">
        <f>IF(_xlfn.XLOOKUP($A183,'RAWDATA Cars Buyers DB'!$A:$A,'RAWDATA Cars Buyers DB'!C:C)="F","Female","Male")</f>
        <v>Female</v>
      </c>
      <c r="D183" s="7">
        <f>_xlfn.XLOOKUP($A183,'RAWDATA Cars Buyers DB'!$A:$A,'RAWDATA Cars Buyers DB'!D:D)</f>
        <v>37297</v>
      </c>
      <c r="E183" s="8">
        <f>_xlfn.XLOOKUP($A183,'RAWDATA Cars Buyers DB'!$A:$A,'RAWDATA Cars Buyers DB'!E:E)</f>
        <v>1</v>
      </c>
      <c r="F183" s="8" t="str">
        <f>_xlfn.XLOOKUP($A183,'RAWDATA Cars Buyers DB'!$A:$A,'RAWDATA Cars Buyers DB'!F:F)</f>
        <v>High School</v>
      </c>
      <c r="G183" s="8" t="str">
        <f>_xlfn.XLOOKUP($A183,'RAWDATA Cars Buyers DB'!$A:$A,'RAWDATA Cars Buyers DB'!G:G)</f>
        <v>Management</v>
      </c>
      <c r="H183" s="8" t="str">
        <f>_xlfn.XLOOKUP($A183,'RAWDATA Cars Buyers DB'!$A:$A,'RAWDATA Cars Buyers DB'!H:H)</f>
        <v>No</v>
      </c>
      <c r="I183" s="8" t="str">
        <f>_xlfn.XLOOKUP($A183,'RAWDATA Cars Buyers DB'!$A:$A,'RAWDATA Cars Buyers DB'!I:I)</f>
        <v>4–6 Kilometre</v>
      </c>
      <c r="J183" s="8" t="str">
        <f>_xlfn.XLOOKUP($A183,'RAWDATA Cars Buyers DB'!$A:$A,'RAWDATA Cars Buyers DB'!J:J)</f>
        <v>Brandenburg</v>
      </c>
      <c r="K183" s="8">
        <f>_xlfn.XLOOKUP($A183,'RAWDATA Cars Buyers DB'!$A:$A,'RAWDATA Cars Buyers DB'!K:K)</f>
        <v>22</v>
      </c>
      <c r="L183" s="10" t="str">
        <f>IF(_xlfn.XLOOKUP($A183,'RAWDATA Cars Buyers DB'!$A:$A,'RAWDATA Cars Buyers DB'!K:K)&gt;54,"Old ",IF(_xlfn.XLOOKUP($A183,'RAWDATA Cars Buyers DB'!$A:$A,'RAWDATA Cars Buyers DB'!K:K)&gt;=31,"Middle Age ",IF(_xlfn.XLOOKUP($A183,'RAWDATA Cars Buyers DB'!$A:$A,'RAWDATA Cars Buyers DB'!K:K)&lt;31,"Adolescent","Invalid")))</f>
        <v>Adolescent</v>
      </c>
      <c r="M183" s="8" t="str">
        <f>_xlfn.XLOOKUP($A183,'RAWDATA Cars Buyers DB'!$A:$A,'RAWDATA Cars Buyers DB'!L:L)</f>
        <v>No</v>
      </c>
    </row>
    <row r="184" spans="1:13">
      <c r="A184" s="6">
        <v>56576</v>
      </c>
      <c r="B184" s="10" t="str">
        <f>IF(_xlfn.XLOOKUP($A184,'RAWDATA Cars Buyers DB'!$A:$A,'RAWDATA Cars Buyers DB'!B:B)="S","Single","Married")</f>
        <v>Married</v>
      </c>
      <c r="C184" s="10" t="str">
        <f>IF(_xlfn.XLOOKUP($A184,'RAWDATA Cars Buyers DB'!$A:$A,'RAWDATA Cars Buyers DB'!C:C)="F","Female","Male")</f>
        <v>Female</v>
      </c>
      <c r="D184" s="7">
        <f>_xlfn.XLOOKUP($A184,'RAWDATA Cars Buyers DB'!$A:$A,'RAWDATA Cars Buyers DB'!D:D)</f>
        <v>22011</v>
      </c>
      <c r="E184" s="8">
        <f>_xlfn.XLOOKUP($A184,'RAWDATA Cars Buyers DB'!$A:$A,'RAWDATA Cars Buyers DB'!E:E)</f>
        <v>5</v>
      </c>
      <c r="F184" s="8" t="str">
        <f>_xlfn.XLOOKUP($A184,'RAWDATA Cars Buyers DB'!$A:$A,'RAWDATA Cars Buyers DB'!F:F)</f>
        <v>High School</v>
      </c>
      <c r="G184" s="8" t="str">
        <f>_xlfn.XLOOKUP($A184,'RAWDATA Cars Buyers DB'!$A:$A,'RAWDATA Cars Buyers DB'!G:G)</f>
        <v>Skilled Manual</v>
      </c>
      <c r="H184" s="8" t="str">
        <f>_xlfn.XLOOKUP($A184,'RAWDATA Cars Buyers DB'!$A:$A,'RAWDATA Cars Buyers DB'!H:H)</f>
        <v>No</v>
      </c>
      <c r="I184" s="8" t="str">
        <f>_xlfn.XLOOKUP($A184,'RAWDATA Cars Buyers DB'!$A:$A,'RAWDATA Cars Buyers DB'!I:I)</f>
        <v>1–2 Kilometre</v>
      </c>
      <c r="J184" s="8" t="str">
        <f>_xlfn.XLOOKUP($A184,'RAWDATA Cars Buyers DB'!$A:$A,'RAWDATA Cars Buyers DB'!J:J)</f>
        <v>Lower Saxony</v>
      </c>
      <c r="K184" s="8">
        <f>_xlfn.XLOOKUP($A184,'RAWDATA Cars Buyers DB'!$A:$A,'RAWDATA Cars Buyers DB'!K:K)</f>
        <v>68</v>
      </c>
      <c r="L184" s="10" t="str">
        <f>IF(_xlfn.XLOOKUP($A184,'RAWDATA Cars Buyers DB'!$A:$A,'RAWDATA Cars Buyers DB'!K:K)&gt;54,"Old ",IF(_xlfn.XLOOKUP($A184,'RAWDATA Cars Buyers DB'!$A:$A,'RAWDATA Cars Buyers DB'!K:K)&gt;=31,"Middle Age ",IF(_xlfn.XLOOKUP($A184,'RAWDATA Cars Buyers DB'!$A:$A,'RAWDATA Cars Buyers DB'!K:K)&lt;31,"Adolescent","Invalid")))</f>
        <v xml:space="preserve">Old </v>
      </c>
      <c r="M184" s="8" t="str">
        <f>_xlfn.XLOOKUP($A184,'RAWDATA Cars Buyers DB'!$A:$A,'RAWDATA Cars Buyers DB'!L:L)</f>
        <v>Yes</v>
      </c>
    </row>
    <row r="185" spans="1:13">
      <c r="A185" s="6">
        <v>49353</v>
      </c>
      <c r="B185" s="10" t="str">
        <f>IF(_xlfn.XLOOKUP($A185,'RAWDATA Cars Buyers DB'!$A:$A,'RAWDATA Cars Buyers DB'!B:B)="S","Single","Married")</f>
        <v>Single</v>
      </c>
      <c r="C185" s="10" t="str">
        <f>IF(_xlfn.XLOOKUP($A185,'RAWDATA Cars Buyers DB'!$A:$A,'RAWDATA Cars Buyers DB'!C:C)="F","Female","Male")</f>
        <v>Male</v>
      </c>
      <c r="D185" s="7">
        <f>_xlfn.XLOOKUP($A185,'RAWDATA Cars Buyers DB'!$A:$A,'RAWDATA Cars Buyers DB'!D:D)</f>
        <v>64014</v>
      </c>
      <c r="E185" s="8">
        <f>_xlfn.XLOOKUP($A185,'RAWDATA Cars Buyers DB'!$A:$A,'RAWDATA Cars Buyers DB'!E:E)</f>
        <v>4</v>
      </c>
      <c r="F185" s="8" t="str">
        <f>_xlfn.XLOOKUP($A185,'RAWDATA Cars Buyers DB'!$A:$A,'RAWDATA Cars Buyers DB'!F:F)</f>
        <v>Bachelors</v>
      </c>
      <c r="G185" s="8" t="str">
        <f>_xlfn.XLOOKUP($A185,'RAWDATA Cars Buyers DB'!$A:$A,'RAWDATA Cars Buyers DB'!G:G)</f>
        <v>Clerical</v>
      </c>
      <c r="H185" s="8" t="str">
        <f>_xlfn.XLOOKUP($A185,'RAWDATA Cars Buyers DB'!$A:$A,'RAWDATA Cars Buyers DB'!H:H)</f>
        <v>No</v>
      </c>
      <c r="I185" s="8" t="str">
        <f>_xlfn.XLOOKUP($A185,'RAWDATA Cars Buyers DB'!$A:$A,'RAWDATA Cars Buyers DB'!I:I)</f>
        <v>2–4 Kilometre</v>
      </c>
      <c r="J185" s="8" t="str">
        <f>_xlfn.XLOOKUP($A185,'RAWDATA Cars Buyers DB'!$A:$A,'RAWDATA Cars Buyers DB'!J:J)</f>
        <v>Baden-Württemberg</v>
      </c>
      <c r="K185" s="8">
        <f>_xlfn.XLOOKUP($A185,'RAWDATA Cars Buyers DB'!$A:$A,'RAWDATA Cars Buyers DB'!K:K)</f>
        <v>38</v>
      </c>
      <c r="L185" s="10" t="str">
        <f>IF(_xlfn.XLOOKUP($A185,'RAWDATA Cars Buyers DB'!$A:$A,'RAWDATA Cars Buyers DB'!K:K)&gt;54,"Old ",IF(_xlfn.XLOOKUP($A185,'RAWDATA Cars Buyers DB'!$A:$A,'RAWDATA Cars Buyers DB'!K:K)&gt;=31,"Middle Age ",IF(_xlfn.XLOOKUP($A185,'RAWDATA Cars Buyers DB'!$A:$A,'RAWDATA Cars Buyers DB'!K:K)&lt;31,"Adolescent","Invalid")))</f>
        <v xml:space="preserve">Middle Age </v>
      </c>
      <c r="M185" s="8" t="str">
        <f>_xlfn.XLOOKUP($A185,'RAWDATA Cars Buyers DB'!$A:$A,'RAWDATA Cars Buyers DB'!L:L)</f>
        <v>No</v>
      </c>
    </row>
    <row r="186" spans="1:13">
      <c r="A186" s="6">
        <v>72003</v>
      </c>
      <c r="B186" s="10" t="str">
        <f>IF(_xlfn.XLOOKUP($A186,'RAWDATA Cars Buyers DB'!$A:$A,'RAWDATA Cars Buyers DB'!B:B)="S","Single","Married")</f>
        <v>Married</v>
      </c>
      <c r="C186" s="10" t="str">
        <f>IF(_xlfn.XLOOKUP($A186,'RAWDATA Cars Buyers DB'!$A:$A,'RAWDATA Cars Buyers DB'!C:C)="F","Female","Male")</f>
        <v>Male</v>
      </c>
      <c r="D186" s="7">
        <f>_xlfn.XLOOKUP($A186,'RAWDATA Cars Buyers DB'!$A:$A,'RAWDATA Cars Buyers DB'!D:D)</f>
        <v>31738</v>
      </c>
      <c r="E186" s="8">
        <f>_xlfn.XLOOKUP($A186,'RAWDATA Cars Buyers DB'!$A:$A,'RAWDATA Cars Buyers DB'!E:E)</f>
        <v>1</v>
      </c>
      <c r="F186" s="8" t="str">
        <f>_xlfn.XLOOKUP($A186,'RAWDATA Cars Buyers DB'!$A:$A,'RAWDATA Cars Buyers DB'!F:F)</f>
        <v>Partial College</v>
      </c>
      <c r="G186" s="8" t="str">
        <f>_xlfn.XLOOKUP($A186,'RAWDATA Cars Buyers DB'!$A:$A,'RAWDATA Cars Buyers DB'!G:G)</f>
        <v>Professional</v>
      </c>
      <c r="H186" s="8" t="str">
        <f>_xlfn.XLOOKUP($A186,'RAWDATA Cars Buyers DB'!$A:$A,'RAWDATA Cars Buyers DB'!H:H)</f>
        <v>Yes</v>
      </c>
      <c r="I186" s="8" t="str">
        <f>_xlfn.XLOOKUP($A186,'RAWDATA Cars Buyers DB'!$A:$A,'RAWDATA Cars Buyers DB'!I:I)</f>
        <v>0–1 Kilometre</v>
      </c>
      <c r="J186" s="8" t="str">
        <f>_xlfn.XLOOKUP($A186,'RAWDATA Cars Buyers DB'!$A:$A,'RAWDATA Cars Buyers DB'!J:J)</f>
        <v>Saxony</v>
      </c>
      <c r="K186" s="8">
        <f>_xlfn.XLOOKUP($A186,'RAWDATA Cars Buyers DB'!$A:$A,'RAWDATA Cars Buyers DB'!K:K)</f>
        <v>62</v>
      </c>
      <c r="L186" s="10" t="str">
        <f>IF(_xlfn.XLOOKUP($A186,'RAWDATA Cars Buyers DB'!$A:$A,'RAWDATA Cars Buyers DB'!K:K)&gt;54,"Old ",IF(_xlfn.XLOOKUP($A186,'RAWDATA Cars Buyers DB'!$A:$A,'RAWDATA Cars Buyers DB'!K:K)&gt;=31,"Middle Age ",IF(_xlfn.XLOOKUP($A186,'RAWDATA Cars Buyers DB'!$A:$A,'RAWDATA Cars Buyers DB'!K:K)&lt;31,"Adolescent","Invalid")))</f>
        <v xml:space="preserve">Old </v>
      </c>
      <c r="M186" s="8" t="str">
        <f>_xlfn.XLOOKUP($A186,'RAWDATA Cars Buyers DB'!$A:$A,'RAWDATA Cars Buyers DB'!L:L)</f>
        <v>Yes</v>
      </c>
    </row>
    <row r="187" spans="1:13">
      <c r="A187" s="6">
        <v>93211</v>
      </c>
      <c r="B187" s="10" t="str">
        <f>IF(_xlfn.XLOOKUP($A187,'RAWDATA Cars Buyers DB'!$A:$A,'RAWDATA Cars Buyers DB'!B:B)="S","Single","Married")</f>
        <v>Married</v>
      </c>
      <c r="C187" s="10" t="str">
        <f>IF(_xlfn.XLOOKUP($A187,'RAWDATA Cars Buyers DB'!$A:$A,'RAWDATA Cars Buyers DB'!C:C)="F","Female","Male")</f>
        <v>Female</v>
      </c>
      <c r="D187" s="7">
        <f>_xlfn.XLOOKUP($A187,'RAWDATA Cars Buyers DB'!$A:$A,'RAWDATA Cars Buyers DB'!D:D)</f>
        <v>114333</v>
      </c>
      <c r="E187" s="8">
        <f>_xlfn.XLOOKUP($A187,'RAWDATA Cars Buyers DB'!$A:$A,'RAWDATA Cars Buyers DB'!E:E)</f>
        <v>5</v>
      </c>
      <c r="F187" s="8" t="str">
        <f>_xlfn.XLOOKUP($A187,'RAWDATA Cars Buyers DB'!$A:$A,'RAWDATA Cars Buyers DB'!F:F)</f>
        <v>Bachelors</v>
      </c>
      <c r="G187" s="8" t="str">
        <f>_xlfn.XLOOKUP($A187,'RAWDATA Cars Buyers DB'!$A:$A,'RAWDATA Cars Buyers DB'!G:G)</f>
        <v>Clerical</v>
      </c>
      <c r="H187" s="8" t="str">
        <f>_xlfn.XLOOKUP($A187,'RAWDATA Cars Buyers DB'!$A:$A,'RAWDATA Cars Buyers DB'!H:H)</f>
        <v>Yes</v>
      </c>
      <c r="I187" s="8" t="str">
        <f>_xlfn.XLOOKUP($A187,'RAWDATA Cars Buyers DB'!$A:$A,'RAWDATA Cars Buyers DB'!I:I)</f>
        <v>1–2 Kilometre</v>
      </c>
      <c r="J187" s="8" t="str">
        <f>_xlfn.XLOOKUP($A187,'RAWDATA Cars Buyers DB'!$A:$A,'RAWDATA Cars Buyers DB'!J:J)</f>
        <v>Bavaria</v>
      </c>
      <c r="K187" s="8">
        <f>_xlfn.XLOOKUP($A187,'RAWDATA Cars Buyers DB'!$A:$A,'RAWDATA Cars Buyers DB'!K:K)</f>
        <v>48</v>
      </c>
      <c r="L187" s="10" t="str">
        <f>IF(_xlfn.XLOOKUP($A187,'RAWDATA Cars Buyers DB'!$A:$A,'RAWDATA Cars Buyers DB'!K:K)&gt;54,"Old ",IF(_xlfn.XLOOKUP($A187,'RAWDATA Cars Buyers DB'!$A:$A,'RAWDATA Cars Buyers DB'!K:K)&gt;=31,"Middle Age ",IF(_xlfn.XLOOKUP($A187,'RAWDATA Cars Buyers DB'!$A:$A,'RAWDATA Cars Buyers DB'!K:K)&lt;31,"Adolescent","Invalid")))</f>
        <v xml:space="preserve">Middle Age </v>
      </c>
      <c r="M187" s="8" t="str">
        <f>_xlfn.XLOOKUP($A187,'RAWDATA Cars Buyers DB'!$A:$A,'RAWDATA Cars Buyers DB'!L:L)</f>
        <v>Yes</v>
      </c>
    </row>
    <row r="188" spans="1:13">
      <c r="A188" s="6">
        <v>62733</v>
      </c>
      <c r="B188" s="10" t="str">
        <f>IF(_xlfn.XLOOKUP($A188,'RAWDATA Cars Buyers DB'!$A:$A,'RAWDATA Cars Buyers DB'!B:B)="S","Single","Married")</f>
        <v>Single</v>
      </c>
      <c r="C188" s="10" t="str">
        <f>IF(_xlfn.XLOOKUP($A188,'RAWDATA Cars Buyers DB'!$A:$A,'RAWDATA Cars Buyers DB'!C:C)="F","Female","Male")</f>
        <v>Female</v>
      </c>
      <c r="D188" s="7">
        <f>_xlfn.XLOOKUP($A188,'RAWDATA Cars Buyers DB'!$A:$A,'RAWDATA Cars Buyers DB'!D:D)</f>
        <v>67498</v>
      </c>
      <c r="E188" s="8">
        <f>_xlfn.XLOOKUP($A188,'RAWDATA Cars Buyers DB'!$A:$A,'RAWDATA Cars Buyers DB'!E:E)</f>
        <v>2</v>
      </c>
      <c r="F188" s="8" t="str">
        <f>_xlfn.XLOOKUP($A188,'RAWDATA Cars Buyers DB'!$A:$A,'RAWDATA Cars Buyers DB'!F:F)</f>
        <v>Partial College</v>
      </c>
      <c r="G188" s="8" t="str">
        <f>_xlfn.XLOOKUP($A188,'RAWDATA Cars Buyers DB'!$A:$A,'RAWDATA Cars Buyers DB'!G:G)</f>
        <v>Professional</v>
      </c>
      <c r="H188" s="8" t="str">
        <f>_xlfn.XLOOKUP($A188,'RAWDATA Cars Buyers DB'!$A:$A,'RAWDATA Cars Buyers DB'!H:H)</f>
        <v>No</v>
      </c>
      <c r="I188" s="8" t="str">
        <f>_xlfn.XLOOKUP($A188,'RAWDATA Cars Buyers DB'!$A:$A,'RAWDATA Cars Buyers DB'!I:I)</f>
        <v>6+ Kilometre</v>
      </c>
      <c r="J188" s="8" t="str">
        <f>_xlfn.XLOOKUP($A188,'RAWDATA Cars Buyers DB'!$A:$A,'RAWDATA Cars Buyers DB'!J:J)</f>
        <v>Mecklenburg-Vorpommern</v>
      </c>
      <c r="K188" s="8">
        <f>_xlfn.XLOOKUP($A188,'RAWDATA Cars Buyers DB'!$A:$A,'RAWDATA Cars Buyers DB'!K:K)</f>
        <v>69</v>
      </c>
      <c r="L188" s="10" t="str">
        <f>IF(_xlfn.XLOOKUP($A188,'RAWDATA Cars Buyers DB'!$A:$A,'RAWDATA Cars Buyers DB'!K:K)&gt;54,"Old ",IF(_xlfn.XLOOKUP($A188,'RAWDATA Cars Buyers DB'!$A:$A,'RAWDATA Cars Buyers DB'!K:K)&gt;=31,"Middle Age ",IF(_xlfn.XLOOKUP($A188,'RAWDATA Cars Buyers DB'!$A:$A,'RAWDATA Cars Buyers DB'!K:K)&lt;31,"Adolescent","Invalid")))</f>
        <v xml:space="preserve">Old </v>
      </c>
      <c r="M188" s="8" t="str">
        <f>_xlfn.XLOOKUP($A188,'RAWDATA Cars Buyers DB'!$A:$A,'RAWDATA Cars Buyers DB'!L:L)</f>
        <v>Yes</v>
      </c>
    </row>
    <row r="189" spans="1:13">
      <c r="A189" s="6">
        <v>75318</v>
      </c>
      <c r="B189" s="10" t="str">
        <f>IF(_xlfn.XLOOKUP($A189,'RAWDATA Cars Buyers DB'!$A:$A,'RAWDATA Cars Buyers DB'!B:B)="S","Single","Married")</f>
        <v>Single</v>
      </c>
      <c r="C189" s="10" t="str">
        <f>IF(_xlfn.XLOOKUP($A189,'RAWDATA Cars Buyers DB'!$A:$A,'RAWDATA Cars Buyers DB'!C:C)="F","Female","Male")</f>
        <v>Male</v>
      </c>
      <c r="D189" s="7">
        <f>_xlfn.XLOOKUP($A189,'RAWDATA Cars Buyers DB'!$A:$A,'RAWDATA Cars Buyers DB'!D:D)</f>
        <v>31120</v>
      </c>
      <c r="E189" s="8">
        <f>_xlfn.XLOOKUP($A189,'RAWDATA Cars Buyers DB'!$A:$A,'RAWDATA Cars Buyers DB'!E:E)</f>
        <v>5</v>
      </c>
      <c r="F189" s="8" t="str">
        <f>_xlfn.XLOOKUP($A189,'RAWDATA Cars Buyers DB'!$A:$A,'RAWDATA Cars Buyers DB'!F:F)</f>
        <v>Graduate Degree</v>
      </c>
      <c r="G189" s="8" t="str">
        <f>_xlfn.XLOOKUP($A189,'RAWDATA Cars Buyers DB'!$A:$A,'RAWDATA Cars Buyers DB'!G:G)</f>
        <v>Skilled Manual</v>
      </c>
      <c r="H189" s="8" t="str">
        <f>_xlfn.XLOOKUP($A189,'RAWDATA Cars Buyers DB'!$A:$A,'RAWDATA Cars Buyers DB'!H:H)</f>
        <v>No</v>
      </c>
      <c r="I189" s="8" t="str">
        <f>_xlfn.XLOOKUP($A189,'RAWDATA Cars Buyers DB'!$A:$A,'RAWDATA Cars Buyers DB'!I:I)</f>
        <v>2–4 Kilometre</v>
      </c>
      <c r="J189" s="8" t="str">
        <f>_xlfn.XLOOKUP($A189,'RAWDATA Cars Buyers DB'!$A:$A,'RAWDATA Cars Buyers DB'!J:J)</f>
        <v>Rhineland-Palatinate</v>
      </c>
      <c r="K189" s="8">
        <f>_xlfn.XLOOKUP($A189,'RAWDATA Cars Buyers DB'!$A:$A,'RAWDATA Cars Buyers DB'!K:K)</f>
        <v>21</v>
      </c>
      <c r="L189" s="10" t="str">
        <f>IF(_xlfn.XLOOKUP($A189,'RAWDATA Cars Buyers DB'!$A:$A,'RAWDATA Cars Buyers DB'!K:K)&gt;54,"Old ",IF(_xlfn.XLOOKUP($A189,'RAWDATA Cars Buyers DB'!$A:$A,'RAWDATA Cars Buyers DB'!K:K)&gt;=31,"Middle Age ",IF(_xlfn.XLOOKUP($A189,'RAWDATA Cars Buyers DB'!$A:$A,'RAWDATA Cars Buyers DB'!K:K)&lt;31,"Adolescent","Invalid")))</f>
        <v>Adolescent</v>
      </c>
      <c r="M189" s="8" t="str">
        <f>_xlfn.XLOOKUP($A189,'RAWDATA Cars Buyers DB'!$A:$A,'RAWDATA Cars Buyers DB'!L:L)</f>
        <v>No</v>
      </c>
    </row>
    <row r="190" spans="1:13">
      <c r="A190" s="6">
        <v>99474</v>
      </c>
      <c r="B190" s="10" t="str">
        <f>IF(_xlfn.XLOOKUP($A190,'RAWDATA Cars Buyers DB'!$A:$A,'RAWDATA Cars Buyers DB'!B:B)="S","Single","Married")</f>
        <v>Single</v>
      </c>
      <c r="C190" s="10" t="str">
        <f>IF(_xlfn.XLOOKUP($A190,'RAWDATA Cars Buyers DB'!$A:$A,'RAWDATA Cars Buyers DB'!C:C)="F","Female","Male")</f>
        <v>Male</v>
      </c>
      <c r="D190" s="7">
        <f>_xlfn.XLOOKUP($A190,'RAWDATA Cars Buyers DB'!$A:$A,'RAWDATA Cars Buyers DB'!D:D)</f>
        <v>28767</v>
      </c>
      <c r="E190" s="8">
        <f>_xlfn.XLOOKUP($A190,'RAWDATA Cars Buyers DB'!$A:$A,'RAWDATA Cars Buyers DB'!E:E)</f>
        <v>2</v>
      </c>
      <c r="F190" s="8" t="str">
        <f>_xlfn.XLOOKUP($A190,'RAWDATA Cars Buyers DB'!$A:$A,'RAWDATA Cars Buyers DB'!F:F)</f>
        <v>Partial College</v>
      </c>
      <c r="G190" s="8" t="str">
        <f>_xlfn.XLOOKUP($A190,'RAWDATA Cars Buyers DB'!$A:$A,'RAWDATA Cars Buyers DB'!G:G)</f>
        <v>Management</v>
      </c>
      <c r="H190" s="8" t="str">
        <f>_xlfn.XLOOKUP($A190,'RAWDATA Cars Buyers DB'!$A:$A,'RAWDATA Cars Buyers DB'!H:H)</f>
        <v>No</v>
      </c>
      <c r="I190" s="8" t="str">
        <f>_xlfn.XLOOKUP($A190,'RAWDATA Cars Buyers DB'!$A:$A,'RAWDATA Cars Buyers DB'!I:I)</f>
        <v>6+ Kilometre</v>
      </c>
      <c r="J190" s="8" t="str">
        <f>_xlfn.XLOOKUP($A190,'RAWDATA Cars Buyers DB'!$A:$A,'RAWDATA Cars Buyers DB'!J:J)</f>
        <v>Saxony</v>
      </c>
      <c r="K190" s="8">
        <f>_xlfn.XLOOKUP($A190,'RAWDATA Cars Buyers DB'!$A:$A,'RAWDATA Cars Buyers DB'!K:K)</f>
        <v>28</v>
      </c>
      <c r="L190" s="10" t="str">
        <f>IF(_xlfn.XLOOKUP($A190,'RAWDATA Cars Buyers DB'!$A:$A,'RAWDATA Cars Buyers DB'!K:K)&gt;54,"Old ",IF(_xlfn.XLOOKUP($A190,'RAWDATA Cars Buyers DB'!$A:$A,'RAWDATA Cars Buyers DB'!K:K)&gt;=31,"Middle Age ",IF(_xlfn.XLOOKUP($A190,'RAWDATA Cars Buyers DB'!$A:$A,'RAWDATA Cars Buyers DB'!K:K)&lt;31,"Adolescent","Invalid")))</f>
        <v>Adolescent</v>
      </c>
      <c r="M190" s="8" t="str">
        <f>_xlfn.XLOOKUP($A190,'RAWDATA Cars Buyers DB'!$A:$A,'RAWDATA Cars Buyers DB'!L:L)</f>
        <v>Yes</v>
      </c>
    </row>
    <row r="191" spans="1:13">
      <c r="A191" s="6">
        <v>33664</v>
      </c>
      <c r="B191" s="10" t="str">
        <f>IF(_xlfn.XLOOKUP($A191,'RAWDATA Cars Buyers DB'!$A:$A,'RAWDATA Cars Buyers DB'!B:B)="S","Single","Married")</f>
        <v>Single</v>
      </c>
      <c r="C191" s="10" t="str">
        <f>IF(_xlfn.XLOOKUP($A191,'RAWDATA Cars Buyers DB'!$A:$A,'RAWDATA Cars Buyers DB'!C:C)="F","Female","Male")</f>
        <v>Female</v>
      </c>
      <c r="D191" s="7">
        <f>_xlfn.XLOOKUP($A191,'RAWDATA Cars Buyers DB'!$A:$A,'RAWDATA Cars Buyers DB'!D:D)</f>
        <v>42852</v>
      </c>
      <c r="E191" s="8">
        <f>_xlfn.XLOOKUP($A191,'RAWDATA Cars Buyers DB'!$A:$A,'RAWDATA Cars Buyers DB'!E:E)</f>
        <v>1</v>
      </c>
      <c r="F191" s="8" t="str">
        <f>_xlfn.XLOOKUP($A191,'RAWDATA Cars Buyers DB'!$A:$A,'RAWDATA Cars Buyers DB'!F:F)</f>
        <v>Partial College</v>
      </c>
      <c r="G191" s="8" t="str">
        <f>_xlfn.XLOOKUP($A191,'RAWDATA Cars Buyers DB'!$A:$A,'RAWDATA Cars Buyers DB'!G:G)</f>
        <v>Professional</v>
      </c>
      <c r="H191" s="8" t="str">
        <f>_xlfn.XLOOKUP($A191,'RAWDATA Cars Buyers DB'!$A:$A,'RAWDATA Cars Buyers DB'!H:H)</f>
        <v>Yes</v>
      </c>
      <c r="I191" s="8" t="str">
        <f>_xlfn.XLOOKUP($A191,'RAWDATA Cars Buyers DB'!$A:$A,'RAWDATA Cars Buyers DB'!I:I)</f>
        <v>2–4 Kilometre</v>
      </c>
      <c r="J191" s="8" t="str">
        <f>_xlfn.XLOOKUP($A191,'RAWDATA Cars Buyers DB'!$A:$A,'RAWDATA Cars Buyers DB'!J:J)</f>
        <v>Lower Saxony</v>
      </c>
      <c r="K191" s="8">
        <f>_xlfn.XLOOKUP($A191,'RAWDATA Cars Buyers DB'!$A:$A,'RAWDATA Cars Buyers DB'!K:K)</f>
        <v>36</v>
      </c>
      <c r="L191" s="10" t="str">
        <f>IF(_xlfn.XLOOKUP($A191,'RAWDATA Cars Buyers DB'!$A:$A,'RAWDATA Cars Buyers DB'!K:K)&gt;54,"Old ",IF(_xlfn.XLOOKUP($A191,'RAWDATA Cars Buyers DB'!$A:$A,'RAWDATA Cars Buyers DB'!K:K)&gt;=31,"Middle Age ",IF(_xlfn.XLOOKUP($A191,'RAWDATA Cars Buyers DB'!$A:$A,'RAWDATA Cars Buyers DB'!K:K)&lt;31,"Adolescent","Invalid")))</f>
        <v xml:space="preserve">Middle Age </v>
      </c>
      <c r="M191" s="8" t="str">
        <f>_xlfn.XLOOKUP($A191,'RAWDATA Cars Buyers DB'!$A:$A,'RAWDATA Cars Buyers DB'!L:L)</f>
        <v>No</v>
      </c>
    </row>
    <row r="192" spans="1:13">
      <c r="A192" s="6">
        <v>77172</v>
      </c>
      <c r="B192" s="10" t="str">
        <f>IF(_xlfn.XLOOKUP($A192,'RAWDATA Cars Buyers DB'!$A:$A,'RAWDATA Cars Buyers DB'!B:B)="S","Single","Married")</f>
        <v>Married</v>
      </c>
      <c r="C192" s="10" t="str">
        <f>IF(_xlfn.XLOOKUP($A192,'RAWDATA Cars Buyers DB'!$A:$A,'RAWDATA Cars Buyers DB'!C:C)="F","Female","Male")</f>
        <v>Female</v>
      </c>
      <c r="D192" s="7">
        <f>_xlfn.XLOOKUP($A192,'RAWDATA Cars Buyers DB'!$A:$A,'RAWDATA Cars Buyers DB'!D:D)</f>
        <v>99239</v>
      </c>
      <c r="E192" s="8">
        <f>_xlfn.XLOOKUP($A192,'RAWDATA Cars Buyers DB'!$A:$A,'RAWDATA Cars Buyers DB'!E:E)</f>
        <v>0</v>
      </c>
      <c r="F192" s="8" t="str">
        <f>_xlfn.XLOOKUP($A192,'RAWDATA Cars Buyers DB'!$A:$A,'RAWDATA Cars Buyers DB'!F:F)</f>
        <v>Partial College</v>
      </c>
      <c r="G192" s="8" t="str">
        <f>_xlfn.XLOOKUP($A192,'RAWDATA Cars Buyers DB'!$A:$A,'RAWDATA Cars Buyers DB'!G:G)</f>
        <v>Professional</v>
      </c>
      <c r="H192" s="8" t="str">
        <f>_xlfn.XLOOKUP($A192,'RAWDATA Cars Buyers DB'!$A:$A,'RAWDATA Cars Buyers DB'!H:H)</f>
        <v>No</v>
      </c>
      <c r="I192" s="8" t="str">
        <f>_xlfn.XLOOKUP($A192,'RAWDATA Cars Buyers DB'!$A:$A,'RAWDATA Cars Buyers DB'!I:I)</f>
        <v>1–2 Kilometre</v>
      </c>
      <c r="J192" s="8" t="str">
        <f>_xlfn.XLOOKUP($A192,'RAWDATA Cars Buyers DB'!$A:$A,'RAWDATA Cars Buyers DB'!J:J)</f>
        <v>Bremen</v>
      </c>
      <c r="K192" s="8">
        <f>_xlfn.XLOOKUP($A192,'RAWDATA Cars Buyers DB'!$A:$A,'RAWDATA Cars Buyers DB'!K:K)</f>
        <v>65</v>
      </c>
      <c r="L192" s="10" t="str">
        <f>IF(_xlfn.XLOOKUP($A192,'RAWDATA Cars Buyers DB'!$A:$A,'RAWDATA Cars Buyers DB'!K:K)&gt;54,"Old ",IF(_xlfn.XLOOKUP($A192,'RAWDATA Cars Buyers DB'!$A:$A,'RAWDATA Cars Buyers DB'!K:K)&gt;=31,"Middle Age ",IF(_xlfn.XLOOKUP($A192,'RAWDATA Cars Buyers DB'!$A:$A,'RAWDATA Cars Buyers DB'!K:K)&lt;31,"Adolescent","Invalid")))</f>
        <v xml:space="preserve">Old </v>
      </c>
      <c r="M192" s="8" t="str">
        <f>_xlfn.XLOOKUP($A192,'RAWDATA Cars Buyers DB'!$A:$A,'RAWDATA Cars Buyers DB'!L:L)</f>
        <v>Yes</v>
      </c>
    </row>
    <row r="193" spans="1:13">
      <c r="A193" s="6">
        <v>95616</v>
      </c>
      <c r="B193" s="10" t="str">
        <f>IF(_xlfn.XLOOKUP($A193,'RAWDATA Cars Buyers DB'!$A:$A,'RAWDATA Cars Buyers DB'!B:B)="S","Single","Married")</f>
        <v>Single</v>
      </c>
      <c r="C193" s="10" t="str">
        <f>IF(_xlfn.XLOOKUP($A193,'RAWDATA Cars Buyers DB'!$A:$A,'RAWDATA Cars Buyers DB'!C:C)="F","Female","Male")</f>
        <v>Male</v>
      </c>
      <c r="D193" s="7">
        <f>_xlfn.XLOOKUP($A193,'RAWDATA Cars Buyers DB'!$A:$A,'RAWDATA Cars Buyers DB'!D:D)</f>
        <v>20929</v>
      </c>
      <c r="E193" s="8">
        <f>_xlfn.XLOOKUP($A193,'RAWDATA Cars Buyers DB'!$A:$A,'RAWDATA Cars Buyers DB'!E:E)</f>
        <v>0</v>
      </c>
      <c r="F193" s="8" t="str">
        <f>_xlfn.XLOOKUP($A193,'RAWDATA Cars Buyers DB'!$A:$A,'RAWDATA Cars Buyers DB'!F:F)</f>
        <v>High School</v>
      </c>
      <c r="G193" s="8" t="str">
        <f>_xlfn.XLOOKUP($A193,'RAWDATA Cars Buyers DB'!$A:$A,'RAWDATA Cars Buyers DB'!G:G)</f>
        <v>Clerical</v>
      </c>
      <c r="H193" s="8" t="str">
        <f>_xlfn.XLOOKUP($A193,'RAWDATA Cars Buyers DB'!$A:$A,'RAWDATA Cars Buyers DB'!H:H)</f>
        <v>No</v>
      </c>
      <c r="I193" s="8" t="str">
        <f>_xlfn.XLOOKUP($A193,'RAWDATA Cars Buyers DB'!$A:$A,'RAWDATA Cars Buyers DB'!I:I)</f>
        <v>0–1 Kilometre</v>
      </c>
      <c r="J193" s="8" t="str">
        <f>_xlfn.XLOOKUP($A193,'RAWDATA Cars Buyers DB'!$A:$A,'RAWDATA Cars Buyers DB'!J:J)</f>
        <v>Saxony-Anhalt</v>
      </c>
      <c r="K193" s="8">
        <f>_xlfn.XLOOKUP($A193,'RAWDATA Cars Buyers DB'!$A:$A,'RAWDATA Cars Buyers DB'!K:K)</f>
        <v>55</v>
      </c>
      <c r="L193" s="10" t="str">
        <f>IF(_xlfn.XLOOKUP($A193,'RAWDATA Cars Buyers DB'!$A:$A,'RAWDATA Cars Buyers DB'!K:K)&gt;54,"Old ",IF(_xlfn.XLOOKUP($A193,'RAWDATA Cars Buyers DB'!$A:$A,'RAWDATA Cars Buyers DB'!K:K)&gt;=31,"Middle Age ",IF(_xlfn.XLOOKUP($A193,'RAWDATA Cars Buyers DB'!$A:$A,'RAWDATA Cars Buyers DB'!K:K)&lt;31,"Adolescent","Invalid")))</f>
        <v xml:space="preserve">Old </v>
      </c>
      <c r="M193" s="8" t="str">
        <f>_xlfn.XLOOKUP($A193,'RAWDATA Cars Buyers DB'!$A:$A,'RAWDATA Cars Buyers DB'!L:L)</f>
        <v>Yes</v>
      </c>
    </row>
    <row r="194" spans="1:13">
      <c r="A194" s="6">
        <v>36736</v>
      </c>
      <c r="B194" s="10" t="str">
        <f>IF(_xlfn.XLOOKUP($A194,'RAWDATA Cars Buyers DB'!$A:$A,'RAWDATA Cars Buyers DB'!B:B)="S","Single","Married")</f>
        <v>Married</v>
      </c>
      <c r="C194" s="10" t="str">
        <f>IF(_xlfn.XLOOKUP($A194,'RAWDATA Cars Buyers DB'!$A:$A,'RAWDATA Cars Buyers DB'!C:C)="F","Female","Male")</f>
        <v>Male</v>
      </c>
      <c r="D194" s="7">
        <f>_xlfn.XLOOKUP($A194,'RAWDATA Cars Buyers DB'!$A:$A,'RAWDATA Cars Buyers DB'!D:D)</f>
        <v>97487</v>
      </c>
      <c r="E194" s="8">
        <f>_xlfn.XLOOKUP($A194,'RAWDATA Cars Buyers DB'!$A:$A,'RAWDATA Cars Buyers DB'!E:E)</f>
        <v>5</v>
      </c>
      <c r="F194" s="8" t="str">
        <f>_xlfn.XLOOKUP($A194,'RAWDATA Cars Buyers DB'!$A:$A,'RAWDATA Cars Buyers DB'!F:F)</f>
        <v>Partial College</v>
      </c>
      <c r="G194" s="8" t="str">
        <f>_xlfn.XLOOKUP($A194,'RAWDATA Cars Buyers DB'!$A:$A,'RAWDATA Cars Buyers DB'!G:G)</f>
        <v>Skilled Manual</v>
      </c>
      <c r="H194" s="8" t="str">
        <f>_xlfn.XLOOKUP($A194,'RAWDATA Cars Buyers DB'!$A:$A,'RAWDATA Cars Buyers DB'!H:H)</f>
        <v>No</v>
      </c>
      <c r="I194" s="8" t="str">
        <f>_xlfn.XLOOKUP($A194,'RAWDATA Cars Buyers DB'!$A:$A,'RAWDATA Cars Buyers DB'!I:I)</f>
        <v>6+ Kilometre</v>
      </c>
      <c r="J194" s="8" t="str">
        <f>_xlfn.XLOOKUP($A194,'RAWDATA Cars Buyers DB'!$A:$A,'RAWDATA Cars Buyers DB'!J:J)</f>
        <v>Bremen</v>
      </c>
      <c r="K194" s="8">
        <f>_xlfn.XLOOKUP($A194,'RAWDATA Cars Buyers DB'!$A:$A,'RAWDATA Cars Buyers DB'!K:K)</f>
        <v>36</v>
      </c>
      <c r="L194" s="10" t="str">
        <f>IF(_xlfn.XLOOKUP($A194,'RAWDATA Cars Buyers DB'!$A:$A,'RAWDATA Cars Buyers DB'!K:K)&gt;54,"Old ",IF(_xlfn.XLOOKUP($A194,'RAWDATA Cars Buyers DB'!$A:$A,'RAWDATA Cars Buyers DB'!K:K)&gt;=31,"Middle Age ",IF(_xlfn.XLOOKUP($A194,'RAWDATA Cars Buyers DB'!$A:$A,'RAWDATA Cars Buyers DB'!K:K)&lt;31,"Adolescent","Invalid")))</f>
        <v xml:space="preserve">Middle Age </v>
      </c>
      <c r="M194" s="8" t="str">
        <f>_xlfn.XLOOKUP($A194,'RAWDATA Cars Buyers DB'!$A:$A,'RAWDATA Cars Buyers DB'!L:L)</f>
        <v>No</v>
      </c>
    </row>
    <row r="195" spans="1:13">
      <c r="A195" s="6">
        <v>10854</v>
      </c>
      <c r="B195" s="10" t="str">
        <f>IF(_xlfn.XLOOKUP($A195,'RAWDATA Cars Buyers DB'!$A:$A,'RAWDATA Cars Buyers DB'!B:B)="S","Single","Married")</f>
        <v>Married</v>
      </c>
      <c r="C195" s="10" t="str">
        <f>IF(_xlfn.XLOOKUP($A195,'RAWDATA Cars Buyers DB'!$A:$A,'RAWDATA Cars Buyers DB'!C:C)="F","Female","Male")</f>
        <v>Male</v>
      </c>
      <c r="D195" s="7">
        <f>_xlfn.XLOOKUP($A195,'RAWDATA Cars Buyers DB'!$A:$A,'RAWDATA Cars Buyers DB'!D:D)</f>
        <v>111575</v>
      </c>
      <c r="E195" s="8">
        <f>_xlfn.XLOOKUP($A195,'RAWDATA Cars Buyers DB'!$A:$A,'RAWDATA Cars Buyers DB'!E:E)</f>
        <v>0</v>
      </c>
      <c r="F195" s="8" t="str">
        <f>_xlfn.XLOOKUP($A195,'RAWDATA Cars Buyers DB'!$A:$A,'RAWDATA Cars Buyers DB'!F:F)</f>
        <v>Graduate Degree</v>
      </c>
      <c r="G195" s="8" t="str">
        <f>_xlfn.XLOOKUP($A195,'RAWDATA Cars Buyers DB'!$A:$A,'RAWDATA Cars Buyers DB'!G:G)</f>
        <v>Clerical</v>
      </c>
      <c r="H195" s="8" t="str">
        <f>_xlfn.XLOOKUP($A195,'RAWDATA Cars Buyers DB'!$A:$A,'RAWDATA Cars Buyers DB'!H:H)</f>
        <v>No</v>
      </c>
      <c r="I195" s="8" t="str">
        <f>_xlfn.XLOOKUP($A195,'RAWDATA Cars Buyers DB'!$A:$A,'RAWDATA Cars Buyers DB'!I:I)</f>
        <v>2–4 Kilometre</v>
      </c>
      <c r="J195" s="8" t="str">
        <f>_xlfn.XLOOKUP($A195,'RAWDATA Cars Buyers DB'!$A:$A,'RAWDATA Cars Buyers DB'!J:J)</f>
        <v>North Rhine-Westphalia</v>
      </c>
      <c r="K195" s="8">
        <f>_xlfn.XLOOKUP($A195,'RAWDATA Cars Buyers DB'!$A:$A,'RAWDATA Cars Buyers DB'!K:K)</f>
        <v>68</v>
      </c>
      <c r="L195" s="10" t="str">
        <f>IF(_xlfn.XLOOKUP($A195,'RAWDATA Cars Buyers DB'!$A:$A,'RAWDATA Cars Buyers DB'!K:K)&gt;54,"Old ",IF(_xlfn.XLOOKUP($A195,'RAWDATA Cars Buyers DB'!$A:$A,'RAWDATA Cars Buyers DB'!K:K)&gt;=31,"Middle Age ",IF(_xlfn.XLOOKUP($A195,'RAWDATA Cars Buyers DB'!$A:$A,'RAWDATA Cars Buyers DB'!K:K)&lt;31,"Adolescent","Invalid")))</f>
        <v xml:space="preserve">Old </v>
      </c>
      <c r="M195" s="8" t="str">
        <f>_xlfn.XLOOKUP($A195,'RAWDATA Cars Buyers DB'!$A:$A,'RAWDATA Cars Buyers DB'!L:L)</f>
        <v>No</v>
      </c>
    </row>
    <row r="196" spans="1:13">
      <c r="A196" s="6">
        <v>48623</v>
      </c>
      <c r="B196" s="10" t="str">
        <f>IF(_xlfn.XLOOKUP($A196,'RAWDATA Cars Buyers DB'!$A:$A,'RAWDATA Cars Buyers DB'!B:B)="S","Single","Married")</f>
        <v>Married</v>
      </c>
      <c r="C196" s="10" t="str">
        <f>IF(_xlfn.XLOOKUP($A196,'RAWDATA Cars Buyers DB'!$A:$A,'RAWDATA Cars Buyers DB'!C:C)="F","Female","Male")</f>
        <v>Female</v>
      </c>
      <c r="D196" s="7">
        <f>_xlfn.XLOOKUP($A196,'RAWDATA Cars Buyers DB'!$A:$A,'RAWDATA Cars Buyers DB'!D:D)</f>
        <v>115040</v>
      </c>
      <c r="E196" s="8">
        <f>_xlfn.XLOOKUP($A196,'RAWDATA Cars Buyers DB'!$A:$A,'RAWDATA Cars Buyers DB'!E:E)</f>
        <v>2</v>
      </c>
      <c r="F196" s="8" t="str">
        <f>_xlfn.XLOOKUP($A196,'RAWDATA Cars Buyers DB'!$A:$A,'RAWDATA Cars Buyers DB'!F:F)</f>
        <v>Graduate Degree</v>
      </c>
      <c r="G196" s="8" t="str">
        <f>_xlfn.XLOOKUP($A196,'RAWDATA Cars Buyers DB'!$A:$A,'RAWDATA Cars Buyers DB'!G:G)</f>
        <v>Skilled Manual</v>
      </c>
      <c r="H196" s="8" t="str">
        <f>_xlfn.XLOOKUP($A196,'RAWDATA Cars Buyers DB'!$A:$A,'RAWDATA Cars Buyers DB'!H:H)</f>
        <v>Yes</v>
      </c>
      <c r="I196" s="8" t="str">
        <f>_xlfn.XLOOKUP($A196,'RAWDATA Cars Buyers DB'!$A:$A,'RAWDATA Cars Buyers DB'!I:I)</f>
        <v>4–6 Kilometre</v>
      </c>
      <c r="J196" s="8" t="str">
        <f>_xlfn.XLOOKUP($A196,'RAWDATA Cars Buyers DB'!$A:$A,'RAWDATA Cars Buyers DB'!J:J)</f>
        <v>Hesse</v>
      </c>
      <c r="K196" s="8">
        <f>_xlfn.XLOOKUP($A196,'RAWDATA Cars Buyers DB'!$A:$A,'RAWDATA Cars Buyers DB'!K:K)</f>
        <v>31</v>
      </c>
      <c r="L196" s="10" t="str">
        <f>IF(_xlfn.XLOOKUP($A196,'RAWDATA Cars Buyers DB'!$A:$A,'RAWDATA Cars Buyers DB'!K:K)&gt;54,"Old ",IF(_xlfn.XLOOKUP($A196,'RAWDATA Cars Buyers DB'!$A:$A,'RAWDATA Cars Buyers DB'!K:K)&gt;=31,"Middle Age ",IF(_xlfn.XLOOKUP($A196,'RAWDATA Cars Buyers DB'!$A:$A,'RAWDATA Cars Buyers DB'!K:K)&lt;31,"Adolescent","Invalid")))</f>
        <v xml:space="preserve">Middle Age </v>
      </c>
      <c r="M196" s="8" t="str">
        <f>_xlfn.XLOOKUP($A196,'RAWDATA Cars Buyers DB'!$A:$A,'RAWDATA Cars Buyers DB'!L:L)</f>
        <v>Yes</v>
      </c>
    </row>
    <row r="197" spans="1:13">
      <c r="A197" s="6">
        <v>17392</v>
      </c>
      <c r="B197" s="10" t="str">
        <f>IF(_xlfn.XLOOKUP($A197,'RAWDATA Cars Buyers DB'!$A:$A,'RAWDATA Cars Buyers DB'!B:B)="S","Single","Married")</f>
        <v>Married</v>
      </c>
      <c r="C197" s="10" t="str">
        <f>IF(_xlfn.XLOOKUP($A197,'RAWDATA Cars Buyers DB'!$A:$A,'RAWDATA Cars Buyers DB'!C:C)="F","Female","Male")</f>
        <v>Male</v>
      </c>
      <c r="D197" s="7">
        <f>_xlfn.XLOOKUP($A197,'RAWDATA Cars Buyers DB'!$A:$A,'RAWDATA Cars Buyers DB'!D:D)</f>
        <v>37438</v>
      </c>
      <c r="E197" s="8">
        <f>_xlfn.XLOOKUP($A197,'RAWDATA Cars Buyers DB'!$A:$A,'RAWDATA Cars Buyers DB'!E:E)</f>
        <v>3</v>
      </c>
      <c r="F197" s="8" t="str">
        <f>_xlfn.XLOOKUP($A197,'RAWDATA Cars Buyers DB'!$A:$A,'RAWDATA Cars Buyers DB'!F:F)</f>
        <v>Graduate Degree</v>
      </c>
      <c r="G197" s="8" t="str">
        <f>_xlfn.XLOOKUP($A197,'RAWDATA Cars Buyers DB'!$A:$A,'RAWDATA Cars Buyers DB'!G:G)</f>
        <v>Clerical</v>
      </c>
      <c r="H197" s="8" t="str">
        <f>_xlfn.XLOOKUP($A197,'RAWDATA Cars Buyers DB'!$A:$A,'RAWDATA Cars Buyers DB'!H:H)</f>
        <v>No</v>
      </c>
      <c r="I197" s="8" t="str">
        <f>_xlfn.XLOOKUP($A197,'RAWDATA Cars Buyers DB'!$A:$A,'RAWDATA Cars Buyers DB'!I:I)</f>
        <v>1–2 Kilometre</v>
      </c>
      <c r="J197" s="8" t="str">
        <f>_xlfn.XLOOKUP($A197,'RAWDATA Cars Buyers DB'!$A:$A,'RAWDATA Cars Buyers DB'!J:J)</f>
        <v>Hesse</v>
      </c>
      <c r="K197" s="8">
        <f>_xlfn.XLOOKUP($A197,'RAWDATA Cars Buyers DB'!$A:$A,'RAWDATA Cars Buyers DB'!K:K)</f>
        <v>39</v>
      </c>
      <c r="L197" s="10" t="str">
        <f>IF(_xlfn.XLOOKUP($A197,'RAWDATA Cars Buyers DB'!$A:$A,'RAWDATA Cars Buyers DB'!K:K)&gt;54,"Old ",IF(_xlfn.XLOOKUP($A197,'RAWDATA Cars Buyers DB'!$A:$A,'RAWDATA Cars Buyers DB'!K:K)&gt;=31,"Middle Age ",IF(_xlfn.XLOOKUP($A197,'RAWDATA Cars Buyers DB'!$A:$A,'RAWDATA Cars Buyers DB'!K:K)&lt;31,"Adolescent","Invalid")))</f>
        <v xml:space="preserve">Middle Age </v>
      </c>
      <c r="M197" s="8" t="str">
        <f>_xlfn.XLOOKUP($A197,'RAWDATA Cars Buyers DB'!$A:$A,'RAWDATA Cars Buyers DB'!L:L)</f>
        <v>No</v>
      </c>
    </row>
    <row r="198" spans="1:13">
      <c r="A198" s="6">
        <v>65680</v>
      </c>
      <c r="B198" s="10" t="str">
        <f>IF(_xlfn.XLOOKUP($A198,'RAWDATA Cars Buyers DB'!$A:$A,'RAWDATA Cars Buyers DB'!B:B)="S","Single","Married")</f>
        <v>Single</v>
      </c>
      <c r="C198" s="10" t="str">
        <f>IF(_xlfn.XLOOKUP($A198,'RAWDATA Cars Buyers DB'!$A:$A,'RAWDATA Cars Buyers DB'!C:C)="F","Female","Male")</f>
        <v>Female</v>
      </c>
      <c r="D198" s="7">
        <f>_xlfn.XLOOKUP($A198,'RAWDATA Cars Buyers DB'!$A:$A,'RAWDATA Cars Buyers DB'!D:D)</f>
        <v>68515</v>
      </c>
      <c r="E198" s="8">
        <f>_xlfn.XLOOKUP($A198,'RAWDATA Cars Buyers DB'!$A:$A,'RAWDATA Cars Buyers DB'!E:E)</f>
        <v>2</v>
      </c>
      <c r="F198" s="8" t="str">
        <f>_xlfn.XLOOKUP($A198,'RAWDATA Cars Buyers DB'!$A:$A,'RAWDATA Cars Buyers DB'!F:F)</f>
        <v>Partial College</v>
      </c>
      <c r="G198" s="8" t="str">
        <f>_xlfn.XLOOKUP($A198,'RAWDATA Cars Buyers DB'!$A:$A,'RAWDATA Cars Buyers DB'!G:G)</f>
        <v>Professional</v>
      </c>
      <c r="H198" s="8" t="str">
        <f>_xlfn.XLOOKUP($A198,'RAWDATA Cars Buyers DB'!$A:$A,'RAWDATA Cars Buyers DB'!H:H)</f>
        <v>No</v>
      </c>
      <c r="I198" s="8" t="str">
        <f>_xlfn.XLOOKUP($A198,'RAWDATA Cars Buyers DB'!$A:$A,'RAWDATA Cars Buyers DB'!I:I)</f>
        <v>0–1 Kilometre</v>
      </c>
      <c r="J198" s="8" t="str">
        <f>_xlfn.XLOOKUP($A198,'RAWDATA Cars Buyers DB'!$A:$A,'RAWDATA Cars Buyers DB'!J:J)</f>
        <v>Saarland</v>
      </c>
      <c r="K198" s="8">
        <f>_xlfn.XLOOKUP($A198,'RAWDATA Cars Buyers DB'!$A:$A,'RAWDATA Cars Buyers DB'!K:K)</f>
        <v>69</v>
      </c>
      <c r="L198" s="10" t="str">
        <f>IF(_xlfn.XLOOKUP($A198,'RAWDATA Cars Buyers DB'!$A:$A,'RAWDATA Cars Buyers DB'!K:K)&gt;54,"Old ",IF(_xlfn.XLOOKUP($A198,'RAWDATA Cars Buyers DB'!$A:$A,'RAWDATA Cars Buyers DB'!K:K)&gt;=31,"Middle Age ",IF(_xlfn.XLOOKUP($A198,'RAWDATA Cars Buyers DB'!$A:$A,'RAWDATA Cars Buyers DB'!K:K)&lt;31,"Adolescent","Invalid")))</f>
        <v xml:space="preserve">Old </v>
      </c>
      <c r="M198" s="8" t="str">
        <f>_xlfn.XLOOKUP($A198,'RAWDATA Cars Buyers DB'!$A:$A,'RAWDATA Cars Buyers DB'!L:L)</f>
        <v>Yes</v>
      </c>
    </row>
    <row r="199" spans="1:13">
      <c r="A199" s="6">
        <v>56717</v>
      </c>
      <c r="B199" s="10" t="str">
        <f>IF(_xlfn.XLOOKUP($A199,'RAWDATA Cars Buyers DB'!$A:$A,'RAWDATA Cars Buyers DB'!B:B)="S","Single","Married")</f>
        <v>Married</v>
      </c>
      <c r="C199" s="10" t="str">
        <f>IF(_xlfn.XLOOKUP($A199,'RAWDATA Cars Buyers DB'!$A:$A,'RAWDATA Cars Buyers DB'!C:C)="F","Female","Male")</f>
        <v>Male</v>
      </c>
      <c r="D199" s="7">
        <f>_xlfn.XLOOKUP($A199,'RAWDATA Cars Buyers DB'!$A:$A,'RAWDATA Cars Buyers DB'!D:D)</f>
        <v>25744</v>
      </c>
      <c r="E199" s="8">
        <f>_xlfn.XLOOKUP($A199,'RAWDATA Cars Buyers DB'!$A:$A,'RAWDATA Cars Buyers DB'!E:E)</f>
        <v>3</v>
      </c>
      <c r="F199" s="8" t="str">
        <f>_xlfn.XLOOKUP($A199,'RAWDATA Cars Buyers DB'!$A:$A,'RAWDATA Cars Buyers DB'!F:F)</f>
        <v>Bachelors</v>
      </c>
      <c r="G199" s="8" t="str">
        <f>_xlfn.XLOOKUP($A199,'RAWDATA Cars Buyers DB'!$A:$A,'RAWDATA Cars Buyers DB'!G:G)</f>
        <v>Clerical</v>
      </c>
      <c r="H199" s="8" t="str">
        <f>_xlfn.XLOOKUP($A199,'RAWDATA Cars Buyers DB'!$A:$A,'RAWDATA Cars Buyers DB'!H:H)</f>
        <v>Yes</v>
      </c>
      <c r="I199" s="8" t="str">
        <f>_xlfn.XLOOKUP($A199,'RAWDATA Cars Buyers DB'!$A:$A,'RAWDATA Cars Buyers DB'!I:I)</f>
        <v>1–2 Kilometre</v>
      </c>
      <c r="J199" s="8" t="str">
        <f>_xlfn.XLOOKUP($A199,'RAWDATA Cars Buyers DB'!$A:$A,'RAWDATA Cars Buyers DB'!J:J)</f>
        <v>Saxony</v>
      </c>
      <c r="K199" s="8">
        <f>_xlfn.XLOOKUP($A199,'RAWDATA Cars Buyers DB'!$A:$A,'RAWDATA Cars Buyers DB'!K:K)</f>
        <v>22</v>
      </c>
      <c r="L199" s="10" t="str">
        <f>IF(_xlfn.XLOOKUP($A199,'RAWDATA Cars Buyers DB'!$A:$A,'RAWDATA Cars Buyers DB'!K:K)&gt;54,"Old ",IF(_xlfn.XLOOKUP($A199,'RAWDATA Cars Buyers DB'!$A:$A,'RAWDATA Cars Buyers DB'!K:K)&gt;=31,"Middle Age ",IF(_xlfn.XLOOKUP($A199,'RAWDATA Cars Buyers DB'!$A:$A,'RAWDATA Cars Buyers DB'!K:K)&lt;31,"Adolescent","Invalid")))</f>
        <v>Adolescent</v>
      </c>
      <c r="M199" s="8" t="str">
        <f>_xlfn.XLOOKUP($A199,'RAWDATA Cars Buyers DB'!$A:$A,'RAWDATA Cars Buyers DB'!L:L)</f>
        <v>No</v>
      </c>
    </row>
    <row r="200" spans="1:13">
      <c r="A200" s="6">
        <v>97092</v>
      </c>
      <c r="B200" s="10" t="str">
        <f>IF(_xlfn.XLOOKUP($A200,'RAWDATA Cars Buyers DB'!$A:$A,'RAWDATA Cars Buyers DB'!B:B)="S","Single","Married")</f>
        <v>Married</v>
      </c>
      <c r="C200" s="10" t="str">
        <f>IF(_xlfn.XLOOKUP($A200,'RAWDATA Cars Buyers DB'!$A:$A,'RAWDATA Cars Buyers DB'!C:C)="F","Female","Male")</f>
        <v>Male</v>
      </c>
      <c r="D200" s="7">
        <f>_xlfn.XLOOKUP($A200,'RAWDATA Cars Buyers DB'!$A:$A,'RAWDATA Cars Buyers DB'!D:D)</f>
        <v>103820</v>
      </c>
      <c r="E200" s="8">
        <f>_xlfn.XLOOKUP($A200,'RAWDATA Cars Buyers DB'!$A:$A,'RAWDATA Cars Buyers DB'!E:E)</f>
        <v>1</v>
      </c>
      <c r="F200" s="8" t="str">
        <f>_xlfn.XLOOKUP($A200,'RAWDATA Cars Buyers DB'!$A:$A,'RAWDATA Cars Buyers DB'!F:F)</f>
        <v>Bachelors</v>
      </c>
      <c r="G200" s="8" t="str">
        <f>_xlfn.XLOOKUP($A200,'RAWDATA Cars Buyers DB'!$A:$A,'RAWDATA Cars Buyers DB'!G:G)</f>
        <v>Management</v>
      </c>
      <c r="H200" s="8" t="str">
        <f>_xlfn.XLOOKUP($A200,'RAWDATA Cars Buyers DB'!$A:$A,'RAWDATA Cars Buyers DB'!H:H)</f>
        <v>No</v>
      </c>
      <c r="I200" s="8" t="str">
        <f>_xlfn.XLOOKUP($A200,'RAWDATA Cars Buyers DB'!$A:$A,'RAWDATA Cars Buyers DB'!I:I)</f>
        <v>4–6 Kilometre</v>
      </c>
      <c r="J200" s="8" t="str">
        <f>_xlfn.XLOOKUP($A200,'RAWDATA Cars Buyers DB'!$A:$A,'RAWDATA Cars Buyers DB'!J:J)</f>
        <v>Brandenburg</v>
      </c>
      <c r="K200" s="8">
        <f>_xlfn.XLOOKUP($A200,'RAWDATA Cars Buyers DB'!$A:$A,'RAWDATA Cars Buyers DB'!K:K)</f>
        <v>62</v>
      </c>
      <c r="L200" s="10" t="str">
        <f>IF(_xlfn.XLOOKUP($A200,'RAWDATA Cars Buyers DB'!$A:$A,'RAWDATA Cars Buyers DB'!K:K)&gt;54,"Old ",IF(_xlfn.XLOOKUP($A200,'RAWDATA Cars Buyers DB'!$A:$A,'RAWDATA Cars Buyers DB'!K:K)&gt;=31,"Middle Age ",IF(_xlfn.XLOOKUP($A200,'RAWDATA Cars Buyers DB'!$A:$A,'RAWDATA Cars Buyers DB'!K:K)&lt;31,"Adolescent","Invalid")))</f>
        <v xml:space="preserve">Old </v>
      </c>
      <c r="M200" s="8" t="str">
        <f>_xlfn.XLOOKUP($A200,'RAWDATA Cars Buyers DB'!$A:$A,'RAWDATA Cars Buyers DB'!L:L)</f>
        <v>No</v>
      </c>
    </row>
    <row r="201" spans="1:13">
      <c r="A201" s="6">
        <v>60859</v>
      </c>
      <c r="B201" s="10" t="str">
        <f>IF(_xlfn.XLOOKUP($A201,'RAWDATA Cars Buyers DB'!$A:$A,'RAWDATA Cars Buyers DB'!B:B)="S","Single","Married")</f>
        <v>Married</v>
      </c>
      <c r="C201" s="10" t="str">
        <f>IF(_xlfn.XLOOKUP($A201,'RAWDATA Cars Buyers DB'!$A:$A,'RAWDATA Cars Buyers DB'!C:C)="F","Female","Male")</f>
        <v>Male</v>
      </c>
      <c r="D201" s="7">
        <f>_xlfn.XLOOKUP($A201,'RAWDATA Cars Buyers DB'!$A:$A,'RAWDATA Cars Buyers DB'!D:D)</f>
        <v>62417</v>
      </c>
      <c r="E201" s="8">
        <f>_xlfn.XLOOKUP($A201,'RAWDATA Cars Buyers DB'!$A:$A,'RAWDATA Cars Buyers DB'!E:E)</f>
        <v>4</v>
      </c>
      <c r="F201" s="8" t="str">
        <f>_xlfn.XLOOKUP($A201,'RAWDATA Cars Buyers DB'!$A:$A,'RAWDATA Cars Buyers DB'!F:F)</f>
        <v>Graduate Degree</v>
      </c>
      <c r="G201" s="8" t="str">
        <f>_xlfn.XLOOKUP($A201,'RAWDATA Cars Buyers DB'!$A:$A,'RAWDATA Cars Buyers DB'!G:G)</f>
        <v>Skilled Manual</v>
      </c>
      <c r="H201" s="8" t="str">
        <f>_xlfn.XLOOKUP($A201,'RAWDATA Cars Buyers DB'!$A:$A,'RAWDATA Cars Buyers DB'!H:H)</f>
        <v>No</v>
      </c>
      <c r="I201" s="8" t="str">
        <f>_xlfn.XLOOKUP($A201,'RAWDATA Cars Buyers DB'!$A:$A,'RAWDATA Cars Buyers DB'!I:I)</f>
        <v>0–1 Kilometre</v>
      </c>
      <c r="J201" s="8" t="str">
        <f>_xlfn.XLOOKUP($A201,'RAWDATA Cars Buyers DB'!$A:$A,'RAWDATA Cars Buyers DB'!J:J)</f>
        <v>Bremen</v>
      </c>
      <c r="K201" s="8">
        <f>_xlfn.XLOOKUP($A201,'RAWDATA Cars Buyers DB'!$A:$A,'RAWDATA Cars Buyers DB'!K:K)</f>
        <v>69</v>
      </c>
      <c r="L201" s="10" t="str">
        <f>IF(_xlfn.XLOOKUP($A201,'RAWDATA Cars Buyers DB'!$A:$A,'RAWDATA Cars Buyers DB'!K:K)&gt;54,"Old ",IF(_xlfn.XLOOKUP($A201,'RAWDATA Cars Buyers DB'!$A:$A,'RAWDATA Cars Buyers DB'!K:K)&gt;=31,"Middle Age ",IF(_xlfn.XLOOKUP($A201,'RAWDATA Cars Buyers DB'!$A:$A,'RAWDATA Cars Buyers DB'!K:K)&lt;31,"Adolescent","Invalid")))</f>
        <v xml:space="preserve">Old </v>
      </c>
      <c r="M201" s="8" t="str">
        <f>_xlfn.XLOOKUP($A201,'RAWDATA Cars Buyers DB'!$A:$A,'RAWDATA Cars Buyers DB'!L:L)</f>
        <v>No</v>
      </c>
    </row>
    <row r="202" spans="1:13">
      <c r="A202" s="6">
        <v>36309</v>
      </c>
      <c r="B202" s="10" t="str">
        <f>IF(_xlfn.XLOOKUP($A202,'RAWDATA Cars Buyers DB'!$A:$A,'RAWDATA Cars Buyers DB'!B:B)="S","Single","Married")</f>
        <v>Married</v>
      </c>
      <c r="C202" s="10" t="str">
        <f>IF(_xlfn.XLOOKUP($A202,'RAWDATA Cars Buyers DB'!$A:$A,'RAWDATA Cars Buyers DB'!C:C)="F","Female","Male")</f>
        <v>Male</v>
      </c>
      <c r="D202" s="7">
        <f>_xlfn.XLOOKUP($A202,'RAWDATA Cars Buyers DB'!$A:$A,'RAWDATA Cars Buyers DB'!D:D)</f>
        <v>27069</v>
      </c>
      <c r="E202" s="8">
        <f>_xlfn.XLOOKUP($A202,'RAWDATA Cars Buyers DB'!$A:$A,'RAWDATA Cars Buyers DB'!E:E)</f>
        <v>3</v>
      </c>
      <c r="F202" s="8" t="str">
        <f>_xlfn.XLOOKUP($A202,'RAWDATA Cars Buyers DB'!$A:$A,'RAWDATA Cars Buyers DB'!F:F)</f>
        <v>High School</v>
      </c>
      <c r="G202" s="8" t="str">
        <f>_xlfn.XLOOKUP($A202,'RAWDATA Cars Buyers DB'!$A:$A,'RAWDATA Cars Buyers DB'!G:G)</f>
        <v>Skilled Manual</v>
      </c>
      <c r="H202" s="8" t="str">
        <f>_xlfn.XLOOKUP($A202,'RAWDATA Cars Buyers DB'!$A:$A,'RAWDATA Cars Buyers DB'!H:H)</f>
        <v>Yes</v>
      </c>
      <c r="I202" s="8" t="str">
        <f>_xlfn.XLOOKUP($A202,'RAWDATA Cars Buyers DB'!$A:$A,'RAWDATA Cars Buyers DB'!I:I)</f>
        <v>4–6 Kilometre</v>
      </c>
      <c r="J202" s="8" t="str">
        <f>_xlfn.XLOOKUP($A202,'RAWDATA Cars Buyers DB'!$A:$A,'RAWDATA Cars Buyers DB'!J:J)</f>
        <v>Berlin</v>
      </c>
      <c r="K202" s="8">
        <f>_xlfn.XLOOKUP($A202,'RAWDATA Cars Buyers DB'!$A:$A,'RAWDATA Cars Buyers DB'!K:K)</f>
        <v>23</v>
      </c>
      <c r="L202" s="10" t="str">
        <f>IF(_xlfn.XLOOKUP($A202,'RAWDATA Cars Buyers DB'!$A:$A,'RAWDATA Cars Buyers DB'!K:K)&gt;54,"Old ",IF(_xlfn.XLOOKUP($A202,'RAWDATA Cars Buyers DB'!$A:$A,'RAWDATA Cars Buyers DB'!K:K)&gt;=31,"Middle Age ",IF(_xlfn.XLOOKUP($A202,'RAWDATA Cars Buyers DB'!$A:$A,'RAWDATA Cars Buyers DB'!K:K)&lt;31,"Adolescent","Invalid")))</f>
        <v>Adolescent</v>
      </c>
      <c r="M202" s="8" t="str">
        <f>_xlfn.XLOOKUP($A202,'RAWDATA Cars Buyers DB'!$A:$A,'RAWDATA Cars Buyers DB'!L:L)</f>
        <v>No</v>
      </c>
    </row>
    <row r="203" spans="1:13">
      <c r="A203" s="6">
        <v>97455</v>
      </c>
      <c r="B203" s="10" t="str">
        <f>IF(_xlfn.XLOOKUP($A203,'RAWDATA Cars Buyers DB'!$A:$A,'RAWDATA Cars Buyers DB'!B:B)="S","Single","Married")</f>
        <v>Single</v>
      </c>
      <c r="C203" s="10" t="str">
        <f>IF(_xlfn.XLOOKUP($A203,'RAWDATA Cars Buyers DB'!$A:$A,'RAWDATA Cars Buyers DB'!C:C)="F","Female","Male")</f>
        <v>Female</v>
      </c>
      <c r="D203" s="7">
        <f>_xlfn.XLOOKUP($A203,'RAWDATA Cars Buyers DB'!$A:$A,'RAWDATA Cars Buyers DB'!D:D)</f>
        <v>62359</v>
      </c>
      <c r="E203" s="8">
        <f>_xlfn.XLOOKUP($A203,'RAWDATA Cars Buyers DB'!$A:$A,'RAWDATA Cars Buyers DB'!E:E)</f>
        <v>0</v>
      </c>
      <c r="F203" s="8" t="str">
        <f>_xlfn.XLOOKUP($A203,'RAWDATA Cars Buyers DB'!$A:$A,'RAWDATA Cars Buyers DB'!F:F)</f>
        <v>Bachelors</v>
      </c>
      <c r="G203" s="8" t="str">
        <f>_xlfn.XLOOKUP($A203,'RAWDATA Cars Buyers DB'!$A:$A,'RAWDATA Cars Buyers DB'!G:G)</f>
        <v>Professional</v>
      </c>
      <c r="H203" s="8" t="str">
        <f>_xlfn.XLOOKUP($A203,'RAWDATA Cars Buyers DB'!$A:$A,'RAWDATA Cars Buyers DB'!H:H)</f>
        <v>Yes</v>
      </c>
      <c r="I203" s="8" t="str">
        <f>_xlfn.XLOOKUP($A203,'RAWDATA Cars Buyers DB'!$A:$A,'RAWDATA Cars Buyers DB'!I:I)</f>
        <v>1–2 Kilometre</v>
      </c>
      <c r="J203" s="8" t="str">
        <f>_xlfn.XLOOKUP($A203,'RAWDATA Cars Buyers DB'!$A:$A,'RAWDATA Cars Buyers DB'!J:J)</f>
        <v>Saarland</v>
      </c>
      <c r="K203" s="8">
        <f>_xlfn.XLOOKUP($A203,'RAWDATA Cars Buyers DB'!$A:$A,'RAWDATA Cars Buyers DB'!K:K)</f>
        <v>36</v>
      </c>
      <c r="L203" s="10" t="str">
        <f>IF(_xlfn.XLOOKUP($A203,'RAWDATA Cars Buyers DB'!$A:$A,'RAWDATA Cars Buyers DB'!K:K)&gt;54,"Old ",IF(_xlfn.XLOOKUP($A203,'RAWDATA Cars Buyers DB'!$A:$A,'RAWDATA Cars Buyers DB'!K:K)&gt;=31,"Middle Age ",IF(_xlfn.XLOOKUP($A203,'RAWDATA Cars Buyers DB'!$A:$A,'RAWDATA Cars Buyers DB'!K:K)&lt;31,"Adolescent","Invalid")))</f>
        <v xml:space="preserve">Middle Age </v>
      </c>
      <c r="M203" s="8" t="str">
        <f>_xlfn.XLOOKUP($A203,'RAWDATA Cars Buyers DB'!$A:$A,'RAWDATA Cars Buyers DB'!L:L)</f>
        <v>Yes</v>
      </c>
    </row>
    <row r="204" spans="1:13">
      <c r="A204" s="6">
        <v>73734</v>
      </c>
      <c r="B204" s="10" t="str">
        <f>IF(_xlfn.XLOOKUP($A204,'RAWDATA Cars Buyers DB'!$A:$A,'RAWDATA Cars Buyers DB'!B:B)="S","Single","Married")</f>
        <v>Married</v>
      </c>
      <c r="C204" s="10" t="str">
        <f>IF(_xlfn.XLOOKUP($A204,'RAWDATA Cars Buyers DB'!$A:$A,'RAWDATA Cars Buyers DB'!C:C)="F","Female","Male")</f>
        <v>Female</v>
      </c>
      <c r="D204" s="7">
        <f>_xlfn.XLOOKUP($A204,'RAWDATA Cars Buyers DB'!$A:$A,'RAWDATA Cars Buyers DB'!D:D)</f>
        <v>39799</v>
      </c>
      <c r="E204" s="8">
        <f>_xlfn.XLOOKUP($A204,'RAWDATA Cars Buyers DB'!$A:$A,'RAWDATA Cars Buyers DB'!E:E)</f>
        <v>2</v>
      </c>
      <c r="F204" s="8" t="str">
        <f>_xlfn.XLOOKUP($A204,'RAWDATA Cars Buyers DB'!$A:$A,'RAWDATA Cars Buyers DB'!F:F)</f>
        <v>Partial College</v>
      </c>
      <c r="G204" s="8" t="str">
        <f>_xlfn.XLOOKUP($A204,'RAWDATA Cars Buyers DB'!$A:$A,'RAWDATA Cars Buyers DB'!G:G)</f>
        <v>Skilled Manual</v>
      </c>
      <c r="H204" s="8" t="str">
        <f>_xlfn.XLOOKUP($A204,'RAWDATA Cars Buyers DB'!$A:$A,'RAWDATA Cars Buyers DB'!H:H)</f>
        <v>Yes</v>
      </c>
      <c r="I204" s="8" t="str">
        <f>_xlfn.XLOOKUP($A204,'RAWDATA Cars Buyers DB'!$A:$A,'RAWDATA Cars Buyers DB'!I:I)</f>
        <v>2–4 Kilometre</v>
      </c>
      <c r="J204" s="8" t="str">
        <f>_xlfn.XLOOKUP($A204,'RAWDATA Cars Buyers DB'!$A:$A,'RAWDATA Cars Buyers DB'!J:J)</f>
        <v>Saxony-Anhalt</v>
      </c>
      <c r="K204" s="8">
        <f>_xlfn.XLOOKUP($A204,'RAWDATA Cars Buyers DB'!$A:$A,'RAWDATA Cars Buyers DB'!K:K)</f>
        <v>69</v>
      </c>
      <c r="L204" s="10" t="str">
        <f>IF(_xlfn.XLOOKUP($A204,'RAWDATA Cars Buyers DB'!$A:$A,'RAWDATA Cars Buyers DB'!K:K)&gt;54,"Old ",IF(_xlfn.XLOOKUP($A204,'RAWDATA Cars Buyers DB'!$A:$A,'RAWDATA Cars Buyers DB'!K:K)&gt;=31,"Middle Age ",IF(_xlfn.XLOOKUP($A204,'RAWDATA Cars Buyers DB'!$A:$A,'RAWDATA Cars Buyers DB'!K:K)&lt;31,"Adolescent","Invalid")))</f>
        <v xml:space="preserve">Old </v>
      </c>
      <c r="M204" s="8" t="str">
        <f>_xlfn.XLOOKUP($A204,'RAWDATA Cars Buyers DB'!$A:$A,'RAWDATA Cars Buyers DB'!L:L)</f>
        <v>No</v>
      </c>
    </row>
    <row r="205" spans="1:13">
      <c r="A205" s="6">
        <v>80467</v>
      </c>
      <c r="B205" s="10" t="str">
        <f>IF(_xlfn.XLOOKUP($A205,'RAWDATA Cars Buyers DB'!$A:$A,'RAWDATA Cars Buyers DB'!B:B)="S","Single","Married")</f>
        <v>Single</v>
      </c>
      <c r="C205" s="10" t="str">
        <f>IF(_xlfn.XLOOKUP($A205,'RAWDATA Cars Buyers DB'!$A:$A,'RAWDATA Cars Buyers DB'!C:C)="F","Female","Male")</f>
        <v>Male</v>
      </c>
      <c r="D205" s="7">
        <f>_xlfn.XLOOKUP($A205,'RAWDATA Cars Buyers DB'!$A:$A,'RAWDATA Cars Buyers DB'!D:D)</f>
        <v>118746</v>
      </c>
      <c r="E205" s="8">
        <f>_xlfn.XLOOKUP($A205,'RAWDATA Cars Buyers DB'!$A:$A,'RAWDATA Cars Buyers DB'!E:E)</f>
        <v>1</v>
      </c>
      <c r="F205" s="8" t="str">
        <f>_xlfn.XLOOKUP($A205,'RAWDATA Cars Buyers DB'!$A:$A,'RAWDATA Cars Buyers DB'!F:F)</f>
        <v>Bachelors</v>
      </c>
      <c r="G205" s="8" t="str">
        <f>_xlfn.XLOOKUP($A205,'RAWDATA Cars Buyers DB'!$A:$A,'RAWDATA Cars Buyers DB'!G:G)</f>
        <v>Management</v>
      </c>
      <c r="H205" s="8" t="str">
        <f>_xlfn.XLOOKUP($A205,'RAWDATA Cars Buyers DB'!$A:$A,'RAWDATA Cars Buyers DB'!H:H)</f>
        <v>No</v>
      </c>
      <c r="I205" s="8" t="str">
        <f>_xlfn.XLOOKUP($A205,'RAWDATA Cars Buyers DB'!$A:$A,'RAWDATA Cars Buyers DB'!I:I)</f>
        <v>1–2 Kilometre</v>
      </c>
      <c r="J205" s="8" t="str">
        <f>_xlfn.XLOOKUP($A205,'RAWDATA Cars Buyers DB'!$A:$A,'RAWDATA Cars Buyers DB'!J:J)</f>
        <v>Lower Saxony</v>
      </c>
      <c r="K205" s="8">
        <f>_xlfn.XLOOKUP($A205,'RAWDATA Cars Buyers DB'!$A:$A,'RAWDATA Cars Buyers DB'!K:K)</f>
        <v>56</v>
      </c>
      <c r="L205" s="10" t="str">
        <f>IF(_xlfn.XLOOKUP($A205,'RAWDATA Cars Buyers DB'!$A:$A,'RAWDATA Cars Buyers DB'!K:K)&gt;54,"Old ",IF(_xlfn.XLOOKUP($A205,'RAWDATA Cars Buyers DB'!$A:$A,'RAWDATA Cars Buyers DB'!K:K)&gt;=31,"Middle Age ",IF(_xlfn.XLOOKUP($A205,'RAWDATA Cars Buyers DB'!$A:$A,'RAWDATA Cars Buyers DB'!K:K)&lt;31,"Adolescent","Invalid")))</f>
        <v xml:space="preserve">Old </v>
      </c>
      <c r="M205" s="8" t="str">
        <f>_xlfn.XLOOKUP($A205,'RAWDATA Cars Buyers DB'!$A:$A,'RAWDATA Cars Buyers DB'!L:L)</f>
        <v>No</v>
      </c>
    </row>
    <row r="206" spans="1:13">
      <c r="A206" s="6">
        <v>62662</v>
      </c>
      <c r="B206" s="10" t="str">
        <f>IF(_xlfn.XLOOKUP($A206,'RAWDATA Cars Buyers DB'!$A:$A,'RAWDATA Cars Buyers DB'!B:B)="S","Single","Married")</f>
        <v>Married</v>
      </c>
      <c r="C206" s="10" t="str">
        <f>IF(_xlfn.XLOOKUP($A206,'RAWDATA Cars Buyers DB'!$A:$A,'RAWDATA Cars Buyers DB'!C:C)="F","Female","Male")</f>
        <v>Female</v>
      </c>
      <c r="D206" s="7">
        <f>_xlfn.XLOOKUP($A206,'RAWDATA Cars Buyers DB'!$A:$A,'RAWDATA Cars Buyers DB'!D:D)</f>
        <v>113762</v>
      </c>
      <c r="E206" s="8">
        <f>_xlfn.XLOOKUP($A206,'RAWDATA Cars Buyers DB'!$A:$A,'RAWDATA Cars Buyers DB'!E:E)</f>
        <v>0</v>
      </c>
      <c r="F206" s="8" t="str">
        <f>_xlfn.XLOOKUP($A206,'RAWDATA Cars Buyers DB'!$A:$A,'RAWDATA Cars Buyers DB'!F:F)</f>
        <v>Graduate Degree</v>
      </c>
      <c r="G206" s="8" t="str">
        <f>_xlfn.XLOOKUP($A206,'RAWDATA Cars Buyers DB'!$A:$A,'RAWDATA Cars Buyers DB'!G:G)</f>
        <v>Clerical</v>
      </c>
      <c r="H206" s="8" t="str">
        <f>_xlfn.XLOOKUP($A206,'RAWDATA Cars Buyers DB'!$A:$A,'RAWDATA Cars Buyers DB'!H:H)</f>
        <v>No</v>
      </c>
      <c r="I206" s="8" t="str">
        <f>_xlfn.XLOOKUP($A206,'RAWDATA Cars Buyers DB'!$A:$A,'RAWDATA Cars Buyers DB'!I:I)</f>
        <v>1–2 Kilometre</v>
      </c>
      <c r="J206" s="8" t="str">
        <f>_xlfn.XLOOKUP($A206,'RAWDATA Cars Buyers DB'!$A:$A,'RAWDATA Cars Buyers DB'!J:J)</f>
        <v>Hamburg</v>
      </c>
      <c r="K206" s="8">
        <f>_xlfn.XLOOKUP($A206,'RAWDATA Cars Buyers DB'!$A:$A,'RAWDATA Cars Buyers DB'!K:K)</f>
        <v>65</v>
      </c>
      <c r="L206" s="10" t="str">
        <f>IF(_xlfn.XLOOKUP($A206,'RAWDATA Cars Buyers DB'!$A:$A,'RAWDATA Cars Buyers DB'!K:K)&gt;54,"Old ",IF(_xlfn.XLOOKUP($A206,'RAWDATA Cars Buyers DB'!$A:$A,'RAWDATA Cars Buyers DB'!K:K)&gt;=31,"Middle Age ",IF(_xlfn.XLOOKUP($A206,'RAWDATA Cars Buyers DB'!$A:$A,'RAWDATA Cars Buyers DB'!K:K)&lt;31,"Adolescent","Invalid")))</f>
        <v xml:space="preserve">Old </v>
      </c>
      <c r="M206" s="8" t="str">
        <f>_xlfn.XLOOKUP($A206,'RAWDATA Cars Buyers DB'!$A:$A,'RAWDATA Cars Buyers DB'!L:L)</f>
        <v>Yes</v>
      </c>
    </row>
    <row r="207" spans="1:13">
      <c r="A207" s="6">
        <v>22688</v>
      </c>
      <c r="B207" s="10" t="str">
        <f>IF(_xlfn.XLOOKUP($A207,'RAWDATA Cars Buyers DB'!$A:$A,'RAWDATA Cars Buyers DB'!B:B)="S","Single","Married")</f>
        <v>Single</v>
      </c>
      <c r="C207" s="10" t="str">
        <f>IF(_xlfn.XLOOKUP($A207,'RAWDATA Cars Buyers DB'!$A:$A,'RAWDATA Cars Buyers DB'!C:C)="F","Female","Male")</f>
        <v>Male</v>
      </c>
      <c r="D207" s="7">
        <f>_xlfn.XLOOKUP($A207,'RAWDATA Cars Buyers DB'!$A:$A,'RAWDATA Cars Buyers DB'!D:D)</f>
        <v>90188</v>
      </c>
      <c r="E207" s="8">
        <f>_xlfn.XLOOKUP($A207,'RAWDATA Cars Buyers DB'!$A:$A,'RAWDATA Cars Buyers DB'!E:E)</f>
        <v>1</v>
      </c>
      <c r="F207" s="8" t="str">
        <f>_xlfn.XLOOKUP($A207,'RAWDATA Cars Buyers DB'!$A:$A,'RAWDATA Cars Buyers DB'!F:F)</f>
        <v>High School</v>
      </c>
      <c r="G207" s="8" t="str">
        <f>_xlfn.XLOOKUP($A207,'RAWDATA Cars Buyers DB'!$A:$A,'RAWDATA Cars Buyers DB'!G:G)</f>
        <v>Professional</v>
      </c>
      <c r="H207" s="8" t="str">
        <f>_xlfn.XLOOKUP($A207,'RAWDATA Cars Buyers DB'!$A:$A,'RAWDATA Cars Buyers DB'!H:H)</f>
        <v>Yes</v>
      </c>
      <c r="I207" s="8" t="str">
        <f>_xlfn.XLOOKUP($A207,'RAWDATA Cars Buyers DB'!$A:$A,'RAWDATA Cars Buyers DB'!I:I)</f>
        <v>1–2 Kilometre</v>
      </c>
      <c r="J207" s="8" t="str">
        <f>_xlfn.XLOOKUP($A207,'RAWDATA Cars Buyers DB'!$A:$A,'RAWDATA Cars Buyers DB'!J:J)</f>
        <v>North Rhine-Westphalia</v>
      </c>
      <c r="K207" s="8">
        <f>_xlfn.XLOOKUP($A207,'RAWDATA Cars Buyers DB'!$A:$A,'RAWDATA Cars Buyers DB'!K:K)</f>
        <v>61</v>
      </c>
      <c r="L207" s="10" t="str">
        <f>IF(_xlfn.XLOOKUP($A207,'RAWDATA Cars Buyers DB'!$A:$A,'RAWDATA Cars Buyers DB'!K:K)&gt;54,"Old ",IF(_xlfn.XLOOKUP($A207,'RAWDATA Cars Buyers DB'!$A:$A,'RAWDATA Cars Buyers DB'!K:K)&gt;=31,"Middle Age ",IF(_xlfn.XLOOKUP($A207,'RAWDATA Cars Buyers DB'!$A:$A,'RAWDATA Cars Buyers DB'!K:K)&lt;31,"Adolescent","Invalid")))</f>
        <v xml:space="preserve">Old </v>
      </c>
      <c r="M207" s="8" t="str">
        <f>_xlfn.XLOOKUP($A207,'RAWDATA Cars Buyers DB'!$A:$A,'RAWDATA Cars Buyers DB'!L:L)</f>
        <v>Yes</v>
      </c>
    </row>
    <row r="208" spans="1:13">
      <c r="A208" s="6">
        <v>35342</v>
      </c>
      <c r="B208" s="10" t="str">
        <f>IF(_xlfn.XLOOKUP($A208,'RAWDATA Cars Buyers DB'!$A:$A,'RAWDATA Cars Buyers DB'!B:B)="S","Single","Married")</f>
        <v>Single</v>
      </c>
      <c r="C208" s="10" t="str">
        <f>IF(_xlfn.XLOOKUP($A208,'RAWDATA Cars Buyers DB'!$A:$A,'RAWDATA Cars Buyers DB'!C:C)="F","Female","Male")</f>
        <v>Male</v>
      </c>
      <c r="D208" s="7">
        <f>_xlfn.XLOOKUP($A208,'RAWDATA Cars Buyers DB'!$A:$A,'RAWDATA Cars Buyers DB'!D:D)</f>
        <v>109859</v>
      </c>
      <c r="E208" s="8">
        <f>_xlfn.XLOOKUP($A208,'RAWDATA Cars Buyers DB'!$A:$A,'RAWDATA Cars Buyers DB'!E:E)</f>
        <v>4</v>
      </c>
      <c r="F208" s="8" t="str">
        <f>_xlfn.XLOOKUP($A208,'RAWDATA Cars Buyers DB'!$A:$A,'RAWDATA Cars Buyers DB'!F:F)</f>
        <v>Bachelors</v>
      </c>
      <c r="G208" s="8" t="str">
        <f>_xlfn.XLOOKUP($A208,'RAWDATA Cars Buyers DB'!$A:$A,'RAWDATA Cars Buyers DB'!G:G)</f>
        <v>Management</v>
      </c>
      <c r="H208" s="8" t="str">
        <f>_xlfn.XLOOKUP($A208,'RAWDATA Cars Buyers DB'!$A:$A,'RAWDATA Cars Buyers DB'!H:H)</f>
        <v>Yes</v>
      </c>
      <c r="I208" s="8" t="str">
        <f>_xlfn.XLOOKUP($A208,'RAWDATA Cars Buyers DB'!$A:$A,'RAWDATA Cars Buyers DB'!I:I)</f>
        <v>6+ Kilometre</v>
      </c>
      <c r="J208" s="8" t="str">
        <f>_xlfn.XLOOKUP($A208,'RAWDATA Cars Buyers DB'!$A:$A,'RAWDATA Cars Buyers DB'!J:J)</f>
        <v>Hamburg</v>
      </c>
      <c r="K208" s="8">
        <f>_xlfn.XLOOKUP($A208,'RAWDATA Cars Buyers DB'!$A:$A,'RAWDATA Cars Buyers DB'!K:K)</f>
        <v>34</v>
      </c>
      <c r="L208" s="10" t="str">
        <f>IF(_xlfn.XLOOKUP($A208,'RAWDATA Cars Buyers DB'!$A:$A,'RAWDATA Cars Buyers DB'!K:K)&gt;54,"Old ",IF(_xlfn.XLOOKUP($A208,'RAWDATA Cars Buyers DB'!$A:$A,'RAWDATA Cars Buyers DB'!K:K)&gt;=31,"Middle Age ",IF(_xlfn.XLOOKUP($A208,'RAWDATA Cars Buyers DB'!$A:$A,'RAWDATA Cars Buyers DB'!K:K)&lt;31,"Adolescent","Invalid")))</f>
        <v xml:space="preserve">Middle Age </v>
      </c>
      <c r="M208" s="8" t="str">
        <f>_xlfn.XLOOKUP($A208,'RAWDATA Cars Buyers DB'!$A:$A,'RAWDATA Cars Buyers DB'!L:L)</f>
        <v>No</v>
      </c>
    </row>
    <row r="209" spans="1:13">
      <c r="A209" s="6">
        <v>47157</v>
      </c>
      <c r="B209" s="10" t="str">
        <f>IF(_xlfn.XLOOKUP($A209,'RAWDATA Cars Buyers DB'!$A:$A,'RAWDATA Cars Buyers DB'!B:B)="S","Single","Married")</f>
        <v>Married</v>
      </c>
      <c r="C209" s="10" t="str">
        <f>IF(_xlfn.XLOOKUP($A209,'RAWDATA Cars Buyers DB'!$A:$A,'RAWDATA Cars Buyers DB'!C:C)="F","Female","Male")</f>
        <v>Male</v>
      </c>
      <c r="D209" s="7">
        <f>_xlfn.XLOOKUP($A209,'RAWDATA Cars Buyers DB'!$A:$A,'RAWDATA Cars Buyers DB'!D:D)</f>
        <v>27597</v>
      </c>
      <c r="E209" s="8">
        <f>_xlfn.XLOOKUP($A209,'RAWDATA Cars Buyers DB'!$A:$A,'RAWDATA Cars Buyers DB'!E:E)</f>
        <v>2</v>
      </c>
      <c r="F209" s="8" t="str">
        <f>_xlfn.XLOOKUP($A209,'RAWDATA Cars Buyers DB'!$A:$A,'RAWDATA Cars Buyers DB'!F:F)</f>
        <v>Bachelors</v>
      </c>
      <c r="G209" s="8" t="str">
        <f>_xlfn.XLOOKUP($A209,'RAWDATA Cars Buyers DB'!$A:$A,'RAWDATA Cars Buyers DB'!G:G)</f>
        <v>Skilled Manual</v>
      </c>
      <c r="H209" s="8" t="str">
        <f>_xlfn.XLOOKUP($A209,'RAWDATA Cars Buyers DB'!$A:$A,'RAWDATA Cars Buyers DB'!H:H)</f>
        <v>Yes</v>
      </c>
      <c r="I209" s="8" t="str">
        <f>_xlfn.XLOOKUP($A209,'RAWDATA Cars Buyers DB'!$A:$A,'RAWDATA Cars Buyers DB'!I:I)</f>
        <v>4–6 Kilometre</v>
      </c>
      <c r="J209" s="8" t="str">
        <f>_xlfn.XLOOKUP($A209,'RAWDATA Cars Buyers DB'!$A:$A,'RAWDATA Cars Buyers DB'!J:J)</f>
        <v>Saxony-Anhalt</v>
      </c>
      <c r="K209" s="8">
        <f>_xlfn.XLOOKUP($A209,'RAWDATA Cars Buyers DB'!$A:$A,'RAWDATA Cars Buyers DB'!K:K)</f>
        <v>52</v>
      </c>
      <c r="L209" s="10" t="str">
        <f>IF(_xlfn.XLOOKUP($A209,'RAWDATA Cars Buyers DB'!$A:$A,'RAWDATA Cars Buyers DB'!K:K)&gt;54,"Old ",IF(_xlfn.XLOOKUP($A209,'RAWDATA Cars Buyers DB'!$A:$A,'RAWDATA Cars Buyers DB'!K:K)&gt;=31,"Middle Age ",IF(_xlfn.XLOOKUP($A209,'RAWDATA Cars Buyers DB'!$A:$A,'RAWDATA Cars Buyers DB'!K:K)&lt;31,"Adolescent","Invalid")))</f>
        <v xml:space="preserve">Middle Age </v>
      </c>
      <c r="M209" s="8" t="str">
        <f>_xlfn.XLOOKUP($A209,'RAWDATA Cars Buyers DB'!$A:$A,'RAWDATA Cars Buyers DB'!L:L)</f>
        <v>No</v>
      </c>
    </row>
    <row r="210" spans="1:13">
      <c r="A210" s="6">
        <v>77863</v>
      </c>
      <c r="B210" s="10" t="str">
        <f>IF(_xlfn.XLOOKUP($A210,'RAWDATA Cars Buyers DB'!$A:$A,'RAWDATA Cars Buyers DB'!B:B)="S","Single","Married")</f>
        <v>Single</v>
      </c>
      <c r="C210" s="10" t="str">
        <f>IF(_xlfn.XLOOKUP($A210,'RAWDATA Cars Buyers DB'!$A:$A,'RAWDATA Cars Buyers DB'!C:C)="F","Female","Male")</f>
        <v>Male</v>
      </c>
      <c r="D210" s="7">
        <f>_xlfn.XLOOKUP($A210,'RAWDATA Cars Buyers DB'!$A:$A,'RAWDATA Cars Buyers DB'!D:D)</f>
        <v>67093</v>
      </c>
      <c r="E210" s="8">
        <f>_xlfn.XLOOKUP($A210,'RAWDATA Cars Buyers DB'!$A:$A,'RAWDATA Cars Buyers DB'!E:E)</f>
        <v>5</v>
      </c>
      <c r="F210" s="8" t="str">
        <f>_xlfn.XLOOKUP($A210,'RAWDATA Cars Buyers DB'!$A:$A,'RAWDATA Cars Buyers DB'!F:F)</f>
        <v>Graduate Degree</v>
      </c>
      <c r="G210" s="8" t="str">
        <f>_xlfn.XLOOKUP($A210,'RAWDATA Cars Buyers DB'!$A:$A,'RAWDATA Cars Buyers DB'!G:G)</f>
        <v>Skilled Manual</v>
      </c>
      <c r="H210" s="8" t="str">
        <f>_xlfn.XLOOKUP($A210,'RAWDATA Cars Buyers DB'!$A:$A,'RAWDATA Cars Buyers DB'!H:H)</f>
        <v>No</v>
      </c>
      <c r="I210" s="8" t="str">
        <f>_xlfn.XLOOKUP($A210,'RAWDATA Cars Buyers DB'!$A:$A,'RAWDATA Cars Buyers DB'!I:I)</f>
        <v>4–6 Kilometre</v>
      </c>
      <c r="J210" s="8" t="str">
        <f>_xlfn.XLOOKUP($A210,'RAWDATA Cars Buyers DB'!$A:$A,'RAWDATA Cars Buyers DB'!J:J)</f>
        <v>Mecklenburg-Vorpommern</v>
      </c>
      <c r="K210" s="8">
        <f>_xlfn.XLOOKUP($A210,'RAWDATA Cars Buyers DB'!$A:$A,'RAWDATA Cars Buyers DB'!K:K)</f>
        <v>35</v>
      </c>
      <c r="L210" s="10" t="str">
        <f>IF(_xlfn.XLOOKUP($A210,'RAWDATA Cars Buyers DB'!$A:$A,'RAWDATA Cars Buyers DB'!K:K)&gt;54,"Old ",IF(_xlfn.XLOOKUP($A210,'RAWDATA Cars Buyers DB'!$A:$A,'RAWDATA Cars Buyers DB'!K:K)&gt;=31,"Middle Age ",IF(_xlfn.XLOOKUP($A210,'RAWDATA Cars Buyers DB'!$A:$A,'RAWDATA Cars Buyers DB'!K:K)&lt;31,"Adolescent","Invalid")))</f>
        <v xml:space="preserve">Middle Age </v>
      </c>
      <c r="M210" s="8" t="str">
        <f>_xlfn.XLOOKUP($A210,'RAWDATA Cars Buyers DB'!$A:$A,'RAWDATA Cars Buyers DB'!L:L)</f>
        <v>Yes</v>
      </c>
    </row>
    <row r="211" spans="1:13">
      <c r="A211" s="6">
        <v>62083</v>
      </c>
      <c r="B211" s="10" t="str">
        <f>IF(_xlfn.XLOOKUP($A211,'RAWDATA Cars Buyers DB'!$A:$A,'RAWDATA Cars Buyers DB'!B:B)="S","Single","Married")</f>
        <v>Married</v>
      </c>
      <c r="C211" s="10" t="str">
        <f>IF(_xlfn.XLOOKUP($A211,'RAWDATA Cars Buyers DB'!$A:$A,'RAWDATA Cars Buyers DB'!C:C)="F","Female","Male")</f>
        <v>Female</v>
      </c>
      <c r="D211" s="7">
        <f>_xlfn.XLOOKUP($A211,'RAWDATA Cars Buyers DB'!$A:$A,'RAWDATA Cars Buyers DB'!D:D)</f>
        <v>57226</v>
      </c>
      <c r="E211" s="8">
        <f>_xlfn.XLOOKUP($A211,'RAWDATA Cars Buyers DB'!$A:$A,'RAWDATA Cars Buyers DB'!E:E)</f>
        <v>2</v>
      </c>
      <c r="F211" s="8" t="str">
        <f>_xlfn.XLOOKUP($A211,'RAWDATA Cars Buyers DB'!$A:$A,'RAWDATA Cars Buyers DB'!F:F)</f>
        <v>High School</v>
      </c>
      <c r="G211" s="8" t="str">
        <f>_xlfn.XLOOKUP($A211,'RAWDATA Cars Buyers DB'!$A:$A,'RAWDATA Cars Buyers DB'!G:G)</f>
        <v>Management</v>
      </c>
      <c r="H211" s="8" t="str">
        <f>_xlfn.XLOOKUP($A211,'RAWDATA Cars Buyers DB'!$A:$A,'RAWDATA Cars Buyers DB'!H:H)</f>
        <v>No</v>
      </c>
      <c r="I211" s="8" t="str">
        <f>_xlfn.XLOOKUP($A211,'RAWDATA Cars Buyers DB'!$A:$A,'RAWDATA Cars Buyers DB'!I:I)</f>
        <v>4–6 Kilometre</v>
      </c>
      <c r="J211" s="8" t="str">
        <f>_xlfn.XLOOKUP($A211,'RAWDATA Cars Buyers DB'!$A:$A,'RAWDATA Cars Buyers DB'!J:J)</f>
        <v>Mecklenburg-Vorpommern</v>
      </c>
      <c r="K211" s="8">
        <f>_xlfn.XLOOKUP($A211,'RAWDATA Cars Buyers DB'!$A:$A,'RAWDATA Cars Buyers DB'!K:K)</f>
        <v>30</v>
      </c>
      <c r="L211" s="10" t="str">
        <f>IF(_xlfn.XLOOKUP($A211,'RAWDATA Cars Buyers DB'!$A:$A,'RAWDATA Cars Buyers DB'!K:K)&gt;54,"Old ",IF(_xlfn.XLOOKUP($A211,'RAWDATA Cars Buyers DB'!$A:$A,'RAWDATA Cars Buyers DB'!K:K)&gt;=31,"Middle Age ",IF(_xlfn.XLOOKUP($A211,'RAWDATA Cars Buyers DB'!$A:$A,'RAWDATA Cars Buyers DB'!K:K)&lt;31,"Adolescent","Invalid")))</f>
        <v>Adolescent</v>
      </c>
      <c r="M211" s="8" t="str">
        <f>_xlfn.XLOOKUP($A211,'RAWDATA Cars Buyers DB'!$A:$A,'RAWDATA Cars Buyers DB'!L:L)</f>
        <v>No</v>
      </c>
    </row>
    <row r="212" spans="1:13">
      <c r="A212" s="6">
        <v>75733</v>
      </c>
      <c r="B212" s="10" t="str">
        <f>IF(_xlfn.XLOOKUP($A212,'RAWDATA Cars Buyers DB'!$A:$A,'RAWDATA Cars Buyers DB'!B:B)="S","Single","Married")</f>
        <v>Married</v>
      </c>
      <c r="C212" s="10" t="str">
        <f>IF(_xlfn.XLOOKUP($A212,'RAWDATA Cars Buyers DB'!$A:$A,'RAWDATA Cars Buyers DB'!C:C)="F","Female","Male")</f>
        <v>Male</v>
      </c>
      <c r="D212" s="7">
        <f>_xlfn.XLOOKUP($A212,'RAWDATA Cars Buyers DB'!$A:$A,'RAWDATA Cars Buyers DB'!D:D)</f>
        <v>92127</v>
      </c>
      <c r="E212" s="8">
        <f>_xlfn.XLOOKUP($A212,'RAWDATA Cars Buyers DB'!$A:$A,'RAWDATA Cars Buyers DB'!E:E)</f>
        <v>4</v>
      </c>
      <c r="F212" s="8" t="str">
        <f>_xlfn.XLOOKUP($A212,'RAWDATA Cars Buyers DB'!$A:$A,'RAWDATA Cars Buyers DB'!F:F)</f>
        <v>High School</v>
      </c>
      <c r="G212" s="8" t="str">
        <f>_xlfn.XLOOKUP($A212,'RAWDATA Cars Buyers DB'!$A:$A,'RAWDATA Cars Buyers DB'!G:G)</f>
        <v>Clerical</v>
      </c>
      <c r="H212" s="8" t="str">
        <f>_xlfn.XLOOKUP($A212,'RAWDATA Cars Buyers DB'!$A:$A,'RAWDATA Cars Buyers DB'!H:H)</f>
        <v>Yes</v>
      </c>
      <c r="I212" s="8" t="str">
        <f>_xlfn.XLOOKUP($A212,'RAWDATA Cars Buyers DB'!$A:$A,'RAWDATA Cars Buyers DB'!I:I)</f>
        <v>6+ Kilometre</v>
      </c>
      <c r="J212" s="8" t="str">
        <f>_xlfn.XLOOKUP($A212,'RAWDATA Cars Buyers DB'!$A:$A,'RAWDATA Cars Buyers DB'!J:J)</f>
        <v>Saxony</v>
      </c>
      <c r="K212" s="8">
        <f>_xlfn.XLOOKUP($A212,'RAWDATA Cars Buyers DB'!$A:$A,'RAWDATA Cars Buyers DB'!K:K)</f>
        <v>39</v>
      </c>
      <c r="L212" s="10" t="str">
        <f>IF(_xlfn.XLOOKUP($A212,'RAWDATA Cars Buyers DB'!$A:$A,'RAWDATA Cars Buyers DB'!K:K)&gt;54,"Old ",IF(_xlfn.XLOOKUP($A212,'RAWDATA Cars Buyers DB'!$A:$A,'RAWDATA Cars Buyers DB'!K:K)&gt;=31,"Middle Age ",IF(_xlfn.XLOOKUP($A212,'RAWDATA Cars Buyers DB'!$A:$A,'RAWDATA Cars Buyers DB'!K:K)&lt;31,"Adolescent","Invalid")))</f>
        <v xml:space="preserve">Middle Age </v>
      </c>
      <c r="M212" s="8" t="str">
        <f>_xlfn.XLOOKUP($A212,'RAWDATA Cars Buyers DB'!$A:$A,'RAWDATA Cars Buyers DB'!L:L)</f>
        <v>No</v>
      </c>
    </row>
    <row r="213" spans="1:13">
      <c r="A213" s="6">
        <v>99045</v>
      </c>
      <c r="B213" s="10" t="str">
        <f>IF(_xlfn.XLOOKUP($A213,'RAWDATA Cars Buyers DB'!$A:$A,'RAWDATA Cars Buyers DB'!B:B)="S","Single","Married")</f>
        <v>Single</v>
      </c>
      <c r="C213" s="10" t="str">
        <f>IF(_xlfn.XLOOKUP($A213,'RAWDATA Cars Buyers DB'!$A:$A,'RAWDATA Cars Buyers DB'!C:C)="F","Female","Male")</f>
        <v>Male</v>
      </c>
      <c r="D213" s="7">
        <f>_xlfn.XLOOKUP($A213,'RAWDATA Cars Buyers DB'!$A:$A,'RAWDATA Cars Buyers DB'!D:D)</f>
        <v>111369</v>
      </c>
      <c r="E213" s="8">
        <f>_xlfn.XLOOKUP($A213,'RAWDATA Cars Buyers DB'!$A:$A,'RAWDATA Cars Buyers DB'!E:E)</f>
        <v>2</v>
      </c>
      <c r="F213" s="8" t="str">
        <f>_xlfn.XLOOKUP($A213,'RAWDATA Cars Buyers DB'!$A:$A,'RAWDATA Cars Buyers DB'!F:F)</f>
        <v>Graduate Degree</v>
      </c>
      <c r="G213" s="8" t="str">
        <f>_xlfn.XLOOKUP($A213,'RAWDATA Cars Buyers DB'!$A:$A,'RAWDATA Cars Buyers DB'!G:G)</f>
        <v>Clerical</v>
      </c>
      <c r="H213" s="8" t="str">
        <f>_xlfn.XLOOKUP($A213,'RAWDATA Cars Buyers DB'!$A:$A,'RAWDATA Cars Buyers DB'!H:H)</f>
        <v>No</v>
      </c>
      <c r="I213" s="8" t="str">
        <f>_xlfn.XLOOKUP($A213,'RAWDATA Cars Buyers DB'!$A:$A,'RAWDATA Cars Buyers DB'!I:I)</f>
        <v>2–4 Kilometre</v>
      </c>
      <c r="J213" s="8" t="str">
        <f>_xlfn.XLOOKUP($A213,'RAWDATA Cars Buyers DB'!$A:$A,'RAWDATA Cars Buyers DB'!J:J)</f>
        <v>North Rhine-Westphalia</v>
      </c>
      <c r="K213" s="8">
        <f>_xlfn.XLOOKUP($A213,'RAWDATA Cars Buyers DB'!$A:$A,'RAWDATA Cars Buyers DB'!K:K)</f>
        <v>57</v>
      </c>
      <c r="L213" s="10" t="str">
        <f>IF(_xlfn.XLOOKUP($A213,'RAWDATA Cars Buyers DB'!$A:$A,'RAWDATA Cars Buyers DB'!K:K)&gt;54,"Old ",IF(_xlfn.XLOOKUP($A213,'RAWDATA Cars Buyers DB'!$A:$A,'RAWDATA Cars Buyers DB'!K:K)&gt;=31,"Middle Age ",IF(_xlfn.XLOOKUP($A213,'RAWDATA Cars Buyers DB'!$A:$A,'RAWDATA Cars Buyers DB'!K:K)&lt;31,"Adolescent","Invalid")))</f>
        <v xml:space="preserve">Old </v>
      </c>
      <c r="M213" s="8" t="str">
        <f>_xlfn.XLOOKUP($A213,'RAWDATA Cars Buyers DB'!$A:$A,'RAWDATA Cars Buyers DB'!L:L)</f>
        <v>Yes</v>
      </c>
    </row>
    <row r="214" spans="1:13">
      <c r="A214" s="6">
        <v>44698</v>
      </c>
      <c r="B214" s="10" t="str">
        <f>IF(_xlfn.XLOOKUP($A214,'RAWDATA Cars Buyers DB'!$A:$A,'RAWDATA Cars Buyers DB'!B:B)="S","Single","Married")</f>
        <v>Married</v>
      </c>
      <c r="C214" s="10" t="str">
        <f>IF(_xlfn.XLOOKUP($A214,'RAWDATA Cars Buyers DB'!$A:$A,'RAWDATA Cars Buyers DB'!C:C)="F","Female","Male")</f>
        <v>Female</v>
      </c>
      <c r="D214" s="7">
        <f>_xlfn.XLOOKUP($A214,'RAWDATA Cars Buyers DB'!$A:$A,'RAWDATA Cars Buyers DB'!D:D)</f>
        <v>97362</v>
      </c>
      <c r="E214" s="8">
        <f>_xlfn.XLOOKUP($A214,'RAWDATA Cars Buyers DB'!$A:$A,'RAWDATA Cars Buyers DB'!E:E)</f>
        <v>5</v>
      </c>
      <c r="F214" s="8" t="str">
        <f>_xlfn.XLOOKUP($A214,'RAWDATA Cars Buyers DB'!$A:$A,'RAWDATA Cars Buyers DB'!F:F)</f>
        <v>Partial College</v>
      </c>
      <c r="G214" s="8" t="str">
        <f>_xlfn.XLOOKUP($A214,'RAWDATA Cars Buyers DB'!$A:$A,'RAWDATA Cars Buyers DB'!G:G)</f>
        <v>Professional</v>
      </c>
      <c r="H214" s="8" t="str">
        <f>_xlfn.XLOOKUP($A214,'RAWDATA Cars Buyers DB'!$A:$A,'RAWDATA Cars Buyers DB'!H:H)</f>
        <v>Yes</v>
      </c>
      <c r="I214" s="8" t="str">
        <f>_xlfn.XLOOKUP($A214,'RAWDATA Cars Buyers DB'!$A:$A,'RAWDATA Cars Buyers DB'!I:I)</f>
        <v>1–2 Kilometre</v>
      </c>
      <c r="J214" s="8" t="str">
        <f>_xlfn.XLOOKUP($A214,'RAWDATA Cars Buyers DB'!$A:$A,'RAWDATA Cars Buyers DB'!J:J)</f>
        <v>Brandenburg</v>
      </c>
      <c r="K214" s="8">
        <f>_xlfn.XLOOKUP($A214,'RAWDATA Cars Buyers DB'!$A:$A,'RAWDATA Cars Buyers DB'!K:K)</f>
        <v>43</v>
      </c>
      <c r="L214" s="10" t="str">
        <f>IF(_xlfn.XLOOKUP($A214,'RAWDATA Cars Buyers DB'!$A:$A,'RAWDATA Cars Buyers DB'!K:K)&gt;54,"Old ",IF(_xlfn.XLOOKUP($A214,'RAWDATA Cars Buyers DB'!$A:$A,'RAWDATA Cars Buyers DB'!K:K)&gt;=31,"Middle Age ",IF(_xlfn.XLOOKUP($A214,'RAWDATA Cars Buyers DB'!$A:$A,'RAWDATA Cars Buyers DB'!K:K)&lt;31,"Adolescent","Invalid")))</f>
        <v xml:space="preserve">Middle Age </v>
      </c>
      <c r="M214" s="8" t="str">
        <f>_xlfn.XLOOKUP($A214,'RAWDATA Cars Buyers DB'!$A:$A,'RAWDATA Cars Buyers DB'!L:L)</f>
        <v>Yes</v>
      </c>
    </row>
    <row r="215" spans="1:13">
      <c r="A215" s="6">
        <v>90623</v>
      </c>
      <c r="B215" s="10" t="str">
        <f>IF(_xlfn.XLOOKUP($A215,'RAWDATA Cars Buyers DB'!$A:$A,'RAWDATA Cars Buyers DB'!B:B)="S","Single","Married")</f>
        <v>Married</v>
      </c>
      <c r="C215" s="10" t="str">
        <f>IF(_xlfn.XLOOKUP($A215,'RAWDATA Cars Buyers DB'!$A:$A,'RAWDATA Cars Buyers DB'!C:C)="F","Female","Male")</f>
        <v>Male</v>
      </c>
      <c r="D215" s="7">
        <f>_xlfn.XLOOKUP($A215,'RAWDATA Cars Buyers DB'!$A:$A,'RAWDATA Cars Buyers DB'!D:D)</f>
        <v>46417</v>
      </c>
      <c r="E215" s="8">
        <f>_xlfn.XLOOKUP($A215,'RAWDATA Cars Buyers DB'!$A:$A,'RAWDATA Cars Buyers DB'!E:E)</f>
        <v>3</v>
      </c>
      <c r="F215" s="8" t="str">
        <f>_xlfn.XLOOKUP($A215,'RAWDATA Cars Buyers DB'!$A:$A,'RAWDATA Cars Buyers DB'!F:F)</f>
        <v>Bachelors</v>
      </c>
      <c r="G215" s="8" t="str">
        <f>_xlfn.XLOOKUP($A215,'RAWDATA Cars Buyers DB'!$A:$A,'RAWDATA Cars Buyers DB'!G:G)</f>
        <v>Skilled Manual</v>
      </c>
      <c r="H215" s="8" t="str">
        <f>_xlfn.XLOOKUP($A215,'RAWDATA Cars Buyers DB'!$A:$A,'RAWDATA Cars Buyers DB'!H:H)</f>
        <v>No</v>
      </c>
      <c r="I215" s="8" t="str">
        <f>_xlfn.XLOOKUP($A215,'RAWDATA Cars Buyers DB'!$A:$A,'RAWDATA Cars Buyers DB'!I:I)</f>
        <v>2–4 Kilometre</v>
      </c>
      <c r="J215" s="8" t="str">
        <f>_xlfn.XLOOKUP($A215,'RAWDATA Cars Buyers DB'!$A:$A,'RAWDATA Cars Buyers DB'!J:J)</f>
        <v>Mecklenburg-Vorpommern</v>
      </c>
      <c r="K215" s="8">
        <f>_xlfn.XLOOKUP($A215,'RAWDATA Cars Buyers DB'!$A:$A,'RAWDATA Cars Buyers DB'!K:K)</f>
        <v>35</v>
      </c>
      <c r="L215" s="10" t="str">
        <f>IF(_xlfn.XLOOKUP($A215,'RAWDATA Cars Buyers DB'!$A:$A,'RAWDATA Cars Buyers DB'!K:K)&gt;54,"Old ",IF(_xlfn.XLOOKUP($A215,'RAWDATA Cars Buyers DB'!$A:$A,'RAWDATA Cars Buyers DB'!K:K)&gt;=31,"Middle Age ",IF(_xlfn.XLOOKUP($A215,'RAWDATA Cars Buyers DB'!$A:$A,'RAWDATA Cars Buyers DB'!K:K)&lt;31,"Adolescent","Invalid")))</f>
        <v xml:space="preserve">Middle Age </v>
      </c>
      <c r="M215" s="8" t="str">
        <f>_xlfn.XLOOKUP($A215,'RAWDATA Cars Buyers DB'!$A:$A,'RAWDATA Cars Buyers DB'!L:L)</f>
        <v>No</v>
      </c>
    </row>
    <row r="216" spans="1:13">
      <c r="A216" s="6">
        <v>32671</v>
      </c>
      <c r="B216" s="10" t="str">
        <f>IF(_xlfn.XLOOKUP($A216,'RAWDATA Cars Buyers DB'!$A:$A,'RAWDATA Cars Buyers DB'!B:B)="S","Single","Married")</f>
        <v>Single</v>
      </c>
      <c r="C216" s="10" t="str">
        <f>IF(_xlfn.XLOOKUP($A216,'RAWDATA Cars Buyers DB'!$A:$A,'RAWDATA Cars Buyers DB'!C:C)="F","Female","Male")</f>
        <v>Male</v>
      </c>
      <c r="D216" s="7">
        <f>_xlfn.XLOOKUP($A216,'RAWDATA Cars Buyers DB'!$A:$A,'RAWDATA Cars Buyers DB'!D:D)</f>
        <v>38693</v>
      </c>
      <c r="E216" s="8">
        <f>_xlfn.XLOOKUP($A216,'RAWDATA Cars Buyers DB'!$A:$A,'RAWDATA Cars Buyers DB'!E:E)</f>
        <v>1</v>
      </c>
      <c r="F216" s="8" t="str">
        <f>_xlfn.XLOOKUP($A216,'RAWDATA Cars Buyers DB'!$A:$A,'RAWDATA Cars Buyers DB'!F:F)</f>
        <v>Partial College</v>
      </c>
      <c r="G216" s="8" t="str">
        <f>_xlfn.XLOOKUP($A216,'RAWDATA Cars Buyers DB'!$A:$A,'RAWDATA Cars Buyers DB'!G:G)</f>
        <v>Management</v>
      </c>
      <c r="H216" s="8" t="str">
        <f>_xlfn.XLOOKUP($A216,'RAWDATA Cars Buyers DB'!$A:$A,'RAWDATA Cars Buyers DB'!H:H)</f>
        <v>No</v>
      </c>
      <c r="I216" s="8" t="str">
        <f>_xlfn.XLOOKUP($A216,'RAWDATA Cars Buyers DB'!$A:$A,'RAWDATA Cars Buyers DB'!I:I)</f>
        <v>6+ Kilometre</v>
      </c>
      <c r="J216" s="8" t="str">
        <f>_xlfn.XLOOKUP($A216,'RAWDATA Cars Buyers DB'!$A:$A,'RAWDATA Cars Buyers DB'!J:J)</f>
        <v>Mecklenburg-Vorpommern</v>
      </c>
      <c r="K216" s="8">
        <f>_xlfn.XLOOKUP($A216,'RAWDATA Cars Buyers DB'!$A:$A,'RAWDATA Cars Buyers DB'!K:K)</f>
        <v>49</v>
      </c>
      <c r="L216" s="10" t="str">
        <f>IF(_xlfn.XLOOKUP($A216,'RAWDATA Cars Buyers DB'!$A:$A,'RAWDATA Cars Buyers DB'!K:K)&gt;54,"Old ",IF(_xlfn.XLOOKUP($A216,'RAWDATA Cars Buyers DB'!$A:$A,'RAWDATA Cars Buyers DB'!K:K)&gt;=31,"Middle Age ",IF(_xlfn.XLOOKUP($A216,'RAWDATA Cars Buyers DB'!$A:$A,'RAWDATA Cars Buyers DB'!K:K)&lt;31,"Adolescent","Invalid")))</f>
        <v xml:space="preserve">Middle Age </v>
      </c>
      <c r="M216" s="8" t="str">
        <f>_xlfn.XLOOKUP($A216,'RAWDATA Cars Buyers DB'!$A:$A,'RAWDATA Cars Buyers DB'!L:L)</f>
        <v>Yes</v>
      </c>
    </row>
    <row r="217" spans="1:13">
      <c r="A217" s="6">
        <v>35184</v>
      </c>
      <c r="B217" s="10" t="str">
        <f>IF(_xlfn.XLOOKUP($A217,'RAWDATA Cars Buyers DB'!$A:$A,'RAWDATA Cars Buyers DB'!B:B)="S","Single","Married")</f>
        <v>Married</v>
      </c>
      <c r="C217" s="10" t="str">
        <f>IF(_xlfn.XLOOKUP($A217,'RAWDATA Cars Buyers DB'!$A:$A,'RAWDATA Cars Buyers DB'!C:C)="F","Female","Male")</f>
        <v>Male</v>
      </c>
      <c r="D217" s="7">
        <f>_xlfn.XLOOKUP($A217,'RAWDATA Cars Buyers DB'!$A:$A,'RAWDATA Cars Buyers DB'!D:D)</f>
        <v>99674</v>
      </c>
      <c r="E217" s="8">
        <f>_xlfn.XLOOKUP($A217,'RAWDATA Cars Buyers DB'!$A:$A,'RAWDATA Cars Buyers DB'!E:E)</f>
        <v>5</v>
      </c>
      <c r="F217" s="8" t="str">
        <f>_xlfn.XLOOKUP($A217,'RAWDATA Cars Buyers DB'!$A:$A,'RAWDATA Cars Buyers DB'!F:F)</f>
        <v>Bachelors</v>
      </c>
      <c r="G217" s="8" t="str">
        <f>_xlfn.XLOOKUP($A217,'RAWDATA Cars Buyers DB'!$A:$A,'RAWDATA Cars Buyers DB'!G:G)</f>
        <v>Clerical</v>
      </c>
      <c r="H217" s="8" t="str">
        <f>_xlfn.XLOOKUP($A217,'RAWDATA Cars Buyers DB'!$A:$A,'RAWDATA Cars Buyers DB'!H:H)</f>
        <v>No</v>
      </c>
      <c r="I217" s="8" t="str">
        <f>_xlfn.XLOOKUP($A217,'RAWDATA Cars Buyers DB'!$A:$A,'RAWDATA Cars Buyers DB'!I:I)</f>
        <v>4–6 Kilometre</v>
      </c>
      <c r="J217" s="8" t="str">
        <f>_xlfn.XLOOKUP($A217,'RAWDATA Cars Buyers DB'!$A:$A,'RAWDATA Cars Buyers DB'!J:J)</f>
        <v>Bremen</v>
      </c>
      <c r="K217" s="8">
        <f>_xlfn.XLOOKUP($A217,'RAWDATA Cars Buyers DB'!$A:$A,'RAWDATA Cars Buyers DB'!K:K)</f>
        <v>53</v>
      </c>
      <c r="L217" s="10" t="str">
        <f>IF(_xlfn.XLOOKUP($A217,'RAWDATA Cars Buyers DB'!$A:$A,'RAWDATA Cars Buyers DB'!K:K)&gt;54,"Old ",IF(_xlfn.XLOOKUP($A217,'RAWDATA Cars Buyers DB'!$A:$A,'RAWDATA Cars Buyers DB'!K:K)&gt;=31,"Middle Age ",IF(_xlfn.XLOOKUP($A217,'RAWDATA Cars Buyers DB'!$A:$A,'RAWDATA Cars Buyers DB'!K:K)&lt;31,"Adolescent","Invalid")))</f>
        <v xml:space="preserve">Middle Age </v>
      </c>
      <c r="M217" s="8" t="str">
        <f>_xlfn.XLOOKUP($A217,'RAWDATA Cars Buyers DB'!$A:$A,'RAWDATA Cars Buyers DB'!L:L)</f>
        <v>Yes</v>
      </c>
    </row>
    <row r="218" spans="1:13">
      <c r="A218" s="6">
        <v>52107</v>
      </c>
      <c r="B218" s="10" t="str">
        <f>IF(_xlfn.XLOOKUP($A218,'RAWDATA Cars Buyers DB'!$A:$A,'RAWDATA Cars Buyers DB'!B:B)="S","Single","Married")</f>
        <v>Single</v>
      </c>
      <c r="C218" s="10" t="str">
        <f>IF(_xlfn.XLOOKUP($A218,'RAWDATA Cars Buyers DB'!$A:$A,'RAWDATA Cars Buyers DB'!C:C)="F","Female","Male")</f>
        <v>Female</v>
      </c>
      <c r="D218" s="7">
        <f>_xlfn.XLOOKUP($A218,'RAWDATA Cars Buyers DB'!$A:$A,'RAWDATA Cars Buyers DB'!D:D)</f>
        <v>73161</v>
      </c>
      <c r="E218" s="8">
        <f>_xlfn.XLOOKUP($A218,'RAWDATA Cars Buyers DB'!$A:$A,'RAWDATA Cars Buyers DB'!E:E)</f>
        <v>0</v>
      </c>
      <c r="F218" s="8" t="str">
        <f>_xlfn.XLOOKUP($A218,'RAWDATA Cars Buyers DB'!$A:$A,'RAWDATA Cars Buyers DB'!F:F)</f>
        <v>Bachelors</v>
      </c>
      <c r="G218" s="8" t="str">
        <f>_xlfn.XLOOKUP($A218,'RAWDATA Cars Buyers DB'!$A:$A,'RAWDATA Cars Buyers DB'!G:G)</f>
        <v>Professional</v>
      </c>
      <c r="H218" s="8" t="str">
        <f>_xlfn.XLOOKUP($A218,'RAWDATA Cars Buyers DB'!$A:$A,'RAWDATA Cars Buyers DB'!H:H)</f>
        <v>No</v>
      </c>
      <c r="I218" s="8" t="str">
        <f>_xlfn.XLOOKUP($A218,'RAWDATA Cars Buyers DB'!$A:$A,'RAWDATA Cars Buyers DB'!I:I)</f>
        <v>1–2 Kilometre</v>
      </c>
      <c r="J218" s="8" t="str">
        <f>_xlfn.XLOOKUP($A218,'RAWDATA Cars Buyers DB'!$A:$A,'RAWDATA Cars Buyers DB'!J:J)</f>
        <v>Lower Saxony</v>
      </c>
      <c r="K218" s="8">
        <f>_xlfn.XLOOKUP($A218,'RAWDATA Cars Buyers DB'!$A:$A,'RAWDATA Cars Buyers DB'!K:K)</f>
        <v>20</v>
      </c>
      <c r="L218" s="10" t="str">
        <f>IF(_xlfn.XLOOKUP($A218,'RAWDATA Cars Buyers DB'!$A:$A,'RAWDATA Cars Buyers DB'!K:K)&gt;54,"Old ",IF(_xlfn.XLOOKUP($A218,'RAWDATA Cars Buyers DB'!$A:$A,'RAWDATA Cars Buyers DB'!K:K)&gt;=31,"Middle Age ",IF(_xlfn.XLOOKUP($A218,'RAWDATA Cars Buyers DB'!$A:$A,'RAWDATA Cars Buyers DB'!K:K)&lt;31,"Adolescent","Invalid")))</f>
        <v>Adolescent</v>
      </c>
      <c r="M218" s="8" t="str">
        <f>_xlfn.XLOOKUP($A218,'RAWDATA Cars Buyers DB'!$A:$A,'RAWDATA Cars Buyers DB'!L:L)</f>
        <v>No</v>
      </c>
    </row>
    <row r="219" spans="1:13">
      <c r="A219" s="6">
        <v>96202</v>
      </c>
      <c r="B219" s="10" t="str">
        <f>IF(_xlfn.XLOOKUP($A219,'RAWDATA Cars Buyers DB'!$A:$A,'RAWDATA Cars Buyers DB'!B:B)="S","Single","Married")</f>
        <v>Married</v>
      </c>
      <c r="C219" s="10" t="str">
        <f>IF(_xlfn.XLOOKUP($A219,'RAWDATA Cars Buyers DB'!$A:$A,'RAWDATA Cars Buyers DB'!C:C)="F","Female","Male")</f>
        <v>Male</v>
      </c>
      <c r="D219" s="7">
        <f>_xlfn.XLOOKUP($A219,'RAWDATA Cars Buyers DB'!$A:$A,'RAWDATA Cars Buyers DB'!D:D)</f>
        <v>22169</v>
      </c>
      <c r="E219" s="8">
        <f>_xlfn.XLOOKUP($A219,'RAWDATA Cars Buyers DB'!$A:$A,'RAWDATA Cars Buyers DB'!E:E)</f>
        <v>4</v>
      </c>
      <c r="F219" s="8" t="str">
        <f>_xlfn.XLOOKUP($A219,'RAWDATA Cars Buyers DB'!$A:$A,'RAWDATA Cars Buyers DB'!F:F)</f>
        <v>Partial College</v>
      </c>
      <c r="G219" s="8" t="str">
        <f>_xlfn.XLOOKUP($A219,'RAWDATA Cars Buyers DB'!$A:$A,'RAWDATA Cars Buyers DB'!G:G)</f>
        <v>Skilled Manual</v>
      </c>
      <c r="H219" s="8" t="str">
        <f>_xlfn.XLOOKUP($A219,'RAWDATA Cars Buyers DB'!$A:$A,'RAWDATA Cars Buyers DB'!H:H)</f>
        <v>Yes</v>
      </c>
      <c r="I219" s="8" t="str">
        <f>_xlfn.XLOOKUP($A219,'RAWDATA Cars Buyers DB'!$A:$A,'RAWDATA Cars Buyers DB'!I:I)</f>
        <v>0–1 Kilometre</v>
      </c>
      <c r="J219" s="8" t="str">
        <f>_xlfn.XLOOKUP($A219,'RAWDATA Cars Buyers DB'!$A:$A,'RAWDATA Cars Buyers DB'!J:J)</f>
        <v>Brandenburg</v>
      </c>
      <c r="K219" s="8">
        <f>_xlfn.XLOOKUP($A219,'RAWDATA Cars Buyers DB'!$A:$A,'RAWDATA Cars Buyers DB'!K:K)</f>
        <v>43</v>
      </c>
      <c r="L219" s="10" t="str">
        <f>IF(_xlfn.XLOOKUP($A219,'RAWDATA Cars Buyers DB'!$A:$A,'RAWDATA Cars Buyers DB'!K:K)&gt;54,"Old ",IF(_xlfn.XLOOKUP($A219,'RAWDATA Cars Buyers DB'!$A:$A,'RAWDATA Cars Buyers DB'!K:K)&gt;=31,"Middle Age ",IF(_xlfn.XLOOKUP($A219,'RAWDATA Cars Buyers DB'!$A:$A,'RAWDATA Cars Buyers DB'!K:K)&lt;31,"Adolescent","Invalid")))</f>
        <v xml:space="preserve">Middle Age </v>
      </c>
      <c r="M219" s="8" t="str">
        <f>_xlfn.XLOOKUP($A219,'RAWDATA Cars Buyers DB'!$A:$A,'RAWDATA Cars Buyers DB'!L:L)</f>
        <v>No</v>
      </c>
    </row>
    <row r="220" spans="1:13">
      <c r="A220" s="6">
        <v>61663</v>
      </c>
      <c r="B220" s="10" t="str">
        <f>IF(_xlfn.XLOOKUP($A220,'RAWDATA Cars Buyers DB'!$A:$A,'RAWDATA Cars Buyers DB'!B:B)="S","Single","Married")</f>
        <v>Single</v>
      </c>
      <c r="C220" s="10" t="str">
        <f>IF(_xlfn.XLOOKUP($A220,'RAWDATA Cars Buyers DB'!$A:$A,'RAWDATA Cars Buyers DB'!C:C)="F","Female","Male")</f>
        <v>Female</v>
      </c>
      <c r="D220" s="7">
        <f>_xlfn.XLOOKUP($A220,'RAWDATA Cars Buyers DB'!$A:$A,'RAWDATA Cars Buyers DB'!D:D)</f>
        <v>104092</v>
      </c>
      <c r="E220" s="8">
        <f>_xlfn.XLOOKUP($A220,'RAWDATA Cars Buyers DB'!$A:$A,'RAWDATA Cars Buyers DB'!E:E)</f>
        <v>3</v>
      </c>
      <c r="F220" s="8" t="str">
        <f>_xlfn.XLOOKUP($A220,'RAWDATA Cars Buyers DB'!$A:$A,'RAWDATA Cars Buyers DB'!F:F)</f>
        <v>Graduate Degree</v>
      </c>
      <c r="G220" s="8" t="str">
        <f>_xlfn.XLOOKUP($A220,'RAWDATA Cars Buyers DB'!$A:$A,'RAWDATA Cars Buyers DB'!G:G)</f>
        <v>Skilled Manual</v>
      </c>
      <c r="H220" s="8" t="str">
        <f>_xlfn.XLOOKUP($A220,'RAWDATA Cars Buyers DB'!$A:$A,'RAWDATA Cars Buyers DB'!H:H)</f>
        <v>No</v>
      </c>
      <c r="I220" s="8" t="str">
        <f>_xlfn.XLOOKUP($A220,'RAWDATA Cars Buyers DB'!$A:$A,'RAWDATA Cars Buyers DB'!I:I)</f>
        <v>0–1 Kilometre</v>
      </c>
      <c r="J220" s="8" t="str">
        <f>_xlfn.XLOOKUP($A220,'RAWDATA Cars Buyers DB'!$A:$A,'RAWDATA Cars Buyers DB'!J:J)</f>
        <v>Bremen</v>
      </c>
      <c r="K220" s="8">
        <f>_xlfn.XLOOKUP($A220,'RAWDATA Cars Buyers DB'!$A:$A,'RAWDATA Cars Buyers DB'!K:K)</f>
        <v>43</v>
      </c>
      <c r="L220" s="10" t="str">
        <f>IF(_xlfn.XLOOKUP($A220,'RAWDATA Cars Buyers DB'!$A:$A,'RAWDATA Cars Buyers DB'!K:K)&gt;54,"Old ",IF(_xlfn.XLOOKUP($A220,'RAWDATA Cars Buyers DB'!$A:$A,'RAWDATA Cars Buyers DB'!K:K)&gt;=31,"Middle Age ",IF(_xlfn.XLOOKUP($A220,'RAWDATA Cars Buyers DB'!$A:$A,'RAWDATA Cars Buyers DB'!K:K)&lt;31,"Adolescent","Invalid")))</f>
        <v xml:space="preserve">Middle Age </v>
      </c>
      <c r="M220" s="8" t="str">
        <f>_xlfn.XLOOKUP($A220,'RAWDATA Cars Buyers DB'!$A:$A,'RAWDATA Cars Buyers DB'!L:L)</f>
        <v>No</v>
      </c>
    </row>
    <row r="221" spans="1:13">
      <c r="A221" s="6">
        <v>25708</v>
      </c>
      <c r="B221" s="10" t="str">
        <f>IF(_xlfn.XLOOKUP($A221,'RAWDATA Cars Buyers DB'!$A:$A,'RAWDATA Cars Buyers DB'!B:B)="S","Single","Married")</f>
        <v>Single</v>
      </c>
      <c r="C221" s="10" t="str">
        <f>IF(_xlfn.XLOOKUP($A221,'RAWDATA Cars Buyers DB'!$A:$A,'RAWDATA Cars Buyers DB'!C:C)="F","Female","Male")</f>
        <v>Male</v>
      </c>
      <c r="D221" s="7">
        <f>_xlfn.XLOOKUP($A221,'RAWDATA Cars Buyers DB'!$A:$A,'RAWDATA Cars Buyers DB'!D:D)</f>
        <v>42052</v>
      </c>
      <c r="E221" s="8">
        <f>_xlfn.XLOOKUP($A221,'RAWDATA Cars Buyers DB'!$A:$A,'RAWDATA Cars Buyers DB'!E:E)</f>
        <v>0</v>
      </c>
      <c r="F221" s="8" t="str">
        <f>_xlfn.XLOOKUP($A221,'RAWDATA Cars Buyers DB'!$A:$A,'RAWDATA Cars Buyers DB'!F:F)</f>
        <v>Graduate Degree</v>
      </c>
      <c r="G221" s="8" t="str">
        <f>_xlfn.XLOOKUP($A221,'RAWDATA Cars Buyers DB'!$A:$A,'RAWDATA Cars Buyers DB'!G:G)</f>
        <v>Professional</v>
      </c>
      <c r="H221" s="8" t="str">
        <f>_xlfn.XLOOKUP($A221,'RAWDATA Cars Buyers DB'!$A:$A,'RAWDATA Cars Buyers DB'!H:H)</f>
        <v>No</v>
      </c>
      <c r="I221" s="8" t="str">
        <f>_xlfn.XLOOKUP($A221,'RAWDATA Cars Buyers DB'!$A:$A,'RAWDATA Cars Buyers DB'!I:I)</f>
        <v>2–4 Kilometre</v>
      </c>
      <c r="J221" s="8" t="str">
        <f>_xlfn.XLOOKUP($A221,'RAWDATA Cars Buyers DB'!$A:$A,'RAWDATA Cars Buyers DB'!J:J)</f>
        <v>Hesse</v>
      </c>
      <c r="K221" s="8">
        <f>_xlfn.XLOOKUP($A221,'RAWDATA Cars Buyers DB'!$A:$A,'RAWDATA Cars Buyers DB'!K:K)</f>
        <v>28</v>
      </c>
      <c r="L221" s="10" t="str">
        <f>IF(_xlfn.XLOOKUP($A221,'RAWDATA Cars Buyers DB'!$A:$A,'RAWDATA Cars Buyers DB'!K:K)&gt;54,"Old ",IF(_xlfn.XLOOKUP($A221,'RAWDATA Cars Buyers DB'!$A:$A,'RAWDATA Cars Buyers DB'!K:K)&gt;=31,"Middle Age ",IF(_xlfn.XLOOKUP($A221,'RAWDATA Cars Buyers DB'!$A:$A,'RAWDATA Cars Buyers DB'!K:K)&lt;31,"Adolescent","Invalid")))</f>
        <v>Adolescent</v>
      </c>
      <c r="M221" s="8" t="str">
        <f>_xlfn.XLOOKUP($A221,'RAWDATA Cars Buyers DB'!$A:$A,'RAWDATA Cars Buyers DB'!L:L)</f>
        <v>No</v>
      </c>
    </row>
    <row r="222" spans="1:13">
      <c r="A222" s="6">
        <v>59811</v>
      </c>
      <c r="B222" s="10" t="str">
        <f>IF(_xlfn.XLOOKUP($A222,'RAWDATA Cars Buyers DB'!$A:$A,'RAWDATA Cars Buyers DB'!B:B)="S","Single","Married")</f>
        <v>Single</v>
      </c>
      <c r="C222" s="10" t="str">
        <f>IF(_xlfn.XLOOKUP($A222,'RAWDATA Cars Buyers DB'!$A:$A,'RAWDATA Cars Buyers DB'!C:C)="F","Female","Male")</f>
        <v>Male</v>
      </c>
      <c r="D222" s="7">
        <f>_xlfn.XLOOKUP($A222,'RAWDATA Cars Buyers DB'!$A:$A,'RAWDATA Cars Buyers DB'!D:D)</f>
        <v>91849</v>
      </c>
      <c r="E222" s="8">
        <f>_xlfn.XLOOKUP($A222,'RAWDATA Cars Buyers DB'!$A:$A,'RAWDATA Cars Buyers DB'!E:E)</f>
        <v>0</v>
      </c>
      <c r="F222" s="8" t="str">
        <f>_xlfn.XLOOKUP($A222,'RAWDATA Cars Buyers DB'!$A:$A,'RAWDATA Cars Buyers DB'!F:F)</f>
        <v>Bachelors</v>
      </c>
      <c r="G222" s="8" t="str">
        <f>_xlfn.XLOOKUP($A222,'RAWDATA Cars Buyers DB'!$A:$A,'RAWDATA Cars Buyers DB'!G:G)</f>
        <v>Professional</v>
      </c>
      <c r="H222" s="8" t="str">
        <f>_xlfn.XLOOKUP($A222,'RAWDATA Cars Buyers DB'!$A:$A,'RAWDATA Cars Buyers DB'!H:H)</f>
        <v>Yes</v>
      </c>
      <c r="I222" s="8" t="str">
        <f>_xlfn.XLOOKUP($A222,'RAWDATA Cars Buyers DB'!$A:$A,'RAWDATA Cars Buyers DB'!I:I)</f>
        <v>4–6 Kilometre</v>
      </c>
      <c r="J222" s="8" t="str">
        <f>_xlfn.XLOOKUP($A222,'RAWDATA Cars Buyers DB'!$A:$A,'RAWDATA Cars Buyers DB'!J:J)</f>
        <v>Hamburg</v>
      </c>
      <c r="K222" s="8">
        <f>_xlfn.XLOOKUP($A222,'RAWDATA Cars Buyers DB'!$A:$A,'RAWDATA Cars Buyers DB'!K:K)</f>
        <v>41</v>
      </c>
      <c r="L222" s="10" t="str">
        <f>IF(_xlfn.XLOOKUP($A222,'RAWDATA Cars Buyers DB'!$A:$A,'RAWDATA Cars Buyers DB'!K:K)&gt;54,"Old ",IF(_xlfn.XLOOKUP($A222,'RAWDATA Cars Buyers DB'!$A:$A,'RAWDATA Cars Buyers DB'!K:K)&gt;=31,"Middle Age ",IF(_xlfn.XLOOKUP($A222,'RAWDATA Cars Buyers DB'!$A:$A,'RAWDATA Cars Buyers DB'!K:K)&lt;31,"Adolescent","Invalid")))</f>
        <v xml:space="preserve">Middle Age </v>
      </c>
      <c r="M222" s="8" t="str">
        <f>_xlfn.XLOOKUP($A222,'RAWDATA Cars Buyers DB'!$A:$A,'RAWDATA Cars Buyers DB'!L:L)</f>
        <v>Yes</v>
      </c>
    </row>
    <row r="223" spans="1:13">
      <c r="A223" s="6">
        <v>12811</v>
      </c>
      <c r="B223" s="10" t="str">
        <f>IF(_xlfn.XLOOKUP($A223,'RAWDATA Cars Buyers DB'!$A:$A,'RAWDATA Cars Buyers DB'!B:B)="S","Single","Married")</f>
        <v>Single</v>
      </c>
      <c r="C223" s="10" t="str">
        <f>IF(_xlfn.XLOOKUP($A223,'RAWDATA Cars Buyers DB'!$A:$A,'RAWDATA Cars Buyers DB'!C:C)="F","Female","Male")</f>
        <v>Female</v>
      </c>
      <c r="D223" s="7">
        <f>_xlfn.XLOOKUP($A223,'RAWDATA Cars Buyers DB'!$A:$A,'RAWDATA Cars Buyers DB'!D:D)</f>
        <v>93851</v>
      </c>
      <c r="E223" s="8">
        <f>_xlfn.XLOOKUP($A223,'RAWDATA Cars Buyers DB'!$A:$A,'RAWDATA Cars Buyers DB'!E:E)</f>
        <v>4</v>
      </c>
      <c r="F223" s="8" t="str">
        <f>_xlfn.XLOOKUP($A223,'RAWDATA Cars Buyers DB'!$A:$A,'RAWDATA Cars Buyers DB'!F:F)</f>
        <v>Graduate Degree</v>
      </c>
      <c r="G223" s="8" t="str">
        <f>_xlfn.XLOOKUP($A223,'RAWDATA Cars Buyers DB'!$A:$A,'RAWDATA Cars Buyers DB'!G:G)</f>
        <v>Clerical</v>
      </c>
      <c r="H223" s="8" t="str">
        <f>_xlfn.XLOOKUP($A223,'RAWDATA Cars Buyers DB'!$A:$A,'RAWDATA Cars Buyers DB'!H:H)</f>
        <v>No</v>
      </c>
      <c r="I223" s="8" t="str">
        <f>_xlfn.XLOOKUP($A223,'RAWDATA Cars Buyers DB'!$A:$A,'RAWDATA Cars Buyers DB'!I:I)</f>
        <v>0–1 Kilometre</v>
      </c>
      <c r="J223" s="8" t="str">
        <f>_xlfn.XLOOKUP($A223,'RAWDATA Cars Buyers DB'!$A:$A,'RAWDATA Cars Buyers DB'!J:J)</f>
        <v>Brandenburg</v>
      </c>
      <c r="K223" s="8">
        <f>_xlfn.XLOOKUP($A223,'RAWDATA Cars Buyers DB'!$A:$A,'RAWDATA Cars Buyers DB'!K:K)</f>
        <v>31</v>
      </c>
      <c r="L223" s="10" t="str">
        <f>IF(_xlfn.XLOOKUP($A223,'RAWDATA Cars Buyers DB'!$A:$A,'RAWDATA Cars Buyers DB'!K:K)&gt;54,"Old ",IF(_xlfn.XLOOKUP($A223,'RAWDATA Cars Buyers DB'!$A:$A,'RAWDATA Cars Buyers DB'!K:K)&gt;=31,"Middle Age ",IF(_xlfn.XLOOKUP($A223,'RAWDATA Cars Buyers DB'!$A:$A,'RAWDATA Cars Buyers DB'!K:K)&lt;31,"Adolescent","Invalid")))</f>
        <v xml:space="preserve">Middle Age </v>
      </c>
      <c r="M223" s="8" t="str">
        <f>_xlfn.XLOOKUP($A223,'RAWDATA Cars Buyers DB'!$A:$A,'RAWDATA Cars Buyers DB'!L:L)</f>
        <v>Yes</v>
      </c>
    </row>
    <row r="224" spans="1:13">
      <c r="A224" s="6">
        <v>66250</v>
      </c>
      <c r="B224" s="10" t="str">
        <f>IF(_xlfn.XLOOKUP($A224,'RAWDATA Cars Buyers DB'!$A:$A,'RAWDATA Cars Buyers DB'!B:B)="S","Single","Married")</f>
        <v>Married</v>
      </c>
      <c r="C224" s="10" t="str">
        <f>IF(_xlfn.XLOOKUP($A224,'RAWDATA Cars Buyers DB'!$A:$A,'RAWDATA Cars Buyers DB'!C:C)="F","Female","Male")</f>
        <v>Male</v>
      </c>
      <c r="D224" s="7">
        <f>_xlfn.XLOOKUP($A224,'RAWDATA Cars Buyers DB'!$A:$A,'RAWDATA Cars Buyers DB'!D:D)</f>
        <v>28036</v>
      </c>
      <c r="E224" s="8">
        <f>_xlfn.XLOOKUP($A224,'RAWDATA Cars Buyers DB'!$A:$A,'RAWDATA Cars Buyers DB'!E:E)</f>
        <v>3</v>
      </c>
      <c r="F224" s="8" t="str">
        <f>_xlfn.XLOOKUP($A224,'RAWDATA Cars Buyers DB'!$A:$A,'RAWDATA Cars Buyers DB'!F:F)</f>
        <v>Bachelors</v>
      </c>
      <c r="G224" s="8" t="str">
        <f>_xlfn.XLOOKUP($A224,'RAWDATA Cars Buyers DB'!$A:$A,'RAWDATA Cars Buyers DB'!G:G)</f>
        <v>Management</v>
      </c>
      <c r="H224" s="8" t="str">
        <f>_xlfn.XLOOKUP($A224,'RAWDATA Cars Buyers DB'!$A:$A,'RAWDATA Cars Buyers DB'!H:H)</f>
        <v>Yes</v>
      </c>
      <c r="I224" s="8" t="str">
        <f>_xlfn.XLOOKUP($A224,'RAWDATA Cars Buyers DB'!$A:$A,'RAWDATA Cars Buyers DB'!I:I)</f>
        <v>2–4 Kilometre</v>
      </c>
      <c r="J224" s="8" t="str">
        <f>_xlfn.XLOOKUP($A224,'RAWDATA Cars Buyers DB'!$A:$A,'RAWDATA Cars Buyers DB'!J:J)</f>
        <v>Brandenburg</v>
      </c>
      <c r="K224" s="8">
        <f>_xlfn.XLOOKUP($A224,'RAWDATA Cars Buyers DB'!$A:$A,'RAWDATA Cars Buyers DB'!K:K)</f>
        <v>36</v>
      </c>
      <c r="L224" s="10" t="str">
        <f>IF(_xlfn.XLOOKUP($A224,'RAWDATA Cars Buyers DB'!$A:$A,'RAWDATA Cars Buyers DB'!K:K)&gt;54,"Old ",IF(_xlfn.XLOOKUP($A224,'RAWDATA Cars Buyers DB'!$A:$A,'RAWDATA Cars Buyers DB'!K:K)&gt;=31,"Middle Age ",IF(_xlfn.XLOOKUP($A224,'RAWDATA Cars Buyers DB'!$A:$A,'RAWDATA Cars Buyers DB'!K:K)&lt;31,"Adolescent","Invalid")))</f>
        <v xml:space="preserve">Middle Age </v>
      </c>
      <c r="M224" s="8" t="str">
        <f>_xlfn.XLOOKUP($A224,'RAWDATA Cars Buyers DB'!$A:$A,'RAWDATA Cars Buyers DB'!L:L)</f>
        <v>No</v>
      </c>
    </row>
    <row r="225" spans="1:13">
      <c r="A225" s="6">
        <v>82082</v>
      </c>
      <c r="B225" s="10" t="str">
        <f>IF(_xlfn.XLOOKUP($A225,'RAWDATA Cars Buyers DB'!$A:$A,'RAWDATA Cars Buyers DB'!B:B)="S","Single","Married")</f>
        <v>Single</v>
      </c>
      <c r="C225" s="10" t="str">
        <f>IF(_xlfn.XLOOKUP($A225,'RAWDATA Cars Buyers DB'!$A:$A,'RAWDATA Cars Buyers DB'!C:C)="F","Female","Male")</f>
        <v>Male</v>
      </c>
      <c r="D225" s="7">
        <f>_xlfn.XLOOKUP($A225,'RAWDATA Cars Buyers DB'!$A:$A,'RAWDATA Cars Buyers DB'!D:D)</f>
        <v>51778</v>
      </c>
      <c r="E225" s="8">
        <f>_xlfn.XLOOKUP($A225,'RAWDATA Cars Buyers DB'!$A:$A,'RAWDATA Cars Buyers DB'!E:E)</f>
        <v>0</v>
      </c>
      <c r="F225" s="8" t="str">
        <f>_xlfn.XLOOKUP($A225,'RAWDATA Cars Buyers DB'!$A:$A,'RAWDATA Cars Buyers DB'!F:F)</f>
        <v>Graduate Degree</v>
      </c>
      <c r="G225" s="8" t="str">
        <f>_xlfn.XLOOKUP($A225,'RAWDATA Cars Buyers DB'!$A:$A,'RAWDATA Cars Buyers DB'!G:G)</f>
        <v>Skilled Manual</v>
      </c>
      <c r="H225" s="8" t="str">
        <f>_xlfn.XLOOKUP($A225,'RAWDATA Cars Buyers DB'!$A:$A,'RAWDATA Cars Buyers DB'!H:H)</f>
        <v>Yes</v>
      </c>
      <c r="I225" s="8" t="str">
        <f>_xlfn.XLOOKUP($A225,'RAWDATA Cars Buyers DB'!$A:$A,'RAWDATA Cars Buyers DB'!I:I)</f>
        <v>6+ Kilometre</v>
      </c>
      <c r="J225" s="8" t="str">
        <f>_xlfn.XLOOKUP($A225,'RAWDATA Cars Buyers DB'!$A:$A,'RAWDATA Cars Buyers DB'!J:J)</f>
        <v>Lower Saxony</v>
      </c>
      <c r="K225" s="8">
        <f>_xlfn.XLOOKUP($A225,'RAWDATA Cars Buyers DB'!$A:$A,'RAWDATA Cars Buyers DB'!K:K)</f>
        <v>44</v>
      </c>
      <c r="L225" s="10" t="str">
        <f>IF(_xlfn.XLOOKUP($A225,'RAWDATA Cars Buyers DB'!$A:$A,'RAWDATA Cars Buyers DB'!K:K)&gt;54,"Old ",IF(_xlfn.XLOOKUP($A225,'RAWDATA Cars Buyers DB'!$A:$A,'RAWDATA Cars Buyers DB'!K:K)&gt;=31,"Middle Age ",IF(_xlfn.XLOOKUP($A225,'RAWDATA Cars Buyers DB'!$A:$A,'RAWDATA Cars Buyers DB'!K:K)&lt;31,"Adolescent","Invalid")))</f>
        <v xml:space="preserve">Middle Age </v>
      </c>
      <c r="M225" s="8" t="str">
        <f>_xlfn.XLOOKUP($A225,'RAWDATA Cars Buyers DB'!$A:$A,'RAWDATA Cars Buyers DB'!L:L)</f>
        <v>Yes</v>
      </c>
    </row>
    <row r="226" spans="1:13">
      <c r="A226" s="6">
        <v>44754</v>
      </c>
      <c r="B226" s="10" t="str">
        <f>IF(_xlfn.XLOOKUP($A226,'RAWDATA Cars Buyers DB'!$A:$A,'RAWDATA Cars Buyers DB'!B:B)="S","Single","Married")</f>
        <v>Married</v>
      </c>
      <c r="C226" s="10" t="str">
        <f>IF(_xlfn.XLOOKUP($A226,'RAWDATA Cars Buyers DB'!$A:$A,'RAWDATA Cars Buyers DB'!C:C)="F","Female","Male")</f>
        <v>Female</v>
      </c>
      <c r="D226" s="7">
        <f>_xlfn.XLOOKUP($A226,'RAWDATA Cars Buyers DB'!$A:$A,'RAWDATA Cars Buyers DB'!D:D)</f>
        <v>47734</v>
      </c>
      <c r="E226" s="8">
        <f>_xlfn.XLOOKUP($A226,'RAWDATA Cars Buyers DB'!$A:$A,'RAWDATA Cars Buyers DB'!E:E)</f>
        <v>0</v>
      </c>
      <c r="F226" s="8" t="str">
        <f>_xlfn.XLOOKUP($A226,'RAWDATA Cars Buyers DB'!$A:$A,'RAWDATA Cars Buyers DB'!F:F)</f>
        <v>Bachelors</v>
      </c>
      <c r="G226" s="8" t="str">
        <f>_xlfn.XLOOKUP($A226,'RAWDATA Cars Buyers DB'!$A:$A,'RAWDATA Cars Buyers DB'!G:G)</f>
        <v>Management</v>
      </c>
      <c r="H226" s="8" t="str">
        <f>_xlfn.XLOOKUP($A226,'RAWDATA Cars Buyers DB'!$A:$A,'RAWDATA Cars Buyers DB'!H:H)</f>
        <v>No</v>
      </c>
      <c r="I226" s="8" t="str">
        <f>_xlfn.XLOOKUP($A226,'RAWDATA Cars Buyers DB'!$A:$A,'RAWDATA Cars Buyers DB'!I:I)</f>
        <v>2–4 Kilometre</v>
      </c>
      <c r="J226" s="8" t="str">
        <f>_xlfn.XLOOKUP($A226,'RAWDATA Cars Buyers DB'!$A:$A,'RAWDATA Cars Buyers DB'!J:J)</f>
        <v>Mecklenburg-Vorpommern</v>
      </c>
      <c r="K226" s="8">
        <f>_xlfn.XLOOKUP($A226,'RAWDATA Cars Buyers DB'!$A:$A,'RAWDATA Cars Buyers DB'!K:K)</f>
        <v>47</v>
      </c>
      <c r="L226" s="10" t="str">
        <f>IF(_xlfn.XLOOKUP($A226,'RAWDATA Cars Buyers DB'!$A:$A,'RAWDATA Cars Buyers DB'!K:K)&gt;54,"Old ",IF(_xlfn.XLOOKUP($A226,'RAWDATA Cars Buyers DB'!$A:$A,'RAWDATA Cars Buyers DB'!K:K)&gt;=31,"Middle Age ",IF(_xlfn.XLOOKUP($A226,'RAWDATA Cars Buyers DB'!$A:$A,'RAWDATA Cars Buyers DB'!K:K)&lt;31,"Adolescent","Invalid")))</f>
        <v xml:space="preserve">Middle Age </v>
      </c>
      <c r="M226" s="8" t="str">
        <f>_xlfn.XLOOKUP($A226,'RAWDATA Cars Buyers DB'!$A:$A,'RAWDATA Cars Buyers DB'!L:L)</f>
        <v>No</v>
      </c>
    </row>
    <row r="227" spans="1:13">
      <c r="A227" s="6">
        <v>21411</v>
      </c>
      <c r="B227" s="10" t="str">
        <f>IF(_xlfn.XLOOKUP($A227,'RAWDATA Cars Buyers DB'!$A:$A,'RAWDATA Cars Buyers DB'!B:B)="S","Single","Married")</f>
        <v>Married</v>
      </c>
      <c r="C227" s="10" t="str">
        <f>IF(_xlfn.XLOOKUP($A227,'RAWDATA Cars Buyers DB'!$A:$A,'RAWDATA Cars Buyers DB'!C:C)="F","Female","Male")</f>
        <v>Female</v>
      </c>
      <c r="D227" s="7">
        <f>_xlfn.XLOOKUP($A227,'RAWDATA Cars Buyers DB'!$A:$A,'RAWDATA Cars Buyers DB'!D:D)</f>
        <v>43173</v>
      </c>
      <c r="E227" s="8">
        <f>_xlfn.XLOOKUP($A227,'RAWDATA Cars Buyers DB'!$A:$A,'RAWDATA Cars Buyers DB'!E:E)</f>
        <v>3</v>
      </c>
      <c r="F227" s="8" t="str">
        <f>_xlfn.XLOOKUP($A227,'RAWDATA Cars Buyers DB'!$A:$A,'RAWDATA Cars Buyers DB'!F:F)</f>
        <v>Graduate Degree</v>
      </c>
      <c r="G227" s="8" t="str">
        <f>_xlfn.XLOOKUP($A227,'RAWDATA Cars Buyers DB'!$A:$A,'RAWDATA Cars Buyers DB'!G:G)</f>
        <v>Skilled Manual</v>
      </c>
      <c r="H227" s="8" t="str">
        <f>_xlfn.XLOOKUP($A227,'RAWDATA Cars Buyers DB'!$A:$A,'RAWDATA Cars Buyers DB'!H:H)</f>
        <v>No</v>
      </c>
      <c r="I227" s="8" t="str">
        <f>_xlfn.XLOOKUP($A227,'RAWDATA Cars Buyers DB'!$A:$A,'RAWDATA Cars Buyers DB'!I:I)</f>
        <v>2–4 Kilometre</v>
      </c>
      <c r="J227" s="8" t="str">
        <f>_xlfn.XLOOKUP($A227,'RAWDATA Cars Buyers DB'!$A:$A,'RAWDATA Cars Buyers DB'!J:J)</f>
        <v>Bavaria</v>
      </c>
      <c r="K227" s="8">
        <f>_xlfn.XLOOKUP($A227,'RAWDATA Cars Buyers DB'!$A:$A,'RAWDATA Cars Buyers DB'!K:K)</f>
        <v>34</v>
      </c>
      <c r="L227" s="10" t="str">
        <f>IF(_xlfn.XLOOKUP($A227,'RAWDATA Cars Buyers DB'!$A:$A,'RAWDATA Cars Buyers DB'!K:K)&gt;54,"Old ",IF(_xlfn.XLOOKUP($A227,'RAWDATA Cars Buyers DB'!$A:$A,'RAWDATA Cars Buyers DB'!K:K)&gt;=31,"Middle Age ",IF(_xlfn.XLOOKUP($A227,'RAWDATA Cars Buyers DB'!$A:$A,'RAWDATA Cars Buyers DB'!K:K)&lt;31,"Adolescent","Invalid")))</f>
        <v xml:space="preserve">Middle Age </v>
      </c>
      <c r="M227" s="8" t="str">
        <f>_xlfn.XLOOKUP($A227,'RAWDATA Cars Buyers DB'!$A:$A,'RAWDATA Cars Buyers DB'!L:L)</f>
        <v>Yes</v>
      </c>
    </row>
    <row r="228" spans="1:13">
      <c r="A228" s="6">
        <v>12911</v>
      </c>
      <c r="B228" s="10" t="str">
        <f>IF(_xlfn.XLOOKUP($A228,'RAWDATA Cars Buyers DB'!$A:$A,'RAWDATA Cars Buyers DB'!B:B)="S","Single","Married")</f>
        <v>Married</v>
      </c>
      <c r="C228" s="10" t="str">
        <f>IF(_xlfn.XLOOKUP($A228,'RAWDATA Cars Buyers DB'!$A:$A,'RAWDATA Cars Buyers DB'!C:C)="F","Female","Male")</f>
        <v>Female</v>
      </c>
      <c r="D228" s="7">
        <f>_xlfn.XLOOKUP($A228,'RAWDATA Cars Buyers DB'!$A:$A,'RAWDATA Cars Buyers DB'!D:D)</f>
        <v>50403</v>
      </c>
      <c r="E228" s="8">
        <f>_xlfn.XLOOKUP($A228,'RAWDATA Cars Buyers DB'!$A:$A,'RAWDATA Cars Buyers DB'!E:E)</f>
        <v>2</v>
      </c>
      <c r="F228" s="8" t="str">
        <f>_xlfn.XLOOKUP($A228,'RAWDATA Cars Buyers DB'!$A:$A,'RAWDATA Cars Buyers DB'!F:F)</f>
        <v>High School</v>
      </c>
      <c r="G228" s="8" t="str">
        <f>_xlfn.XLOOKUP($A228,'RAWDATA Cars Buyers DB'!$A:$A,'RAWDATA Cars Buyers DB'!G:G)</f>
        <v>Skilled Manual</v>
      </c>
      <c r="H228" s="8" t="str">
        <f>_xlfn.XLOOKUP($A228,'RAWDATA Cars Buyers DB'!$A:$A,'RAWDATA Cars Buyers DB'!H:H)</f>
        <v>Yes</v>
      </c>
      <c r="I228" s="8" t="str">
        <f>_xlfn.XLOOKUP($A228,'RAWDATA Cars Buyers DB'!$A:$A,'RAWDATA Cars Buyers DB'!I:I)</f>
        <v>2–4 Kilometre</v>
      </c>
      <c r="J228" s="8" t="str">
        <f>_xlfn.XLOOKUP($A228,'RAWDATA Cars Buyers DB'!$A:$A,'RAWDATA Cars Buyers DB'!J:J)</f>
        <v>Bavaria</v>
      </c>
      <c r="K228" s="8">
        <f>_xlfn.XLOOKUP($A228,'RAWDATA Cars Buyers DB'!$A:$A,'RAWDATA Cars Buyers DB'!K:K)</f>
        <v>49</v>
      </c>
      <c r="L228" s="10" t="str">
        <f>IF(_xlfn.XLOOKUP($A228,'RAWDATA Cars Buyers DB'!$A:$A,'RAWDATA Cars Buyers DB'!K:K)&gt;54,"Old ",IF(_xlfn.XLOOKUP($A228,'RAWDATA Cars Buyers DB'!$A:$A,'RAWDATA Cars Buyers DB'!K:K)&gt;=31,"Middle Age ",IF(_xlfn.XLOOKUP($A228,'RAWDATA Cars Buyers DB'!$A:$A,'RAWDATA Cars Buyers DB'!K:K)&lt;31,"Adolescent","Invalid")))</f>
        <v xml:space="preserve">Middle Age </v>
      </c>
      <c r="M228" s="8" t="str">
        <f>_xlfn.XLOOKUP($A228,'RAWDATA Cars Buyers DB'!$A:$A,'RAWDATA Cars Buyers DB'!L:L)</f>
        <v>Yes</v>
      </c>
    </row>
    <row r="229" spans="1:13">
      <c r="A229" s="6">
        <v>77270</v>
      </c>
      <c r="B229" s="10" t="str">
        <f>IF(_xlfn.XLOOKUP($A229,'RAWDATA Cars Buyers DB'!$A:$A,'RAWDATA Cars Buyers DB'!B:B)="S","Single","Married")</f>
        <v>Married</v>
      </c>
      <c r="C229" s="10" t="str">
        <f>IF(_xlfn.XLOOKUP($A229,'RAWDATA Cars Buyers DB'!$A:$A,'RAWDATA Cars Buyers DB'!C:C)="F","Female","Male")</f>
        <v>Female</v>
      </c>
      <c r="D229" s="7">
        <f>_xlfn.XLOOKUP($A229,'RAWDATA Cars Buyers DB'!$A:$A,'RAWDATA Cars Buyers DB'!D:D)</f>
        <v>86321</v>
      </c>
      <c r="E229" s="8">
        <f>_xlfn.XLOOKUP($A229,'RAWDATA Cars Buyers DB'!$A:$A,'RAWDATA Cars Buyers DB'!E:E)</f>
        <v>0</v>
      </c>
      <c r="F229" s="8" t="str">
        <f>_xlfn.XLOOKUP($A229,'RAWDATA Cars Buyers DB'!$A:$A,'RAWDATA Cars Buyers DB'!F:F)</f>
        <v>Partial College</v>
      </c>
      <c r="G229" s="8" t="str">
        <f>_xlfn.XLOOKUP($A229,'RAWDATA Cars Buyers DB'!$A:$A,'RAWDATA Cars Buyers DB'!G:G)</f>
        <v>Management</v>
      </c>
      <c r="H229" s="8" t="str">
        <f>_xlfn.XLOOKUP($A229,'RAWDATA Cars Buyers DB'!$A:$A,'RAWDATA Cars Buyers DB'!H:H)</f>
        <v>Yes</v>
      </c>
      <c r="I229" s="8" t="str">
        <f>_xlfn.XLOOKUP($A229,'RAWDATA Cars Buyers DB'!$A:$A,'RAWDATA Cars Buyers DB'!I:I)</f>
        <v>1–2 Kilometre</v>
      </c>
      <c r="J229" s="8" t="str">
        <f>_xlfn.XLOOKUP($A229,'RAWDATA Cars Buyers DB'!$A:$A,'RAWDATA Cars Buyers DB'!J:J)</f>
        <v>Saxony-Anhalt</v>
      </c>
      <c r="K229" s="8">
        <f>_xlfn.XLOOKUP($A229,'RAWDATA Cars Buyers DB'!$A:$A,'RAWDATA Cars Buyers DB'!K:K)</f>
        <v>46</v>
      </c>
      <c r="L229" s="10" t="str">
        <f>IF(_xlfn.XLOOKUP($A229,'RAWDATA Cars Buyers DB'!$A:$A,'RAWDATA Cars Buyers DB'!K:K)&gt;54,"Old ",IF(_xlfn.XLOOKUP($A229,'RAWDATA Cars Buyers DB'!$A:$A,'RAWDATA Cars Buyers DB'!K:K)&gt;=31,"Middle Age ",IF(_xlfn.XLOOKUP($A229,'RAWDATA Cars Buyers DB'!$A:$A,'RAWDATA Cars Buyers DB'!K:K)&lt;31,"Adolescent","Invalid")))</f>
        <v xml:space="preserve">Middle Age </v>
      </c>
      <c r="M229" s="8" t="str">
        <f>_xlfn.XLOOKUP($A229,'RAWDATA Cars Buyers DB'!$A:$A,'RAWDATA Cars Buyers DB'!L:L)</f>
        <v>Yes</v>
      </c>
    </row>
    <row r="230" spans="1:13">
      <c r="A230" s="6">
        <v>93763</v>
      </c>
      <c r="B230" s="10" t="str">
        <f>IF(_xlfn.XLOOKUP($A230,'RAWDATA Cars Buyers DB'!$A:$A,'RAWDATA Cars Buyers DB'!B:B)="S","Single","Married")</f>
        <v>Married</v>
      </c>
      <c r="C230" s="10" t="str">
        <f>IF(_xlfn.XLOOKUP($A230,'RAWDATA Cars Buyers DB'!$A:$A,'RAWDATA Cars Buyers DB'!C:C)="F","Female","Male")</f>
        <v>Female</v>
      </c>
      <c r="D230" s="7">
        <f>_xlfn.XLOOKUP($A230,'RAWDATA Cars Buyers DB'!$A:$A,'RAWDATA Cars Buyers DB'!D:D)</f>
        <v>91675</v>
      </c>
      <c r="E230" s="8">
        <f>_xlfn.XLOOKUP($A230,'RAWDATA Cars Buyers DB'!$A:$A,'RAWDATA Cars Buyers DB'!E:E)</f>
        <v>1</v>
      </c>
      <c r="F230" s="8" t="str">
        <f>_xlfn.XLOOKUP($A230,'RAWDATA Cars Buyers DB'!$A:$A,'RAWDATA Cars Buyers DB'!F:F)</f>
        <v>High School</v>
      </c>
      <c r="G230" s="8" t="str">
        <f>_xlfn.XLOOKUP($A230,'RAWDATA Cars Buyers DB'!$A:$A,'RAWDATA Cars Buyers DB'!G:G)</f>
        <v>Professional</v>
      </c>
      <c r="H230" s="8" t="str">
        <f>_xlfn.XLOOKUP($A230,'RAWDATA Cars Buyers DB'!$A:$A,'RAWDATA Cars Buyers DB'!H:H)</f>
        <v>Yes</v>
      </c>
      <c r="I230" s="8" t="str">
        <f>_xlfn.XLOOKUP($A230,'RAWDATA Cars Buyers DB'!$A:$A,'RAWDATA Cars Buyers DB'!I:I)</f>
        <v>2–4 Kilometre</v>
      </c>
      <c r="J230" s="8" t="str">
        <f>_xlfn.XLOOKUP($A230,'RAWDATA Cars Buyers DB'!$A:$A,'RAWDATA Cars Buyers DB'!J:J)</f>
        <v>Baden-Württemberg</v>
      </c>
      <c r="K230" s="8">
        <f>_xlfn.XLOOKUP($A230,'RAWDATA Cars Buyers DB'!$A:$A,'RAWDATA Cars Buyers DB'!K:K)</f>
        <v>41</v>
      </c>
      <c r="L230" s="10" t="str">
        <f>IF(_xlfn.XLOOKUP($A230,'RAWDATA Cars Buyers DB'!$A:$A,'RAWDATA Cars Buyers DB'!K:K)&gt;54,"Old ",IF(_xlfn.XLOOKUP($A230,'RAWDATA Cars Buyers DB'!$A:$A,'RAWDATA Cars Buyers DB'!K:K)&gt;=31,"Middle Age ",IF(_xlfn.XLOOKUP($A230,'RAWDATA Cars Buyers DB'!$A:$A,'RAWDATA Cars Buyers DB'!K:K)&lt;31,"Adolescent","Invalid")))</f>
        <v xml:space="preserve">Middle Age </v>
      </c>
      <c r="M230" s="8" t="str">
        <f>_xlfn.XLOOKUP($A230,'RAWDATA Cars Buyers DB'!$A:$A,'RAWDATA Cars Buyers DB'!L:L)</f>
        <v>No</v>
      </c>
    </row>
    <row r="231" spans="1:13">
      <c r="A231" s="6">
        <v>18680</v>
      </c>
      <c r="B231" s="10" t="str">
        <f>IF(_xlfn.XLOOKUP($A231,'RAWDATA Cars Buyers DB'!$A:$A,'RAWDATA Cars Buyers DB'!B:B)="S","Single","Married")</f>
        <v>Single</v>
      </c>
      <c r="C231" s="10" t="str">
        <f>IF(_xlfn.XLOOKUP($A231,'RAWDATA Cars Buyers DB'!$A:$A,'RAWDATA Cars Buyers DB'!C:C)="F","Female","Male")</f>
        <v>Male</v>
      </c>
      <c r="D231" s="7">
        <f>_xlfn.XLOOKUP($A231,'RAWDATA Cars Buyers DB'!$A:$A,'RAWDATA Cars Buyers DB'!D:D)</f>
        <v>26344</v>
      </c>
      <c r="E231" s="8">
        <f>_xlfn.XLOOKUP($A231,'RAWDATA Cars Buyers DB'!$A:$A,'RAWDATA Cars Buyers DB'!E:E)</f>
        <v>3</v>
      </c>
      <c r="F231" s="8" t="str">
        <f>_xlfn.XLOOKUP($A231,'RAWDATA Cars Buyers DB'!$A:$A,'RAWDATA Cars Buyers DB'!F:F)</f>
        <v>Partial College</v>
      </c>
      <c r="G231" s="8" t="str">
        <f>_xlfn.XLOOKUP($A231,'RAWDATA Cars Buyers DB'!$A:$A,'RAWDATA Cars Buyers DB'!G:G)</f>
        <v>Clerical</v>
      </c>
      <c r="H231" s="8" t="str">
        <f>_xlfn.XLOOKUP($A231,'RAWDATA Cars Buyers DB'!$A:$A,'RAWDATA Cars Buyers DB'!H:H)</f>
        <v>No</v>
      </c>
      <c r="I231" s="8" t="str">
        <f>_xlfn.XLOOKUP($A231,'RAWDATA Cars Buyers DB'!$A:$A,'RAWDATA Cars Buyers DB'!I:I)</f>
        <v>2–4 Kilometre</v>
      </c>
      <c r="J231" s="8" t="str">
        <f>_xlfn.XLOOKUP($A231,'RAWDATA Cars Buyers DB'!$A:$A,'RAWDATA Cars Buyers DB'!J:J)</f>
        <v>Hamburg</v>
      </c>
      <c r="K231" s="8">
        <f>_xlfn.XLOOKUP($A231,'RAWDATA Cars Buyers DB'!$A:$A,'RAWDATA Cars Buyers DB'!K:K)</f>
        <v>29</v>
      </c>
      <c r="L231" s="10" t="str">
        <f>IF(_xlfn.XLOOKUP($A231,'RAWDATA Cars Buyers DB'!$A:$A,'RAWDATA Cars Buyers DB'!K:K)&gt;54,"Old ",IF(_xlfn.XLOOKUP($A231,'RAWDATA Cars Buyers DB'!$A:$A,'RAWDATA Cars Buyers DB'!K:K)&gt;=31,"Middle Age ",IF(_xlfn.XLOOKUP($A231,'RAWDATA Cars Buyers DB'!$A:$A,'RAWDATA Cars Buyers DB'!K:K)&lt;31,"Adolescent","Invalid")))</f>
        <v>Adolescent</v>
      </c>
      <c r="M231" s="8" t="str">
        <f>_xlfn.XLOOKUP($A231,'RAWDATA Cars Buyers DB'!$A:$A,'RAWDATA Cars Buyers DB'!L:L)</f>
        <v>Yes</v>
      </c>
    </row>
    <row r="232" spans="1:13">
      <c r="A232" s="6">
        <v>94896</v>
      </c>
      <c r="B232" s="10" t="str">
        <f>IF(_xlfn.XLOOKUP($A232,'RAWDATA Cars Buyers DB'!$A:$A,'RAWDATA Cars Buyers DB'!B:B)="S","Single","Married")</f>
        <v>Single</v>
      </c>
      <c r="C232" s="10" t="str">
        <f>IF(_xlfn.XLOOKUP($A232,'RAWDATA Cars Buyers DB'!$A:$A,'RAWDATA Cars Buyers DB'!C:C)="F","Female","Male")</f>
        <v>Female</v>
      </c>
      <c r="D232" s="7">
        <f>_xlfn.XLOOKUP($A232,'RAWDATA Cars Buyers DB'!$A:$A,'RAWDATA Cars Buyers DB'!D:D)</f>
        <v>38800</v>
      </c>
      <c r="E232" s="8">
        <f>_xlfn.XLOOKUP($A232,'RAWDATA Cars Buyers DB'!$A:$A,'RAWDATA Cars Buyers DB'!E:E)</f>
        <v>0</v>
      </c>
      <c r="F232" s="8" t="str">
        <f>_xlfn.XLOOKUP($A232,'RAWDATA Cars Buyers DB'!$A:$A,'RAWDATA Cars Buyers DB'!F:F)</f>
        <v>Partial College</v>
      </c>
      <c r="G232" s="8" t="str">
        <f>_xlfn.XLOOKUP($A232,'RAWDATA Cars Buyers DB'!$A:$A,'RAWDATA Cars Buyers DB'!G:G)</f>
        <v>Skilled Manual</v>
      </c>
      <c r="H232" s="8" t="str">
        <f>_xlfn.XLOOKUP($A232,'RAWDATA Cars Buyers DB'!$A:$A,'RAWDATA Cars Buyers DB'!H:H)</f>
        <v>Yes</v>
      </c>
      <c r="I232" s="8" t="str">
        <f>_xlfn.XLOOKUP($A232,'RAWDATA Cars Buyers DB'!$A:$A,'RAWDATA Cars Buyers DB'!I:I)</f>
        <v>1–2 Kilometre</v>
      </c>
      <c r="J232" s="8" t="str">
        <f>_xlfn.XLOOKUP($A232,'RAWDATA Cars Buyers DB'!$A:$A,'RAWDATA Cars Buyers DB'!J:J)</f>
        <v>Brandenburg</v>
      </c>
      <c r="K232" s="8">
        <f>_xlfn.XLOOKUP($A232,'RAWDATA Cars Buyers DB'!$A:$A,'RAWDATA Cars Buyers DB'!K:K)</f>
        <v>50</v>
      </c>
      <c r="L232" s="10" t="str">
        <f>IF(_xlfn.XLOOKUP($A232,'RAWDATA Cars Buyers DB'!$A:$A,'RAWDATA Cars Buyers DB'!K:K)&gt;54,"Old ",IF(_xlfn.XLOOKUP($A232,'RAWDATA Cars Buyers DB'!$A:$A,'RAWDATA Cars Buyers DB'!K:K)&gt;=31,"Middle Age ",IF(_xlfn.XLOOKUP($A232,'RAWDATA Cars Buyers DB'!$A:$A,'RAWDATA Cars Buyers DB'!K:K)&lt;31,"Adolescent","Invalid")))</f>
        <v xml:space="preserve">Middle Age </v>
      </c>
      <c r="M232" s="8" t="str">
        <f>_xlfn.XLOOKUP($A232,'RAWDATA Cars Buyers DB'!$A:$A,'RAWDATA Cars Buyers DB'!L:L)</f>
        <v>Yes</v>
      </c>
    </row>
    <row r="233" spans="1:13">
      <c r="A233" s="6">
        <v>93879</v>
      </c>
      <c r="B233" s="10" t="str">
        <f>IF(_xlfn.XLOOKUP($A233,'RAWDATA Cars Buyers DB'!$A:$A,'RAWDATA Cars Buyers DB'!B:B)="S","Single","Married")</f>
        <v>Single</v>
      </c>
      <c r="C233" s="10" t="str">
        <f>IF(_xlfn.XLOOKUP($A233,'RAWDATA Cars Buyers DB'!$A:$A,'RAWDATA Cars Buyers DB'!C:C)="F","Female","Male")</f>
        <v>Male</v>
      </c>
      <c r="D233" s="7">
        <f>_xlfn.XLOOKUP($A233,'RAWDATA Cars Buyers DB'!$A:$A,'RAWDATA Cars Buyers DB'!D:D)</f>
        <v>45372</v>
      </c>
      <c r="E233" s="8">
        <f>_xlfn.XLOOKUP($A233,'RAWDATA Cars Buyers DB'!$A:$A,'RAWDATA Cars Buyers DB'!E:E)</f>
        <v>4</v>
      </c>
      <c r="F233" s="8" t="str">
        <f>_xlfn.XLOOKUP($A233,'RAWDATA Cars Buyers DB'!$A:$A,'RAWDATA Cars Buyers DB'!F:F)</f>
        <v>Bachelors</v>
      </c>
      <c r="G233" s="8" t="str">
        <f>_xlfn.XLOOKUP($A233,'RAWDATA Cars Buyers DB'!$A:$A,'RAWDATA Cars Buyers DB'!G:G)</f>
        <v>Professional</v>
      </c>
      <c r="H233" s="8" t="str">
        <f>_xlfn.XLOOKUP($A233,'RAWDATA Cars Buyers DB'!$A:$A,'RAWDATA Cars Buyers DB'!H:H)</f>
        <v>Yes</v>
      </c>
      <c r="I233" s="8" t="str">
        <f>_xlfn.XLOOKUP($A233,'RAWDATA Cars Buyers DB'!$A:$A,'RAWDATA Cars Buyers DB'!I:I)</f>
        <v>1–2 Kilometre</v>
      </c>
      <c r="J233" s="8" t="str">
        <f>_xlfn.XLOOKUP($A233,'RAWDATA Cars Buyers DB'!$A:$A,'RAWDATA Cars Buyers DB'!J:J)</f>
        <v>Hesse</v>
      </c>
      <c r="K233" s="8">
        <f>_xlfn.XLOOKUP($A233,'RAWDATA Cars Buyers DB'!$A:$A,'RAWDATA Cars Buyers DB'!K:K)</f>
        <v>46</v>
      </c>
      <c r="L233" s="10" t="str">
        <f>IF(_xlfn.XLOOKUP($A233,'RAWDATA Cars Buyers DB'!$A:$A,'RAWDATA Cars Buyers DB'!K:K)&gt;54,"Old ",IF(_xlfn.XLOOKUP($A233,'RAWDATA Cars Buyers DB'!$A:$A,'RAWDATA Cars Buyers DB'!K:K)&gt;=31,"Middle Age ",IF(_xlfn.XLOOKUP($A233,'RAWDATA Cars Buyers DB'!$A:$A,'RAWDATA Cars Buyers DB'!K:K)&lt;31,"Adolescent","Invalid")))</f>
        <v xml:space="preserve">Middle Age </v>
      </c>
      <c r="M233" s="8" t="str">
        <f>_xlfn.XLOOKUP($A233,'RAWDATA Cars Buyers DB'!$A:$A,'RAWDATA Cars Buyers DB'!L:L)</f>
        <v>Yes</v>
      </c>
    </row>
    <row r="234" spans="1:13">
      <c r="A234" s="6">
        <v>81295</v>
      </c>
      <c r="B234" s="10" t="str">
        <f>IF(_xlfn.XLOOKUP($A234,'RAWDATA Cars Buyers DB'!$A:$A,'RAWDATA Cars Buyers DB'!B:B)="S","Single","Married")</f>
        <v>Married</v>
      </c>
      <c r="C234" s="10" t="str">
        <f>IF(_xlfn.XLOOKUP($A234,'RAWDATA Cars Buyers DB'!$A:$A,'RAWDATA Cars Buyers DB'!C:C)="F","Female","Male")</f>
        <v>Male</v>
      </c>
      <c r="D234" s="7">
        <f>_xlfn.XLOOKUP($A234,'RAWDATA Cars Buyers DB'!$A:$A,'RAWDATA Cars Buyers DB'!D:D)</f>
        <v>81516</v>
      </c>
      <c r="E234" s="8">
        <f>_xlfn.XLOOKUP($A234,'RAWDATA Cars Buyers DB'!$A:$A,'RAWDATA Cars Buyers DB'!E:E)</f>
        <v>5</v>
      </c>
      <c r="F234" s="8" t="str">
        <f>_xlfn.XLOOKUP($A234,'RAWDATA Cars Buyers DB'!$A:$A,'RAWDATA Cars Buyers DB'!F:F)</f>
        <v>Partial College</v>
      </c>
      <c r="G234" s="8" t="str">
        <f>_xlfn.XLOOKUP($A234,'RAWDATA Cars Buyers DB'!$A:$A,'RAWDATA Cars Buyers DB'!G:G)</f>
        <v>Skilled Manual</v>
      </c>
      <c r="H234" s="8" t="str">
        <f>_xlfn.XLOOKUP($A234,'RAWDATA Cars Buyers DB'!$A:$A,'RAWDATA Cars Buyers DB'!H:H)</f>
        <v>Yes</v>
      </c>
      <c r="I234" s="8" t="str">
        <f>_xlfn.XLOOKUP($A234,'RAWDATA Cars Buyers DB'!$A:$A,'RAWDATA Cars Buyers DB'!I:I)</f>
        <v>6+ Kilometre</v>
      </c>
      <c r="J234" s="8" t="str">
        <f>_xlfn.XLOOKUP($A234,'RAWDATA Cars Buyers DB'!$A:$A,'RAWDATA Cars Buyers DB'!J:J)</f>
        <v>Bavaria</v>
      </c>
      <c r="K234" s="8">
        <f>_xlfn.XLOOKUP($A234,'RAWDATA Cars Buyers DB'!$A:$A,'RAWDATA Cars Buyers DB'!K:K)</f>
        <v>31</v>
      </c>
      <c r="L234" s="10" t="str">
        <f>IF(_xlfn.XLOOKUP($A234,'RAWDATA Cars Buyers DB'!$A:$A,'RAWDATA Cars Buyers DB'!K:K)&gt;54,"Old ",IF(_xlfn.XLOOKUP($A234,'RAWDATA Cars Buyers DB'!$A:$A,'RAWDATA Cars Buyers DB'!K:K)&gt;=31,"Middle Age ",IF(_xlfn.XLOOKUP($A234,'RAWDATA Cars Buyers DB'!$A:$A,'RAWDATA Cars Buyers DB'!K:K)&lt;31,"Adolescent","Invalid")))</f>
        <v xml:space="preserve">Middle Age </v>
      </c>
      <c r="M234" s="8" t="str">
        <f>_xlfn.XLOOKUP($A234,'RAWDATA Cars Buyers DB'!$A:$A,'RAWDATA Cars Buyers DB'!L:L)</f>
        <v>No</v>
      </c>
    </row>
    <row r="235" spans="1:13">
      <c r="A235" s="6">
        <v>98614</v>
      </c>
      <c r="B235" s="10" t="str">
        <f>IF(_xlfn.XLOOKUP($A235,'RAWDATA Cars Buyers DB'!$A:$A,'RAWDATA Cars Buyers DB'!B:B)="S","Single","Married")</f>
        <v>Single</v>
      </c>
      <c r="C235" s="10" t="str">
        <f>IF(_xlfn.XLOOKUP($A235,'RAWDATA Cars Buyers DB'!$A:$A,'RAWDATA Cars Buyers DB'!C:C)="F","Female","Male")</f>
        <v>Male</v>
      </c>
      <c r="D235" s="7">
        <f>_xlfn.XLOOKUP($A235,'RAWDATA Cars Buyers DB'!$A:$A,'RAWDATA Cars Buyers DB'!D:D)</f>
        <v>40538</v>
      </c>
      <c r="E235" s="8">
        <f>_xlfn.XLOOKUP($A235,'RAWDATA Cars Buyers DB'!$A:$A,'RAWDATA Cars Buyers DB'!E:E)</f>
        <v>1</v>
      </c>
      <c r="F235" s="8" t="str">
        <f>_xlfn.XLOOKUP($A235,'RAWDATA Cars Buyers DB'!$A:$A,'RAWDATA Cars Buyers DB'!F:F)</f>
        <v>High School</v>
      </c>
      <c r="G235" s="8" t="str">
        <f>_xlfn.XLOOKUP($A235,'RAWDATA Cars Buyers DB'!$A:$A,'RAWDATA Cars Buyers DB'!G:G)</f>
        <v>Clerical</v>
      </c>
      <c r="H235" s="8" t="str">
        <f>_xlfn.XLOOKUP($A235,'RAWDATA Cars Buyers DB'!$A:$A,'RAWDATA Cars Buyers DB'!H:H)</f>
        <v>No</v>
      </c>
      <c r="I235" s="8" t="str">
        <f>_xlfn.XLOOKUP($A235,'RAWDATA Cars Buyers DB'!$A:$A,'RAWDATA Cars Buyers DB'!I:I)</f>
        <v>4–6 Kilometre</v>
      </c>
      <c r="J235" s="8" t="str">
        <f>_xlfn.XLOOKUP($A235,'RAWDATA Cars Buyers DB'!$A:$A,'RAWDATA Cars Buyers DB'!J:J)</f>
        <v>Rhineland-Palatinate</v>
      </c>
      <c r="K235" s="8">
        <f>_xlfn.XLOOKUP($A235,'RAWDATA Cars Buyers DB'!$A:$A,'RAWDATA Cars Buyers DB'!K:K)</f>
        <v>65</v>
      </c>
      <c r="L235" s="10" t="str">
        <f>IF(_xlfn.XLOOKUP($A235,'RAWDATA Cars Buyers DB'!$A:$A,'RAWDATA Cars Buyers DB'!K:K)&gt;54,"Old ",IF(_xlfn.XLOOKUP($A235,'RAWDATA Cars Buyers DB'!$A:$A,'RAWDATA Cars Buyers DB'!K:K)&gt;=31,"Middle Age ",IF(_xlfn.XLOOKUP($A235,'RAWDATA Cars Buyers DB'!$A:$A,'RAWDATA Cars Buyers DB'!K:K)&lt;31,"Adolescent","Invalid")))</f>
        <v xml:space="preserve">Old </v>
      </c>
      <c r="M235" s="8" t="str">
        <f>_xlfn.XLOOKUP($A235,'RAWDATA Cars Buyers DB'!$A:$A,'RAWDATA Cars Buyers DB'!L:L)</f>
        <v>Yes</v>
      </c>
    </row>
    <row r="236" spans="1:13">
      <c r="A236" s="6">
        <v>21111</v>
      </c>
      <c r="B236" s="10" t="str">
        <f>IF(_xlfn.XLOOKUP($A236,'RAWDATA Cars Buyers DB'!$A:$A,'RAWDATA Cars Buyers DB'!B:B)="S","Single","Married")</f>
        <v>Married</v>
      </c>
      <c r="C236" s="10" t="str">
        <f>IF(_xlfn.XLOOKUP($A236,'RAWDATA Cars Buyers DB'!$A:$A,'RAWDATA Cars Buyers DB'!C:C)="F","Female","Male")</f>
        <v>Female</v>
      </c>
      <c r="D236" s="7">
        <f>_xlfn.XLOOKUP($A236,'RAWDATA Cars Buyers DB'!$A:$A,'RAWDATA Cars Buyers DB'!D:D)</f>
        <v>83918</v>
      </c>
      <c r="E236" s="8">
        <f>_xlfn.XLOOKUP($A236,'RAWDATA Cars Buyers DB'!$A:$A,'RAWDATA Cars Buyers DB'!E:E)</f>
        <v>5</v>
      </c>
      <c r="F236" s="8" t="str">
        <f>_xlfn.XLOOKUP($A236,'RAWDATA Cars Buyers DB'!$A:$A,'RAWDATA Cars Buyers DB'!F:F)</f>
        <v>High School</v>
      </c>
      <c r="G236" s="8" t="str">
        <f>_xlfn.XLOOKUP($A236,'RAWDATA Cars Buyers DB'!$A:$A,'RAWDATA Cars Buyers DB'!G:G)</f>
        <v>Skilled Manual</v>
      </c>
      <c r="H236" s="8" t="str">
        <f>_xlfn.XLOOKUP($A236,'RAWDATA Cars Buyers DB'!$A:$A,'RAWDATA Cars Buyers DB'!H:H)</f>
        <v>Yes</v>
      </c>
      <c r="I236" s="8" t="str">
        <f>_xlfn.XLOOKUP($A236,'RAWDATA Cars Buyers DB'!$A:$A,'RAWDATA Cars Buyers DB'!I:I)</f>
        <v>0–1 Kilometre</v>
      </c>
      <c r="J236" s="8" t="str">
        <f>_xlfn.XLOOKUP($A236,'RAWDATA Cars Buyers DB'!$A:$A,'RAWDATA Cars Buyers DB'!J:J)</f>
        <v>Schleswig-Holstein</v>
      </c>
      <c r="K236" s="8">
        <f>_xlfn.XLOOKUP($A236,'RAWDATA Cars Buyers DB'!$A:$A,'RAWDATA Cars Buyers DB'!K:K)</f>
        <v>50</v>
      </c>
      <c r="L236" s="10" t="str">
        <f>IF(_xlfn.XLOOKUP($A236,'RAWDATA Cars Buyers DB'!$A:$A,'RAWDATA Cars Buyers DB'!K:K)&gt;54,"Old ",IF(_xlfn.XLOOKUP($A236,'RAWDATA Cars Buyers DB'!$A:$A,'RAWDATA Cars Buyers DB'!K:K)&gt;=31,"Middle Age ",IF(_xlfn.XLOOKUP($A236,'RAWDATA Cars Buyers DB'!$A:$A,'RAWDATA Cars Buyers DB'!K:K)&lt;31,"Adolescent","Invalid")))</f>
        <v xml:space="preserve">Middle Age </v>
      </c>
      <c r="M236" s="8" t="str">
        <f>_xlfn.XLOOKUP($A236,'RAWDATA Cars Buyers DB'!$A:$A,'RAWDATA Cars Buyers DB'!L:L)</f>
        <v>Yes</v>
      </c>
    </row>
    <row r="237" spans="1:13">
      <c r="A237" s="6">
        <v>47504</v>
      </c>
      <c r="B237" s="10" t="str">
        <f>IF(_xlfn.XLOOKUP($A237,'RAWDATA Cars Buyers DB'!$A:$A,'RAWDATA Cars Buyers DB'!B:B)="S","Single","Married")</f>
        <v>Married</v>
      </c>
      <c r="C237" s="10" t="str">
        <f>IF(_xlfn.XLOOKUP($A237,'RAWDATA Cars Buyers DB'!$A:$A,'RAWDATA Cars Buyers DB'!C:C)="F","Female","Male")</f>
        <v>Female</v>
      </c>
      <c r="D237" s="7">
        <f>_xlfn.XLOOKUP($A237,'RAWDATA Cars Buyers DB'!$A:$A,'RAWDATA Cars Buyers DB'!D:D)</f>
        <v>34973</v>
      </c>
      <c r="E237" s="8">
        <f>_xlfn.XLOOKUP($A237,'RAWDATA Cars Buyers DB'!$A:$A,'RAWDATA Cars Buyers DB'!E:E)</f>
        <v>5</v>
      </c>
      <c r="F237" s="8" t="str">
        <f>_xlfn.XLOOKUP($A237,'RAWDATA Cars Buyers DB'!$A:$A,'RAWDATA Cars Buyers DB'!F:F)</f>
        <v>Graduate Degree</v>
      </c>
      <c r="G237" s="8" t="str">
        <f>_xlfn.XLOOKUP($A237,'RAWDATA Cars Buyers DB'!$A:$A,'RAWDATA Cars Buyers DB'!G:G)</f>
        <v>Clerical</v>
      </c>
      <c r="H237" s="8" t="str">
        <f>_xlfn.XLOOKUP($A237,'RAWDATA Cars Buyers DB'!$A:$A,'RAWDATA Cars Buyers DB'!H:H)</f>
        <v>No</v>
      </c>
      <c r="I237" s="8" t="str">
        <f>_xlfn.XLOOKUP($A237,'RAWDATA Cars Buyers DB'!$A:$A,'RAWDATA Cars Buyers DB'!I:I)</f>
        <v>0–1 Kilometre</v>
      </c>
      <c r="J237" s="8" t="str">
        <f>_xlfn.XLOOKUP($A237,'RAWDATA Cars Buyers DB'!$A:$A,'RAWDATA Cars Buyers DB'!J:J)</f>
        <v>North Rhine-Westphalia</v>
      </c>
      <c r="K237" s="8">
        <f>_xlfn.XLOOKUP($A237,'RAWDATA Cars Buyers DB'!$A:$A,'RAWDATA Cars Buyers DB'!K:K)</f>
        <v>51</v>
      </c>
      <c r="L237" s="10" t="str">
        <f>IF(_xlfn.XLOOKUP($A237,'RAWDATA Cars Buyers DB'!$A:$A,'RAWDATA Cars Buyers DB'!K:K)&gt;54,"Old ",IF(_xlfn.XLOOKUP($A237,'RAWDATA Cars Buyers DB'!$A:$A,'RAWDATA Cars Buyers DB'!K:K)&gt;=31,"Middle Age ",IF(_xlfn.XLOOKUP($A237,'RAWDATA Cars Buyers DB'!$A:$A,'RAWDATA Cars Buyers DB'!K:K)&lt;31,"Adolescent","Invalid")))</f>
        <v xml:space="preserve">Middle Age </v>
      </c>
      <c r="M237" s="8" t="str">
        <f>_xlfn.XLOOKUP($A237,'RAWDATA Cars Buyers DB'!$A:$A,'RAWDATA Cars Buyers DB'!L:L)</f>
        <v>Yes</v>
      </c>
    </row>
    <row r="238" spans="1:13">
      <c r="A238" s="6">
        <v>11802</v>
      </c>
      <c r="B238" s="10" t="str">
        <f>IF(_xlfn.XLOOKUP($A238,'RAWDATA Cars Buyers DB'!$A:$A,'RAWDATA Cars Buyers DB'!B:B)="S","Single","Married")</f>
        <v>Married</v>
      </c>
      <c r="C238" s="10" t="str">
        <f>IF(_xlfn.XLOOKUP($A238,'RAWDATA Cars Buyers DB'!$A:$A,'RAWDATA Cars Buyers DB'!C:C)="F","Female","Male")</f>
        <v>Male</v>
      </c>
      <c r="D238" s="7">
        <f>_xlfn.XLOOKUP($A238,'RAWDATA Cars Buyers DB'!$A:$A,'RAWDATA Cars Buyers DB'!D:D)</f>
        <v>91155</v>
      </c>
      <c r="E238" s="8">
        <f>_xlfn.XLOOKUP($A238,'RAWDATA Cars Buyers DB'!$A:$A,'RAWDATA Cars Buyers DB'!E:E)</f>
        <v>0</v>
      </c>
      <c r="F238" s="8" t="str">
        <f>_xlfn.XLOOKUP($A238,'RAWDATA Cars Buyers DB'!$A:$A,'RAWDATA Cars Buyers DB'!F:F)</f>
        <v>High School</v>
      </c>
      <c r="G238" s="8" t="str">
        <f>_xlfn.XLOOKUP($A238,'RAWDATA Cars Buyers DB'!$A:$A,'RAWDATA Cars Buyers DB'!G:G)</f>
        <v>Clerical</v>
      </c>
      <c r="H238" s="8" t="str">
        <f>_xlfn.XLOOKUP($A238,'RAWDATA Cars Buyers DB'!$A:$A,'RAWDATA Cars Buyers DB'!H:H)</f>
        <v>No</v>
      </c>
      <c r="I238" s="8" t="str">
        <f>_xlfn.XLOOKUP($A238,'RAWDATA Cars Buyers DB'!$A:$A,'RAWDATA Cars Buyers DB'!I:I)</f>
        <v>2–4 Kilometre</v>
      </c>
      <c r="J238" s="8" t="str">
        <f>_xlfn.XLOOKUP($A238,'RAWDATA Cars Buyers DB'!$A:$A,'RAWDATA Cars Buyers DB'!J:J)</f>
        <v>Schleswig-Holstein</v>
      </c>
      <c r="K238" s="8">
        <f>_xlfn.XLOOKUP($A238,'RAWDATA Cars Buyers DB'!$A:$A,'RAWDATA Cars Buyers DB'!K:K)</f>
        <v>51</v>
      </c>
      <c r="L238" s="10" t="str">
        <f>IF(_xlfn.XLOOKUP($A238,'RAWDATA Cars Buyers DB'!$A:$A,'RAWDATA Cars Buyers DB'!K:K)&gt;54,"Old ",IF(_xlfn.XLOOKUP($A238,'RAWDATA Cars Buyers DB'!$A:$A,'RAWDATA Cars Buyers DB'!K:K)&gt;=31,"Middle Age ",IF(_xlfn.XLOOKUP($A238,'RAWDATA Cars Buyers DB'!$A:$A,'RAWDATA Cars Buyers DB'!K:K)&lt;31,"Adolescent","Invalid")))</f>
        <v xml:space="preserve">Middle Age </v>
      </c>
      <c r="M238" s="8" t="str">
        <f>_xlfn.XLOOKUP($A238,'RAWDATA Cars Buyers DB'!$A:$A,'RAWDATA Cars Buyers DB'!L:L)</f>
        <v>No</v>
      </c>
    </row>
    <row r="239" spans="1:13">
      <c r="A239" s="6">
        <v>18155</v>
      </c>
      <c r="B239" s="10" t="str">
        <f>IF(_xlfn.XLOOKUP($A239,'RAWDATA Cars Buyers DB'!$A:$A,'RAWDATA Cars Buyers DB'!B:B)="S","Single","Married")</f>
        <v>Married</v>
      </c>
      <c r="C239" s="10" t="str">
        <f>IF(_xlfn.XLOOKUP($A239,'RAWDATA Cars Buyers DB'!$A:$A,'RAWDATA Cars Buyers DB'!C:C)="F","Female","Male")</f>
        <v>Female</v>
      </c>
      <c r="D239" s="7">
        <f>_xlfn.XLOOKUP($A239,'RAWDATA Cars Buyers DB'!$A:$A,'RAWDATA Cars Buyers DB'!D:D)</f>
        <v>79500</v>
      </c>
      <c r="E239" s="8">
        <f>_xlfn.XLOOKUP($A239,'RAWDATA Cars Buyers DB'!$A:$A,'RAWDATA Cars Buyers DB'!E:E)</f>
        <v>1</v>
      </c>
      <c r="F239" s="8" t="str">
        <f>_xlfn.XLOOKUP($A239,'RAWDATA Cars Buyers DB'!$A:$A,'RAWDATA Cars Buyers DB'!F:F)</f>
        <v>Graduate Degree</v>
      </c>
      <c r="G239" s="8" t="str">
        <f>_xlfn.XLOOKUP($A239,'RAWDATA Cars Buyers DB'!$A:$A,'RAWDATA Cars Buyers DB'!G:G)</f>
        <v>Skilled Manual</v>
      </c>
      <c r="H239" s="8" t="str">
        <f>_xlfn.XLOOKUP($A239,'RAWDATA Cars Buyers DB'!$A:$A,'RAWDATA Cars Buyers DB'!H:H)</f>
        <v>Yes</v>
      </c>
      <c r="I239" s="8" t="str">
        <f>_xlfn.XLOOKUP($A239,'RAWDATA Cars Buyers DB'!$A:$A,'RAWDATA Cars Buyers DB'!I:I)</f>
        <v>6+ Kilometre</v>
      </c>
      <c r="J239" s="8" t="str">
        <f>_xlfn.XLOOKUP($A239,'RAWDATA Cars Buyers DB'!$A:$A,'RAWDATA Cars Buyers DB'!J:J)</f>
        <v>Saarland</v>
      </c>
      <c r="K239" s="8">
        <f>_xlfn.XLOOKUP($A239,'RAWDATA Cars Buyers DB'!$A:$A,'RAWDATA Cars Buyers DB'!K:K)</f>
        <v>60</v>
      </c>
      <c r="L239" s="10" t="str">
        <f>IF(_xlfn.XLOOKUP($A239,'RAWDATA Cars Buyers DB'!$A:$A,'RAWDATA Cars Buyers DB'!K:K)&gt;54,"Old ",IF(_xlfn.XLOOKUP($A239,'RAWDATA Cars Buyers DB'!$A:$A,'RAWDATA Cars Buyers DB'!K:K)&gt;=31,"Middle Age ",IF(_xlfn.XLOOKUP($A239,'RAWDATA Cars Buyers DB'!$A:$A,'RAWDATA Cars Buyers DB'!K:K)&lt;31,"Adolescent","Invalid")))</f>
        <v xml:space="preserve">Old </v>
      </c>
      <c r="M239" s="8" t="str">
        <f>_xlfn.XLOOKUP($A239,'RAWDATA Cars Buyers DB'!$A:$A,'RAWDATA Cars Buyers DB'!L:L)</f>
        <v>Yes</v>
      </c>
    </row>
    <row r="240" spans="1:13">
      <c r="A240" s="6">
        <v>83656</v>
      </c>
      <c r="B240" s="10" t="str">
        <f>IF(_xlfn.XLOOKUP($A240,'RAWDATA Cars Buyers DB'!$A:$A,'RAWDATA Cars Buyers DB'!B:B)="S","Single","Married")</f>
        <v>Single</v>
      </c>
      <c r="C240" s="10" t="str">
        <f>IF(_xlfn.XLOOKUP($A240,'RAWDATA Cars Buyers DB'!$A:$A,'RAWDATA Cars Buyers DB'!C:C)="F","Female","Male")</f>
        <v>Female</v>
      </c>
      <c r="D240" s="7">
        <f>_xlfn.XLOOKUP($A240,'RAWDATA Cars Buyers DB'!$A:$A,'RAWDATA Cars Buyers DB'!D:D)</f>
        <v>56575</v>
      </c>
      <c r="E240" s="8">
        <f>_xlfn.XLOOKUP($A240,'RAWDATA Cars Buyers DB'!$A:$A,'RAWDATA Cars Buyers DB'!E:E)</f>
        <v>1</v>
      </c>
      <c r="F240" s="8" t="str">
        <f>_xlfn.XLOOKUP($A240,'RAWDATA Cars Buyers DB'!$A:$A,'RAWDATA Cars Buyers DB'!F:F)</f>
        <v>Partial College</v>
      </c>
      <c r="G240" s="8" t="str">
        <f>_xlfn.XLOOKUP($A240,'RAWDATA Cars Buyers DB'!$A:$A,'RAWDATA Cars Buyers DB'!G:G)</f>
        <v>Skilled Manual</v>
      </c>
      <c r="H240" s="8" t="str">
        <f>_xlfn.XLOOKUP($A240,'RAWDATA Cars Buyers DB'!$A:$A,'RAWDATA Cars Buyers DB'!H:H)</f>
        <v>No</v>
      </c>
      <c r="I240" s="8" t="str">
        <f>_xlfn.XLOOKUP($A240,'RAWDATA Cars Buyers DB'!$A:$A,'RAWDATA Cars Buyers DB'!I:I)</f>
        <v>2–4 Kilometre</v>
      </c>
      <c r="J240" s="8" t="str">
        <f>_xlfn.XLOOKUP($A240,'RAWDATA Cars Buyers DB'!$A:$A,'RAWDATA Cars Buyers DB'!J:J)</f>
        <v>Rhineland-Palatinate</v>
      </c>
      <c r="K240" s="8">
        <f>_xlfn.XLOOKUP($A240,'RAWDATA Cars Buyers DB'!$A:$A,'RAWDATA Cars Buyers DB'!K:K)</f>
        <v>64</v>
      </c>
      <c r="L240" s="10" t="str">
        <f>IF(_xlfn.XLOOKUP($A240,'RAWDATA Cars Buyers DB'!$A:$A,'RAWDATA Cars Buyers DB'!K:K)&gt;54,"Old ",IF(_xlfn.XLOOKUP($A240,'RAWDATA Cars Buyers DB'!$A:$A,'RAWDATA Cars Buyers DB'!K:K)&gt;=31,"Middle Age ",IF(_xlfn.XLOOKUP($A240,'RAWDATA Cars Buyers DB'!$A:$A,'RAWDATA Cars Buyers DB'!K:K)&lt;31,"Adolescent","Invalid")))</f>
        <v xml:space="preserve">Old </v>
      </c>
      <c r="M240" s="8" t="str">
        <f>_xlfn.XLOOKUP($A240,'RAWDATA Cars Buyers DB'!$A:$A,'RAWDATA Cars Buyers DB'!L:L)</f>
        <v>Yes</v>
      </c>
    </row>
    <row r="241" spans="1:13">
      <c r="A241" s="6">
        <v>49384</v>
      </c>
      <c r="B241" s="10" t="str">
        <f>IF(_xlfn.XLOOKUP($A241,'RAWDATA Cars Buyers DB'!$A:$A,'RAWDATA Cars Buyers DB'!B:B)="S","Single","Married")</f>
        <v>Single</v>
      </c>
      <c r="C241" s="10" t="str">
        <f>IF(_xlfn.XLOOKUP($A241,'RAWDATA Cars Buyers DB'!$A:$A,'RAWDATA Cars Buyers DB'!C:C)="F","Female","Male")</f>
        <v>Female</v>
      </c>
      <c r="D241" s="7">
        <f>_xlfn.XLOOKUP($A241,'RAWDATA Cars Buyers DB'!$A:$A,'RAWDATA Cars Buyers DB'!D:D)</f>
        <v>62261</v>
      </c>
      <c r="E241" s="8">
        <f>_xlfn.XLOOKUP($A241,'RAWDATA Cars Buyers DB'!$A:$A,'RAWDATA Cars Buyers DB'!E:E)</f>
        <v>2</v>
      </c>
      <c r="F241" s="8" t="str">
        <f>_xlfn.XLOOKUP($A241,'RAWDATA Cars Buyers DB'!$A:$A,'RAWDATA Cars Buyers DB'!F:F)</f>
        <v>High School</v>
      </c>
      <c r="G241" s="8" t="str">
        <f>_xlfn.XLOOKUP($A241,'RAWDATA Cars Buyers DB'!$A:$A,'RAWDATA Cars Buyers DB'!G:G)</f>
        <v>Clerical</v>
      </c>
      <c r="H241" s="8" t="str">
        <f>_xlfn.XLOOKUP($A241,'RAWDATA Cars Buyers DB'!$A:$A,'RAWDATA Cars Buyers DB'!H:H)</f>
        <v>Yes</v>
      </c>
      <c r="I241" s="8" t="str">
        <f>_xlfn.XLOOKUP($A241,'RAWDATA Cars Buyers DB'!$A:$A,'RAWDATA Cars Buyers DB'!I:I)</f>
        <v>0–1 Kilometre</v>
      </c>
      <c r="J241" s="8" t="str">
        <f>_xlfn.XLOOKUP($A241,'RAWDATA Cars Buyers DB'!$A:$A,'RAWDATA Cars Buyers DB'!J:J)</f>
        <v>Berlin</v>
      </c>
      <c r="K241" s="8">
        <f>_xlfn.XLOOKUP($A241,'RAWDATA Cars Buyers DB'!$A:$A,'RAWDATA Cars Buyers DB'!K:K)</f>
        <v>54</v>
      </c>
      <c r="L241" s="10" t="str">
        <f>IF(_xlfn.XLOOKUP($A241,'RAWDATA Cars Buyers DB'!$A:$A,'RAWDATA Cars Buyers DB'!K:K)&gt;54,"Old ",IF(_xlfn.XLOOKUP($A241,'RAWDATA Cars Buyers DB'!$A:$A,'RAWDATA Cars Buyers DB'!K:K)&gt;=31,"Middle Age ",IF(_xlfn.XLOOKUP($A241,'RAWDATA Cars Buyers DB'!$A:$A,'RAWDATA Cars Buyers DB'!K:K)&lt;31,"Adolescent","Invalid")))</f>
        <v xml:space="preserve">Middle Age </v>
      </c>
      <c r="M241" s="8" t="str">
        <f>_xlfn.XLOOKUP($A241,'RAWDATA Cars Buyers DB'!$A:$A,'RAWDATA Cars Buyers DB'!L:L)</f>
        <v>Yes</v>
      </c>
    </row>
    <row r="242" spans="1:13">
      <c r="A242" s="6">
        <v>57254</v>
      </c>
      <c r="B242" s="10" t="str">
        <f>IF(_xlfn.XLOOKUP($A242,'RAWDATA Cars Buyers DB'!$A:$A,'RAWDATA Cars Buyers DB'!B:B)="S","Single","Married")</f>
        <v>Married</v>
      </c>
      <c r="C242" s="10" t="str">
        <f>IF(_xlfn.XLOOKUP($A242,'RAWDATA Cars Buyers DB'!$A:$A,'RAWDATA Cars Buyers DB'!C:C)="F","Female","Male")</f>
        <v>Female</v>
      </c>
      <c r="D242" s="7">
        <f>_xlfn.XLOOKUP($A242,'RAWDATA Cars Buyers DB'!$A:$A,'RAWDATA Cars Buyers DB'!D:D)</f>
        <v>47716</v>
      </c>
      <c r="E242" s="8">
        <f>_xlfn.XLOOKUP($A242,'RAWDATA Cars Buyers DB'!$A:$A,'RAWDATA Cars Buyers DB'!E:E)</f>
        <v>5</v>
      </c>
      <c r="F242" s="8" t="str">
        <f>_xlfn.XLOOKUP($A242,'RAWDATA Cars Buyers DB'!$A:$A,'RAWDATA Cars Buyers DB'!F:F)</f>
        <v>Partial College</v>
      </c>
      <c r="G242" s="8" t="str">
        <f>_xlfn.XLOOKUP($A242,'RAWDATA Cars Buyers DB'!$A:$A,'RAWDATA Cars Buyers DB'!G:G)</f>
        <v>Professional</v>
      </c>
      <c r="H242" s="8" t="str">
        <f>_xlfn.XLOOKUP($A242,'RAWDATA Cars Buyers DB'!$A:$A,'RAWDATA Cars Buyers DB'!H:H)</f>
        <v>No</v>
      </c>
      <c r="I242" s="8" t="str">
        <f>_xlfn.XLOOKUP($A242,'RAWDATA Cars Buyers DB'!$A:$A,'RAWDATA Cars Buyers DB'!I:I)</f>
        <v>1–2 Kilometre</v>
      </c>
      <c r="J242" s="8" t="str">
        <f>_xlfn.XLOOKUP($A242,'RAWDATA Cars Buyers DB'!$A:$A,'RAWDATA Cars Buyers DB'!J:J)</f>
        <v>Thuringia</v>
      </c>
      <c r="K242" s="8">
        <f>_xlfn.XLOOKUP($A242,'RAWDATA Cars Buyers DB'!$A:$A,'RAWDATA Cars Buyers DB'!K:K)</f>
        <v>65</v>
      </c>
      <c r="L242" s="10" t="str">
        <f>IF(_xlfn.XLOOKUP($A242,'RAWDATA Cars Buyers DB'!$A:$A,'RAWDATA Cars Buyers DB'!K:K)&gt;54,"Old ",IF(_xlfn.XLOOKUP($A242,'RAWDATA Cars Buyers DB'!$A:$A,'RAWDATA Cars Buyers DB'!K:K)&gt;=31,"Middle Age ",IF(_xlfn.XLOOKUP($A242,'RAWDATA Cars Buyers DB'!$A:$A,'RAWDATA Cars Buyers DB'!K:K)&lt;31,"Adolescent","Invalid")))</f>
        <v xml:space="preserve">Old </v>
      </c>
      <c r="M242" s="8" t="str">
        <f>_xlfn.XLOOKUP($A242,'RAWDATA Cars Buyers DB'!$A:$A,'RAWDATA Cars Buyers DB'!L:L)</f>
        <v>No</v>
      </c>
    </row>
    <row r="243" spans="1:13">
      <c r="A243" s="6">
        <v>31918</v>
      </c>
      <c r="B243" s="10" t="str">
        <f>IF(_xlfn.XLOOKUP($A243,'RAWDATA Cars Buyers DB'!$A:$A,'RAWDATA Cars Buyers DB'!B:B)="S","Single","Married")</f>
        <v>Married</v>
      </c>
      <c r="C243" s="10" t="str">
        <f>IF(_xlfn.XLOOKUP($A243,'RAWDATA Cars Buyers DB'!$A:$A,'RAWDATA Cars Buyers DB'!C:C)="F","Female","Male")</f>
        <v>Male</v>
      </c>
      <c r="D243" s="7">
        <f>_xlfn.XLOOKUP($A243,'RAWDATA Cars Buyers DB'!$A:$A,'RAWDATA Cars Buyers DB'!D:D)</f>
        <v>23236</v>
      </c>
      <c r="E243" s="8">
        <f>_xlfn.XLOOKUP($A243,'RAWDATA Cars Buyers DB'!$A:$A,'RAWDATA Cars Buyers DB'!E:E)</f>
        <v>1</v>
      </c>
      <c r="F243" s="8" t="str">
        <f>_xlfn.XLOOKUP($A243,'RAWDATA Cars Buyers DB'!$A:$A,'RAWDATA Cars Buyers DB'!F:F)</f>
        <v>High School</v>
      </c>
      <c r="G243" s="8" t="str">
        <f>_xlfn.XLOOKUP($A243,'RAWDATA Cars Buyers DB'!$A:$A,'RAWDATA Cars Buyers DB'!G:G)</f>
        <v>Management</v>
      </c>
      <c r="H243" s="8" t="str">
        <f>_xlfn.XLOOKUP($A243,'RAWDATA Cars Buyers DB'!$A:$A,'RAWDATA Cars Buyers DB'!H:H)</f>
        <v>No</v>
      </c>
      <c r="I243" s="8" t="str">
        <f>_xlfn.XLOOKUP($A243,'RAWDATA Cars Buyers DB'!$A:$A,'RAWDATA Cars Buyers DB'!I:I)</f>
        <v>4–6 Kilometre</v>
      </c>
      <c r="J243" s="8" t="str">
        <f>_xlfn.XLOOKUP($A243,'RAWDATA Cars Buyers DB'!$A:$A,'RAWDATA Cars Buyers DB'!J:J)</f>
        <v>Rhineland-Palatinate</v>
      </c>
      <c r="K243" s="8">
        <f>_xlfn.XLOOKUP($A243,'RAWDATA Cars Buyers DB'!$A:$A,'RAWDATA Cars Buyers DB'!K:K)</f>
        <v>40</v>
      </c>
      <c r="L243" s="10" t="str">
        <f>IF(_xlfn.XLOOKUP($A243,'RAWDATA Cars Buyers DB'!$A:$A,'RAWDATA Cars Buyers DB'!K:K)&gt;54,"Old ",IF(_xlfn.XLOOKUP($A243,'RAWDATA Cars Buyers DB'!$A:$A,'RAWDATA Cars Buyers DB'!K:K)&gt;=31,"Middle Age ",IF(_xlfn.XLOOKUP($A243,'RAWDATA Cars Buyers DB'!$A:$A,'RAWDATA Cars Buyers DB'!K:K)&lt;31,"Adolescent","Invalid")))</f>
        <v xml:space="preserve">Middle Age </v>
      </c>
      <c r="M243" s="8" t="str">
        <f>_xlfn.XLOOKUP($A243,'RAWDATA Cars Buyers DB'!$A:$A,'RAWDATA Cars Buyers DB'!L:L)</f>
        <v>No</v>
      </c>
    </row>
    <row r="244" spans="1:13">
      <c r="A244" s="6">
        <v>95981</v>
      </c>
      <c r="B244" s="10" t="str">
        <f>IF(_xlfn.XLOOKUP($A244,'RAWDATA Cars Buyers DB'!$A:$A,'RAWDATA Cars Buyers DB'!B:B)="S","Single","Married")</f>
        <v>Married</v>
      </c>
      <c r="C244" s="10" t="str">
        <f>IF(_xlfn.XLOOKUP($A244,'RAWDATA Cars Buyers DB'!$A:$A,'RAWDATA Cars Buyers DB'!C:C)="F","Female","Male")</f>
        <v>Male</v>
      </c>
      <c r="D244" s="7">
        <f>_xlfn.XLOOKUP($A244,'RAWDATA Cars Buyers DB'!$A:$A,'RAWDATA Cars Buyers DB'!D:D)</f>
        <v>35848</v>
      </c>
      <c r="E244" s="8">
        <f>_xlfn.XLOOKUP($A244,'RAWDATA Cars Buyers DB'!$A:$A,'RAWDATA Cars Buyers DB'!E:E)</f>
        <v>2</v>
      </c>
      <c r="F244" s="8" t="str">
        <f>_xlfn.XLOOKUP($A244,'RAWDATA Cars Buyers DB'!$A:$A,'RAWDATA Cars Buyers DB'!F:F)</f>
        <v>High School</v>
      </c>
      <c r="G244" s="8" t="str">
        <f>_xlfn.XLOOKUP($A244,'RAWDATA Cars Buyers DB'!$A:$A,'RAWDATA Cars Buyers DB'!G:G)</f>
        <v>Clerical</v>
      </c>
      <c r="H244" s="8" t="str">
        <f>_xlfn.XLOOKUP($A244,'RAWDATA Cars Buyers DB'!$A:$A,'RAWDATA Cars Buyers DB'!H:H)</f>
        <v>Yes</v>
      </c>
      <c r="I244" s="8" t="str">
        <f>_xlfn.XLOOKUP($A244,'RAWDATA Cars Buyers DB'!$A:$A,'RAWDATA Cars Buyers DB'!I:I)</f>
        <v>6+ Kilometre</v>
      </c>
      <c r="J244" s="8" t="str">
        <f>_xlfn.XLOOKUP($A244,'RAWDATA Cars Buyers DB'!$A:$A,'RAWDATA Cars Buyers DB'!J:J)</f>
        <v>Brandenburg</v>
      </c>
      <c r="K244" s="8">
        <f>_xlfn.XLOOKUP($A244,'RAWDATA Cars Buyers DB'!$A:$A,'RAWDATA Cars Buyers DB'!K:K)</f>
        <v>29</v>
      </c>
      <c r="L244" s="10" t="str">
        <f>IF(_xlfn.XLOOKUP($A244,'RAWDATA Cars Buyers DB'!$A:$A,'RAWDATA Cars Buyers DB'!K:K)&gt;54,"Old ",IF(_xlfn.XLOOKUP($A244,'RAWDATA Cars Buyers DB'!$A:$A,'RAWDATA Cars Buyers DB'!K:K)&gt;=31,"Middle Age ",IF(_xlfn.XLOOKUP($A244,'RAWDATA Cars Buyers DB'!$A:$A,'RAWDATA Cars Buyers DB'!K:K)&lt;31,"Adolescent","Invalid")))</f>
        <v>Adolescent</v>
      </c>
      <c r="M244" s="8" t="str">
        <f>_xlfn.XLOOKUP($A244,'RAWDATA Cars Buyers DB'!$A:$A,'RAWDATA Cars Buyers DB'!L:L)</f>
        <v>No</v>
      </c>
    </row>
    <row r="245" spans="1:13">
      <c r="A245" s="6">
        <v>70713</v>
      </c>
      <c r="B245" s="10" t="str">
        <f>IF(_xlfn.XLOOKUP($A245,'RAWDATA Cars Buyers DB'!$A:$A,'RAWDATA Cars Buyers DB'!B:B)="S","Single","Married")</f>
        <v>Married</v>
      </c>
      <c r="C245" s="10" t="str">
        <f>IF(_xlfn.XLOOKUP($A245,'RAWDATA Cars Buyers DB'!$A:$A,'RAWDATA Cars Buyers DB'!C:C)="F","Female","Male")</f>
        <v>Female</v>
      </c>
      <c r="D245" s="7">
        <f>_xlfn.XLOOKUP($A245,'RAWDATA Cars Buyers DB'!$A:$A,'RAWDATA Cars Buyers DB'!D:D)</f>
        <v>22352</v>
      </c>
      <c r="E245" s="8">
        <f>_xlfn.XLOOKUP($A245,'RAWDATA Cars Buyers DB'!$A:$A,'RAWDATA Cars Buyers DB'!E:E)</f>
        <v>3</v>
      </c>
      <c r="F245" s="8" t="str">
        <f>_xlfn.XLOOKUP($A245,'RAWDATA Cars Buyers DB'!$A:$A,'RAWDATA Cars Buyers DB'!F:F)</f>
        <v>Graduate Degree</v>
      </c>
      <c r="G245" s="8" t="str">
        <f>_xlfn.XLOOKUP($A245,'RAWDATA Cars Buyers DB'!$A:$A,'RAWDATA Cars Buyers DB'!G:G)</f>
        <v>Skilled Manual</v>
      </c>
      <c r="H245" s="8" t="str">
        <f>_xlfn.XLOOKUP($A245,'RAWDATA Cars Buyers DB'!$A:$A,'RAWDATA Cars Buyers DB'!H:H)</f>
        <v>Yes</v>
      </c>
      <c r="I245" s="8" t="str">
        <f>_xlfn.XLOOKUP($A245,'RAWDATA Cars Buyers DB'!$A:$A,'RAWDATA Cars Buyers DB'!I:I)</f>
        <v>1–2 Kilometre</v>
      </c>
      <c r="J245" s="8" t="str">
        <f>_xlfn.XLOOKUP($A245,'RAWDATA Cars Buyers DB'!$A:$A,'RAWDATA Cars Buyers DB'!J:J)</f>
        <v>Berlin</v>
      </c>
      <c r="K245" s="8">
        <f>_xlfn.XLOOKUP($A245,'RAWDATA Cars Buyers DB'!$A:$A,'RAWDATA Cars Buyers DB'!K:K)</f>
        <v>35</v>
      </c>
      <c r="L245" s="10" t="str">
        <f>IF(_xlfn.XLOOKUP($A245,'RAWDATA Cars Buyers DB'!$A:$A,'RAWDATA Cars Buyers DB'!K:K)&gt;54,"Old ",IF(_xlfn.XLOOKUP($A245,'RAWDATA Cars Buyers DB'!$A:$A,'RAWDATA Cars Buyers DB'!K:K)&gt;=31,"Middle Age ",IF(_xlfn.XLOOKUP($A245,'RAWDATA Cars Buyers DB'!$A:$A,'RAWDATA Cars Buyers DB'!K:K)&lt;31,"Adolescent","Invalid")))</f>
        <v xml:space="preserve">Middle Age </v>
      </c>
      <c r="M245" s="8" t="str">
        <f>_xlfn.XLOOKUP($A245,'RAWDATA Cars Buyers DB'!$A:$A,'RAWDATA Cars Buyers DB'!L:L)</f>
        <v>No</v>
      </c>
    </row>
    <row r="246" spans="1:13">
      <c r="A246" s="6">
        <v>40306</v>
      </c>
      <c r="B246" s="10" t="str">
        <f>IF(_xlfn.XLOOKUP($A246,'RAWDATA Cars Buyers DB'!$A:$A,'RAWDATA Cars Buyers DB'!B:B)="S","Single","Married")</f>
        <v>Single</v>
      </c>
      <c r="C246" s="10" t="str">
        <f>IF(_xlfn.XLOOKUP($A246,'RAWDATA Cars Buyers DB'!$A:$A,'RAWDATA Cars Buyers DB'!C:C)="F","Female","Male")</f>
        <v>Male</v>
      </c>
      <c r="D246" s="7">
        <f>_xlfn.XLOOKUP($A246,'RAWDATA Cars Buyers DB'!$A:$A,'RAWDATA Cars Buyers DB'!D:D)</f>
        <v>21932</v>
      </c>
      <c r="E246" s="8">
        <f>_xlfn.XLOOKUP($A246,'RAWDATA Cars Buyers DB'!$A:$A,'RAWDATA Cars Buyers DB'!E:E)</f>
        <v>2</v>
      </c>
      <c r="F246" s="8" t="str">
        <f>_xlfn.XLOOKUP($A246,'RAWDATA Cars Buyers DB'!$A:$A,'RAWDATA Cars Buyers DB'!F:F)</f>
        <v>Partial College</v>
      </c>
      <c r="G246" s="8" t="str">
        <f>_xlfn.XLOOKUP($A246,'RAWDATA Cars Buyers DB'!$A:$A,'RAWDATA Cars Buyers DB'!G:G)</f>
        <v>Skilled Manual</v>
      </c>
      <c r="H246" s="8" t="str">
        <f>_xlfn.XLOOKUP($A246,'RAWDATA Cars Buyers DB'!$A:$A,'RAWDATA Cars Buyers DB'!H:H)</f>
        <v>Yes</v>
      </c>
      <c r="I246" s="8" t="str">
        <f>_xlfn.XLOOKUP($A246,'RAWDATA Cars Buyers DB'!$A:$A,'RAWDATA Cars Buyers DB'!I:I)</f>
        <v>4–6 Kilometre</v>
      </c>
      <c r="J246" s="8" t="str">
        <f>_xlfn.XLOOKUP($A246,'RAWDATA Cars Buyers DB'!$A:$A,'RAWDATA Cars Buyers DB'!J:J)</f>
        <v>Mecklenburg-Vorpommern</v>
      </c>
      <c r="K246" s="8">
        <f>_xlfn.XLOOKUP($A246,'RAWDATA Cars Buyers DB'!$A:$A,'RAWDATA Cars Buyers DB'!K:K)</f>
        <v>26</v>
      </c>
      <c r="L246" s="10" t="str">
        <f>IF(_xlfn.XLOOKUP($A246,'RAWDATA Cars Buyers DB'!$A:$A,'RAWDATA Cars Buyers DB'!K:K)&gt;54,"Old ",IF(_xlfn.XLOOKUP($A246,'RAWDATA Cars Buyers DB'!$A:$A,'RAWDATA Cars Buyers DB'!K:K)&gt;=31,"Middle Age ",IF(_xlfn.XLOOKUP($A246,'RAWDATA Cars Buyers DB'!$A:$A,'RAWDATA Cars Buyers DB'!K:K)&lt;31,"Adolescent","Invalid")))</f>
        <v>Adolescent</v>
      </c>
      <c r="M246" s="8" t="str">
        <f>_xlfn.XLOOKUP($A246,'RAWDATA Cars Buyers DB'!$A:$A,'RAWDATA Cars Buyers DB'!L:L)</f>
        <v>No</v>
      </c>
    </row>
    <row r="247" spans="1:13">
      <c r="A247" s="6">
        <v>26646</v>
      </c>
      <c r="B247" s="10" t="str">
        <f>IF(_xlfn.XLOOKUP($A247,'RAWDATA Cars Buyers DB'!$A:$A,'RAWDATA Cars Buyers DB'!B:B)="S","Single","Married")</f>
        <v>Married</v>
      </c>
      <c r="C247" s="10" t="str">
        <f>IF(_xlfn.XLOOKUP($A247,'RAWDATA Cars Buyers DB'!$A:$A,'RAWDATA Cars Buyers DB'!C:C)="F","Female","Male")</f>
        <v>Female</v>
      </c>
      <c r="D247" s="7">
        <f>_xlfn.XLOOKUP($A247,'RAWDATA Cars Buyers DB'!$A:$A,'RAWDATA Cars Buyers DB'!D:D)</f>
        <v>96449</v>
      </c>
      <c r="E247" s="8">
        <f>_xlfn.XLOOKUP($A247,'RAWDATA Cars Buyers DB'!$A:$A,'RAWDATA Cars Buyers DB'!E:E)</f>
        <v>4</v>
      </c>
      <c r="F247" s="8" t="str">
        <f>_xlfn.XLOOKUP($A247,'RAWDATA Cars Buyers DB'!$A:$A,'RAWDATA Cars Buyers DB'!F:F)</f>
        <v>High School</v>
      </c>
      <c r="G247" s="8" t="str">
        <f>_xlfn.XLOOKUP($A247,'RAWDATA Cars Buyers DB'!$A:$A,'RAWDATA Cars Buyers DB'!G:G)</f>
        <v>Professional</v>
      </c>
      <c r="H247" s="8" t="str">
        <f>_xlfn.XLOOKUP($A247,'RAWDATA Cars Buyers DB'!$A:$A,'RAWDATA Cars Buyers DB'!H:H)</f>
        <v>No</v>
      </c>
      <c r="I247" s="8" t="str">
        <f>_xlfn.XLOOKUP($A247,'RAWDATA Cars Buyers DB'!$A:$A,'RAWDATA Cars Buyers DB'!I:I)</f>
        <v>6+ Kilometre</v>
      </c>
      <c r="J247" s="8" t="str">
        <f>_xlfn.XLOOKUP($A247,'RAWDATA Cars Buyers DB'!$A:$A,'RAWDATA Cars Buyers DB'!J:J)</f>
        <v>Brandenburg</v>
      </c>
      <c r="K247" s="8">
        <f>_xlfn.XLOOKUP($A247,'RAWDATA Cars Buyers DB'!$A:$A,'RAWDATA Cars Buyers DB'!K:K)</f>
        <v>23</v>
      </c>
      <c r="L247" s="10" t="str">
        <f>IF(_xlfn.XLOOKUP($A247,'RAWDATA Cars Buyers DB'!$A:$A,'RAWDATA Cars Buyers DB'!K:K)&gt;54,"Old ",IF(_xlfn.XLOOKUP($A247,'RAWDATA Cars Buyers DB'!$A:$A,'RAWDATA Cars Buyers DB'!K:K)&gt;=31,"Middle Age ",IF(_xlfn.XLOOKUP($A247,'RAWDATA Cars Buyers DB'!$A:$A,'RAWDATA Cars Buyers DB'!K:K)&lt;31,"Adolescent","Invalid")))</f>
        <v>Adolescent</v>
      </c>
      <c r="M247" s="8" t="str">
        <f>_xlfn.XLOOKUP($A247,'RAWDATA Cars Buyers DB'!$A:$A,'RAWDATA Cars Buyers DB'!L:L)</f>
        <v>Yes</v>
      </c>
    </row>
    <row r="248" spans="1:13">
      <c r="A248" s="6">
        <v>56843</v>
      </c>
      <c r="B248" s="10" t="str">
        <f>IF(_xlfn.XLOOKUP($A248,'RAWDATA Cars Buyers DB'!$A:$A,'RAWDATA Cars Buyers DB'!B:B)="S","Single","Married")</f>
        <v>Married</v>
      </c>
      <c r="C248" s="10" t="str">
        <f>IF(_xlfn.XLOOKUP($A248,'RAWDATA Cars Buyers DB'!$A:$A,'RAWDATA Cars Buyers DB'!C:C)="F","Female","Male")</f>
        <v>Female</v>
      </c>
      <c r="D248" s="7">
        <f>_xlfn.XLOOKUP($A248,'RAWDATA Cars Buyers DB'!$A:$A,'RAWDATA Cars Buyers DB'!D:D)</f>
        <v>28556</v>
      </c>
      <c r="E248" s="8">
        <f>_xlfn.XLOOKUP($A248,'RAWDATA Cars Buyers DB'!$A:$A,'RAWDATA Cars Buyers DB'!E:E)</f>
        <v>0</v>
      </c>
      <c r="F248" s="8" t="str">
        <f>_xlfn.XLOOKUP($A248,'RAWDATA Cars Buyers DB'!$A:$A,'RAWDATA Cars Buyers DB'!F:F)</f>
        <v>Bachelors</v>
      </c>
      <c r="G248" s="8" t="str">
        <f>_xlfn.XLOOKUP($A248,'RAWDATA Cars Buyers DB'!$A:$A,'RAWDATA Cars Buyers DB'!G:G)</f>
        <v>Management</v>
      </c>
      <c r="H248" s="8" t="str">
        <f>_xlfn.XLOOKUP($A248,'RAWDATA Cars Buyers DB'!$A:$A,'RAWDATA Cars Buyers DB'!H:H)</f>
        <v>No</v>
      </c>
      <c r="I248" s="8" t="str">
        <f>_xlfn.XLOOKUP($A248,'RAWDATA Cars Buyers DB'!$A:$A,'RAWDATA Cars Buyers DB'!I:I)</f>
        <v>6+ Kilometre</v>
      </c>
      <c r="J248" s="8" t="str">
        <f>_xlfn.XLOOKUP($A248,'RAWDATA Cars Buyers DB'!$A:$A,'RAWDATA Cars Buyers DB'!J:J)</f>
        <v>Berlin</v>
      </c>
      <c r="K248" s="8">
        <f>_xlfn.XLOOKUP($A248,'RAWDATA Cars Buyers DB'!$A:$A,'RAWDATA Cars Buyers DB'!K:K)</f>
        <v>46</v>
      </c>
      <c r="L248" s="10" t="str">
        <f>IF(_xlfn.XLOOKUP($A248,'RAWDATA Cars Buyers DB'!$A:$A,'RAWDATA Cars Buyers DB'!K:K)&gt;54,"Old ",IF(_xlfn.XLOOKUP($A248,'RAWDATA Cars Buyers DB'!$A:$A,'RAWDATA Cars Buyers DB'!K:K)&gt;=31,"Middle Age ",IF(_xlfn.XLOOKUP($A248,'RAWDATA Cars Buyers DB'!$A:$A,'RAWDATA Cars Buyers DB'!K:K)&lt;31,"Adolescent","Invalid")))</f>
        <v xml:space="preserve">Middle Age </v>
      </c>
      <c r="M248" s="8" t="str">
        <f>_xlfn.XLOOKUP($A248,'RAWDATA Cars Buyers DB'!$A:$A,'RAWDATA Cars Buyers DB'!L:L)</f>
        <v>No</v>
      </c>
    </row>
    <row r="249" spans="1:13">
      <c r="A249" s="6">
        <v>26371</v>
      </c>
      <c r="B249" s="10" t="str">
        <f>IF(_xlfn.XLOOKUP($A249,'RAWDATA Cars Buyers DB'!$A:$A,'RAWDATA Cars Buyers DB'!B:B)="S","Single","Married")</f>
        <v>Married</v>
      </c>
      <c r="C249" s="10" t="str">
        <f>IF(_xlfn.XLOOKUP($A249,'RAWDATA Cars Buyers DB'!$A:$A,'RAWDATA Cars Buyers DB'!C:C)="F","Female","Male")</f>
        <v>Male</v>
      </c>
      <c r="D249" s="7">
        <f>_xlfn.XLOOKUP($A249,'RAWDATA Cars Buyers DB'!$A:$A,'RAWDATA Cars Buyers DB'!D:D)</f>
        <v>106836</v>
      </c>
      <c r="E249" s="8">
        <f>_xlfn.XLOOKUP($A249,'RAWDATA Cars Buyers DB'!$A:$A,'RAWDATA Cars Buyers DB'!E:E)</f>
        <v>3</v>
      </c>
      <c r="F249" s="8" t="str">
        <f>_xlfn.XLOOKUP($A249,'RAWDATA Cars Buyers DB'!$A:$A,'RAWDATA Cars Buyers DB'!F:F)</f>
        <v>Partial College</v>
      </c>
      <c r="G249" s="8" t="str">
        <f>_xlfn.XLOOKUP($A249,'RAWDATA Cars Buyers DB'!$A:$A,'RAWDATA Cars Buyers DB'!G:G)</f>
        <v>Clerical</v>
      </c>
      <c r="H249" s="8" t="str">
        <f>_xlfn.XLOOKUP($A249,'RAWDATA Cars Buyers DB'!$A:$A,'RAWDATA Cars Buyers DB'!H:H)</f>
        <v>Yes</v>
      </c>
      <c r="I249" s="8" t="str">
        <f>_xlfn.XLOOKUP($A249,'RAWDATA Cars Buyers DB'!$A:$A,'RAWDATA Cars Buyers DB'!I:I)</f>
        <v>0–1 Kilometre</v>
      </c>
      <c r="J249" s="8" t="str">
        <f>_xlfn.XLOOKUP($A249,'RAWDATA Cars Buyers DB'!$A:$A,'RAWDATA Cars Buyers DB'!J:J)</f>
        <v>Saarland</v>
      </c>
      <c r="K249" s="8">
        <f>_xlfn.XLOOKUP($A249,'RAWDATA Cars Buyers DB'!$A:$A,'RAWDATA Cars Buyers DB'!K:K)</f>
        <v>44</v>
      </c>
      <c r="L249" s="10" t="str">
        <f>IF(_xlfn.XLOOKUP($A249,'RAWDATA Cars Buyers DB'!$A:$A,'RAWDATA Cars Buyers DB'!K:K)&gt;54,"Old ",IF(_xlfn.XLOOKUP($A249,'RAWDATA Cars Buyers DB'!$A:$A,'RAWDATA Cars Buyers DB'!K:K)&gt;=31,"Middle Age ",IF(_xlfn.XLOOKUP($A249,'RAWDATA Cars Buyers DB'!$A:$A,'RAWDATA Cars Buyers DB'!K:K)&lt;31,"Adolescent","Invalid")))</f>
        <v xml:space="preserve">Middle Age </v>
      </c>
      <c r="M249" s="8" t="str">
        <f>_xlfn.XLOOKUP($A249,'RAWDATA Cars Buyers DB'!$A:$A,'RAWDATA Cars Buyers DB'!L:L)</f>
        <v>No</v>
      </c>
    </row>
    <row r="250" spans="1:13">
      <c r="A250" s="6">
        <v>87371</v>
      </c>
      <c r="B250" s="10" t="str">
        <f>IF(_xlfn.XLOOKUP($A250,'RAWDATA Cars Buyers DB'!$A:$A,'RAWDATA Cars Buyers DB'!B:B)="S","Single","Married")</f>
        <v>Single</v>
      </c>
      <c r="C250" s="10" t="str">
        <f>IF(_xlfn.XLOOKUP($A250,'RAWDATA Cars Buyers DB'!$A:$A,'RAWDATA Cars Buyers DB'!C:C)="F","Female","Male")</f>
        <v>Male</v>
      </c>
      <c r="D250" s="7">
        <f>_xlfn.XLOOKUP($A250,'RAWDATA Cars Buyers DB'!$A:$A,'RAWDATA Cars Buyers DB'!D:D)</f>
        <v>25498</v>
      </c>
      <c r="E250" s="8">
        <f>_xlfn.XLOOKUP($A250,'RAWDATA Cars Buyers DB'!$A:$A,'RAWDATA Cars Buyers DB'!E:E)</f>
        <v>3</v>
      </c>
      <c r="F250" s="8" t="str">
        <f>_xlfn.XLOOKUP($A250,'RAWDATA Cars Buyers DB'!$A:$A,'RAWDATA Cars Buyers DB'!F:F)</f>
        <v>Partial College</v>
      </c>
      <c r="G250" s="8" t="str">
        <f>_xlfn.XLOOKUP($A250,'RAWDATA Cars Buyers DB'!$A:$A,'RAWDATA Cars Buyers DB'!G:G)</f>
        <v>Clerical</v>
      </c>
      <c r="H250" s="8" t="str">
        <f>_xlfn.XLOOKUP($A250,'RAWDATA Cars Buyers DB'!$A:$A,'RAWDATA Cars Buyers DB'!H:H)</f>
        <v>Yes</v>
      </c>
      <c r="I250" s="8" t="str">
        <f>_xlfn.XLOOKUP($A250,'RAWDATA Cars Buyers DB'!$A:$A,'RAWDATA Cars Buyers DB'!I:I)</f>
        <v>1–2 Kilometre</v>
      </c>
      <c r="J250" s="8" t="str">
        <f>_xlfn.XLOOKUP($A250,'RAWDATA Cars Buyers DB'!$A:$A,'RAWDATA Cars Buyers DB'!J:J)</f>
        <v>Saxony-Anhalt</v>
      </c>
      <c r="K250" s="8">
        <f>_xlfn.XLOOKUP($A250,'RAWDATA Cars Buyers DB'!$A:$A,'RAWDATA Cars Buyers DB'!K:K)</f>
        <v>50</v>
      </c>
      <c r="L250" s="10" t="str">
        <f>IF(_xlfn.XLOOKUP($A250,'RAWDATA Cars Buyers DB'!$A:$A,'RAWDATA Cars Buyers DB'!K:K)&gt;54,"Old ",IF(_xlfn.XLOOKUP($A250,'RAWDATA Cars Buyers DB'!$A:$A,'RAWDATA Cars Buyers DB'!K:K)&gt;=31,"Middle Age ",IF(_xlfn.XLOOKUP($A250,'RAWDATA Cars Buyers DB'!$A:$A,'RAWDATA Cars Buyers DB'!K:K)&lt;31,"Adolescent","Invalid")))</f>
        <v xml:space="preserve">Middle Age </v>
      </c>
      <c r="M250" s="8" t="str">
        <f>_xlfn.XLOOKUP($A250,'RAWDATA Cars Buyers DB'!$A:$A,'RAWDATA Cars Buyers DB'!L:L)</f>
        <v>No</v>
      </c>
    </row>
    <row r="251" spans="1:13">
      <c r="A251" s="6">
        <v>12049</v>
      </c>
      <c r="B251" s="10" t="str">
        <f>IF(_xlfn.XLOOKUP($A251,'RAWDATA Cars Buyers DB'!$A:$A,'RAWDATA Cars Buyers DB'!B:B)="S","Single","Married")</f>
        <v>Single</v>
      </c>
      <c r="C251" s="10" t="str">
        <f>IF(_xlfn.XLOOKUP($A251,'RAWDATA Cars Buyers DB'!$A:$A,'RAWDATA Cars Buyers DB'!C:C)="F","Female","Male")</f>
        <v>Male</v>
      </c>
      <c r="D251" s="7">
        <f>_xlfn.XLOOKUP($A251,'RAWDATA Cars Buyers DB'!$A:$A,'RAWDATA Cars Buyers DB'!D:D)</f>
        <v>96118</v>
      </c>
      <c r="E251" s="8">
        <f>_xlfn.XLOOKUP($A251,'RAWDATA Cars Buyers DB'!$A:$A,'RAWDATA Cars Buyers DB'!E:E)</f>
        <v>4</v>
      </c>
      <c r="F251" s="8" t="str">
        <f>_xlfn.XLOOKUP($A251,'RAWDATA Cars Buyers DB'!$A:$A,'RAWDATA Cars Buyers DB'!F:F)</f>
        <v>Partial College</v>
      </c>
      <c r="G251" s="8" t="str">
        <f>_xlfn.XLOOKUP($A251,'RAWDATA Cars Buyers DB'!$A:$A,'RAWDATA Cars Buyers DB'!G:G)</f>
        <v>Management</v>
      </c>
      <c r="H251" s="8" t="str">
        <f>_xlfn.XLOOKUP($A251,'RAWDATA Cars Buyers DB'!$A:$A,'RAWDATA Cars Buyers DB'!H:H)</f>
        <v>No</v>
      </c>
      <c r="I251" s="8" t="str">
        <f>_xlfn.XLOOKUP($A251,'RAWDATA Cars Buyers DB'!$A:$A,'RAWDATA Cars Buyers DB'!I:I)</f>
        <v>6+ Kilometre</v>
      </c>
      <c r="J251" s="8" t="str">
        <f>_xlfn.XLOOKUP($A251,'RAWDATA Cars Buyers DB'!$A:$A,'RAWDATA Cars Buyers DB'!J:J)</f>
        <v>Hesse</v>
      </c>
      <c r="K251" s="8">
        <f>_xlfn.XLOOKUP($A251,'RAWDATA Cars Buyers DB'!$A:$A,'RAWDATA Cars Buyers DB'!K:K)</f>
        <v>30</v>
      </c>
      <c r="L251" s="10" t="str">
        <f>IF(_xlfn.XLOOKUP($A251,'RAWDATA Cars Buyers DB'!$A:$A,'RAWDATA Cars Buyers DB'!K:K)&gt;54,"Old ",IF(_xlfn.XLOOKUP($A251,'RAWDATA Cars Buyers DB'!$A:$A,'RAWDATA Cars Buyers DB'!K:K)&gt;=31,"Middle Age ",IF(_xlfn.XLOOKUP($A251,'RAWDATA Cars Buyers DB'!$A:$A,'RAWDATA Cars Buyers DB'!K:K)&lt;31,"Adolescent","Invalid")))</f>
        <v>Adolescent</v>
      </c>
      <c r="M251" s="8" t="str">
        <f>_xlfn.XLOOKUP($A251,'RAWDATA Cars Buyers DB'!$A:$A,'RAWDATA Cars Buyers DB'!L:L)</f>
        <v>Yes</v>
      </c>
    </row>
    <row r="252" spans="1:13">
      <c r="A252" s="6">
        <v>41616</v>
      </c>
      <c r="B252" s="10" t="str">
        <f>IF(_xlfn.XLOOKUP($A252,'RAWDATA Cars Buyers DB'!$A:$A,'RAWDATA Cars Buyers DB'!B:B)="S","Single","Married")</f>
        <v>Single</v>
      </c>
      <c r="C252" s="10" t="str">
        <f>IF(_xlfn.XLOOKUP($A252,'RAWDATA Cars Buyers DB'!$A:$A,'RAWDATA Cars Buyers DB'!C:C)="F","Female","Male")</f>
        <v>Female</v>
      </c>
      <c r="D252" s="7">
        <f>_xlfn.XLOOKUP($A252,'RAWDATA Cars Buyers DB'!$A:$A,'RAWDATA Cars Buyers DB'!D:D)</f>
        <v>70098</v>
      </c>
      <c r="E252" s="8">
        <f>_xlfn.XLOOKUP($A252,'RAWDATA Cars Buyers DB'!$A:$A,'RAWDATA Cars Buyers DB'!E:E)</f>
        <v>2</v>
      </c>
      <c r="F252" s="8" t="str">
        <f>_xlfn.XLOOKUP($A252,'RAWDATA Cars Buyers DB'!$A:$A,'RAWDATA Cars Buyers DB'!F:F)</f>
        <v>Graduate Degree</v>
      </c>
      <c r="G252" s="8" t="str">
        <f>_xlfn.XLOOKUP($A252,'RAWDATA Cars Buyers DB'!$A:$A,'RAWDATA Cars Buyers DB'!G:G)</f>
        <v>Clerical</v>
      </c>
      <c r="H252" s="8" t="str">
        <f>_xlfn.XLOOKUP($A252,'RAWDATA Cars Buyers DB'!$A:$A,'RAWDATA Cars Buyers DB'!H:H)</f>
        <v>No</v>
      </c>
      <c r="I252" s="8" t="str">
        <f>_xlfn.XLOOKUP($A252,'RAWDATA Cars Buyers DB'!$A:$A,'RAWDATA Cars Buyers DB'!I:I)</f>
        <v>6+ Kilometre</v>
      </c>
      <c r="J252" s="8" t="str">
        <f>_xlfn.XLOOKUP($A252,'RAWDATA Cars Buyers DB'!$A:$A,'RAWDATA Cars Buyers DB'!J:J)</f>
        <v>Rhineland-Palatinate</v>
      </c>
      <c r="K252" s="8">
        <f>_xlfn.XLOOKUP($A252,'RAWDATA Cars Buyers DB'!$A:$A,'RAWDATA Cars Buyers DB'!K:K)</f>
        <v>67</v>
      </c>
      <c r="L252" s="10" t="str">
        <f>IF(_xlfn.XLOOKUP($A252,'RAWDATA Cars Buyers DB'!$A:$A,'RAWDATA Cars Buyers DB'!K:K)&gt;54,"Old ",IF(_xlfn.XLOOKUP($A252,'RAWDATA Cars Buyers DB'!$A:$A,'RAWDATA Cars Buyers DB'!K:K)&gt;=31,"Middle Age ",IF(_xlfn.XLOOKUP($A252,'RAWDATA Cars Buyers DB'!$A:$A,'RAWDATA Cars Buyers DB'!K:K)&lt;31,"Adolescent","Invalid")))</f>
        <v xml:space="preserve">Old </v>
      </c>
      <c r="M252" s="8" t="str">
        <f>_xlfn.XLOOKUP($A252,'RAWDATA Cars Buyers DB'!$A:$A,'RAWDATA Cars Buyers DB'!L:L)</f>
        <v>No</v>
      </c>
    </row>
    <row r="253" spans="1:13">
      <c r="A253" s="6">
        <v>30932</v>
      </c>
      <c r="B253" s="10" t="str">
        <f>IF(_xlfn.XLOOKUP($A253,'RAWDATA Cars Buyers DB'!$A:$A,'RAWDATA Cars Buyers DB'!B:B)="S","Single","Married")</f>
        <v>Single</v>
      </c>
      <c r="C253" s="10" t="str">
        <f>IF(_xlfn.XLOOKUP($A253,'RAWDATA Cars Buyers DB'!$A:$A,'RAWDATA Cars Buyers DB'!C:C)="F","Female","Male")</f>
        <v>Male</v>
      </c>
      <c r="D253" s="7">
        <f>_xlfn.XLOOKUP($A253,'RAWDATA Cars Buyers DB'!$A:$A,'RAWDATA Cars Buyers DB'!D:D)</f>
        <v>84386</v>
      </c>
      <c r="E253" s="8">
        <f>_xlfn.XLOOKUP($A253,'RAWDATA Cars Buyers DB'!$A:$A,'RAWDATA Cars Buyers DB'!E:E)</f>
        <v>0</v>
      </c>
      <c r="F253" s="8" t="str">
        <f>_xlfn.XLOOKUP($A253,'RAWDATA Cars Buyers DB'!$A:$A,'RAWDATA Cars Buyers DB'!F:F)</f>
        <v>Bachelors</v>
      </c>
      <c r="G253" s="8" t="str">
        <f>_xlfn.XLOOKUP($A253,'RAWDATA Cars Buyers DB'!$A:$A,'RAWDATA Cars Buyers DB'!G:G)</f>
        <v>Management</v>
      </c>
      <c r="H253" s="8" t="str">
        <f>_xlfn.XLOOKUP($A253,'RAWDATA Cars Buyers DB'!$A:$A,'RAWDATA Cars Buyers DB'!H:H)</f>
        <v>No</v>
      </c>
      <c r="I253" s="8" t="str">
        <f>_xlfn.XLOOKUP($A253,'RAWDATA Cars Buyers DB'!$A:$A,'RAWDATA Cars Buyers DB'!I:I)</f>
        <v>4–6 Kilometre</v>
      </c>
      <c r="J253" s="8" t="str">
        <f>_xlfn.XLOOKUP($A253,'RAWDATA Cars Buyers DB'!$A:$A,'RAWDATA Cars Buyers DB'!J:J)</f>
        <v>Saxony-Anhalt</v>
      </c>
      <c r="K253" s="8">
        <f>_xlfn.XLOOKUP($A253,'RAWDATA Cars Buyers DB'!$A:$A,'RAWDATA Cars Buyers DB'!K:K)</f>
        <v>39</v>
      </c>
      <c r="L253" s="10" t="str">
        <f>IF(_xlfn.XLOOKUP($A253,'RAWDATA Cars Buyers DB'!$A:$A,'RAWDATA Cars Buyers DB'!K:K)&gt;54,"Old ",IF(_xlfn.XLOOKUP($A253,'RAWDATA Cars Buyers DB'!$A:$A,'RAWDATA Cars Buyers DB'!K:K)&gt;=31,"Middle Age ",IF(_xlfn.XLOOKUP($A253,'RAWDATA Cars Buyers DB'!$A:$A,'RAWDATA Cars Buyers DB'!K:K)&lt;31,"Adolescent","Invalid")))</f>
        <v xml:space="preserve">Middle Age </v>
      </c>
      <c r="M253" s="8" t="str">
        <f>_xlfn.XLOOKUP($A253,'RAWDATA Cars Buyers DB'!$A:$A,'RAWDATA Cars Buyers DB'!L:L)</f>
        <v>Yes</v>
      </c>
    </row>
    <row r="254" spans="1:13">
      <c r="A254" s="6">
        <v>39855</v>
      </c>
      <c r="B254" s="10" t="str">
        <f>IF(_xlfn.XLOOKUP($A254,'RAWDATA Cars Buyers DB'!$A:$A,'RAWDATA Cars Buyers DB'!B:B)="S","Single","Married")</f>
        <v>Married</v>
      </c>
      <c r="C254" s="10" t="str">
        <f>IF(_xlfn.XLOOKUP($A254,'RAWDATA Cars Buyers DB'!$A:$A,'RAWDATA Cars Buyers DB'!C:C)="F","Female","Male")</f>
        <v>Female</v>
      </c>
      <c r="D254" s="7">
        <f>_xlfn.XLOOKUP($A254,'RAWDATA Cars Buyers DB'!$A:$A,'RAWDATA Cars Buyers DB'!D:D)</f>
        <v>29569</v>
      </c>
      <c r="E254" s="8">
        <f>_xlfn.XLOOKUP($A254,'RAWDATA Cars Buyers DB'!$A:$A,'RAWDATA Cars Buyers DB'!E:E)</f>
        <v>2</v>
      </c>
      <c r="F254" s="8" t="str">
        <f>_xlfn.XLOOKUP($A254,'RAWDATA Cars Buyers DB'!$A:$A,'RAWDATA Cars Buyers DB'!F:F)</f>
        <v>Partial College</v>
      </c>
      <c r="G254" s="8" t="str">
        <f>_xlfn.XLOOKUP($A254,'RAWDATA Cars Buyers DB'!$A:$A,'RAWDATA Cars Buyers DB'!G:G)</f>
        <v>Skilled Manual</v>
      </c>
      <c r="H254" s="8" t="str">
        <f>_xlfn.XLOOKUP($A254,'RAWDATA Cars Buyers DB'!$A:$A,'RAWDATA Cars Buyers DB'!H:H)</f>
        <v>Yes</v>
      </c>
      <c r="I254" s="8" t="str">
        <f>_xlfn.XLOOKUP($A254,'RAWDATA Cars Buyers DB'!$A:$A,'RAWDATA Cars Buyers DB'!I:I)</f>
        <v>0–1 Kilometre</v>
      </c>
      <c r="J254" s="8" t="str">
        <f>_xlfn.XLOOKUP($A254,'RAWDATA Cars Buyers DB'!$A:$A,'RAWDATA Cars Buyers DB'!J:J)</f>
        <v>Brandenburg</v>
      </c>
      <c r="K254" s="8">
        <f>_xlfn.XLOOKUP($A254,'RAWDATA Cars Buyers DB'!$A:$A,'RAWDATA Cars Buyers DB'!K:K)</f>
        <v>55</v>
      </c>
      <c r="L254" s="10" t="str">
        <f>IF(_xlfn.XLOOKUP($A254,'RAWDATA Cars Buyers DB'!$A:$A,'RAWDATA Cars Buyers DB'!K:K)&gt;54,"Old ",IF(_xlfn.XLOOKUP($A254,'RAWDATA Cars Buyers DB'!$A:$A,'RAWDATA Cars Buyers DB'!K:K)&gt;=31,"Middle Age ",IF(_xlfn.XLOOKUP($A254,'RAWDATA Cars Buyers DB'!$A:$A,'RAWDATA Cars Buyers DB'!K:K)&lt;31,"Adolescent","Invalid")))</f>
        <v xml:space="preserve">Old </v>
      </c>
      <c r="M254" s="8" t="str">
        <f>_xlfn.XLOOKUP($A254,'RAWDATA Cars Buyers DB'!$A:$A,'RAWDATA Cars Buyers DB'!L:L)</f>
        <v>No</v>
      </c>
    </row>
    <row r="255" spans="1:13">
      <c r="A255" s="6">
        <v>71434</v>
      </c>
      <c r="B255" s="10" t="str">
        <f>IF(_xlfn.XLOOKUP($A255,'RAWDATA Cars Buyers DB'!$A:$A,'RAWDATA Cars Buyers DB'!B:B)="S","Single","Married")</f>
        <v>Married</v>
      </c>
      <c r="C255" s="10" t="str">
        <f>IF(_xlfn.XLOOKUP($A255,'RAWDATA Cars Buyers DB'!$A:$A,'RAWDATA Cars Buyers DB'!C:C)="F","Female","Male")</f>
        <v>Male</v>
      </c>
      <c r="D255" s="7">
        <f>_xlfn.XLOOKUP($A255,'RAWDATA Cars Buyers DB'!$A:$A,'RAWDATA Cars Buyers DB'!D:D)</f>
        <v>76882</v>
      </c>
      <c r="E255" s="8">
        <f>_xlfn.XLOOKUP($A255,'RAWDATA Cars Buyers DB'!$A:$A,'RAWDATA Cars Buyers DB'!E:E)</f>
        <v>1</v>
      </c>
      <c r="F255" s="8" t="str">
        <f>_xlfn.XLOOKUP($A255,'RAWDATA Cars Buyers DB'!$A:$A,'RAWDATA Cars Buyers DB'!F:F)</f>
        <v>High School</v>
      </c>
      <c r="G255" s="8" t="str">
        <f>_xlfn.XLOOKUP($A255,'RAWDATA Cars Buyers DB'!$A:$A,'RAWDATA Cars Buyers DB'!G:G)</f>
        <v>Management</v>
      </c>
      <c r="H255" s="8" t="str">
        <f>_xlfn.XLOOKUP($A255,'RAWDATA Cars Buyers DB'!$A:$A,'RAWDATA Cars Buyers DB'!H:H)</f>
        <v>No</v>
      </c>
      <c r="I255" s="8" t="str">
        <f>_xlfn.XLOOKUP($A255,'RAWDATA Cars Buyers DB'!$A:$A,'RAWDATA Cars Buyers DB'!I:I)</f>
        <v>2–4 Kilometre</v>
      </c>
      <c r="J255" s="8" t="str">
        <f>_xlfn.XLOOKUP($A255,'RAWDATA Cars Buyers DB'!$A:$A,'RAWDATA Cars Buyers DB'!J:J)</f>
        <v>Mecklenburg-Vorpommern</v>
      </c>
      <c r="K255" s="8">
        <f>_xlfn.XLOOKUP($A255,'RAWDATA Cars Buyers DB'!$A:$A,'RAWDATA Cars Buyers DB'!K:K)</f>
        <v>36</v>
      </c>
      <c r="L255" s="10" t="str">
        <f>IF(_xlfn.XLOOKUP($A255,'RAWDATA Cars Buyers DB'!$A:$A,'RAWDATA Cars Buyers DB'!K:K)&gt;54,"Old ",IF(_xlfn.XLOOKUP($A255,'RAWDATA Cars Buyers DB'!$A:$A,'RAWDATA Cars Buyers DB'!K:K)&gt;=31,"Middle Age ",IF(_xlfn.XLOOKUP($A255,'RAWDATA Cars Buyers DB'!$A:$A,'RAWDATA Cars Buyers DB'!K:K)&lt;31,"Adolescent","Invalid")))</f>
        <v xml:space="preserve">Middle Age </v>
      </c>
      <c r="M255" s="8" t="str">
        <f>_xlfn.XLOOKUP($A255,'RAWDATA Cars Buyers DB'!$A:$A,'RAWDATA Cars Buyers DB'!L:L)</f>
        <v>Yes</v>
      </c>
    </row>
    <row r="256" spans="1:13">
      <c r="A256" s="6">
        <v>82694</v>
      </c>
      <c r="B256" s="10" t="str">
        <f>IF(_xlfn.XLOOKUP($A256,'RAWDATA Cars Buyers DB'!$A:$A,'RAWDATA Cars Buyers DB'!B:B)="S","Single","Married")</f>
        <v>Single</v>
      </c>
      <c r="C256" s="10" t="str">
        <f>IF(_xlfn.XLOOKUP($A256,'RAWDATA Cars Buyers DB'!$A:$A,'RAWDATA Cars Buyers DB'!C:C)="F","Female","Male")</f>
        <v>Male</v>
      </c>
      <c r="D256" s="7">
        <f>_xlfn.XLOOKUP($A256,'RAWDATA Cars Buyers DB'!$A:$A,'RAWDATA Cars Buyers DB'!D:D)</f>
        <v>90393</v>
      </c>
      <c r="E256" s="8">
        <f>_xlfn.XLOOKUP($A256,'RAWDATA Cars Buyers DB'!$A:$A,'RAWDATA Cars Buyers DB'!E:E)</f>
        <v>2</v>
      </c>
      <c r="F256" s="8" t="str">
        <f>_xlfn.XLOOKUP($A256,'RAWDATA Cars Buyers DB'!$A:$A,'RAWDATA Cars Buyers DB'!F:F)</f>
        <v>High School</v>
      </c>
      <c r="G256" s="8" t="str">
        <f>_xlfn.XLOOKUP($A256,'RAWDATA Cars Buyers DB'!$A:$A,'RAWDATA Cars Buyers DB'!G:G)</f>
        <v>Clerical</v>
      </c>
      <c r="H256" s="8" t="str">
        <f>_xlfn.XLOOKUP($A256,'RAWDATA Cars Buyers DB'!$A:$A,'RAWDATA Cars Buyers DB'!H:H)</f>
        <v>Yes</v>
      </c>
      <c r="I256" s="8" t="str">
        <f>_xlfn.XLOOKUP($A256,'RAWDATA Cars Buyers DB'!$A:$A,'RAWDATA Cars Buyers DB'!I:I)</f>
        <v>0–1 Kilometre</v>
      </c>
      <c r="J256" s="8" t="str">
        <f>_xlfn.XLOOKUP($A256,'RAWDATA Cars Buyers DB'!$A:$A,'RAWDATA Cars Buyers DB'!J:J)</f>
        <v>Thuringia</v>
      </c>
      <c r="K256" s="8">
        <f>_xlfn.XLOOKUP($A256,'RAWDATA Cars Buyers DB'!$A:$A,'RAWDATA Cars Buyers DB'!K:K)</f>
        <v>64</v>
      </c>
      <c r="L256" s="10" t="str">
        <f>IF(_xlfn.XLOOKUP($A256,'RAWDATA Cars Buyers DB'!$A:$A,'RAWDATA Cars Buyers DB'!K:K)&gt;54,"Old ",IF(_xlfn.XLOOKUP($A256,'RAWDATA Cars Buyers DB'!$A:$A,'RAWDATA Cars Buyers DB'!K:K)&gt;=31,"Middle Age ",IF(_xlfn.XLOOKUP($A256,'RAWDATA Cars Buyers DB'!$A:$A,'RAWDATA Cars Buyers DB'!K:K)&lt;31,"Adolescent","Invalid")))</f>
        <v xml:space="preserve">Old </v>
      </c>
      <c r="M256" s="8" t="str">
        <f>_xlfn.XLOOKUP($A256,'RAWDATA Cars Buyers DB'!$A:$A,'RAWDATA Cars Buyers DB'!L:L)</f>
        <v>Yes</v>
      </c>
    </row>
    <row r="257" spans="1:13">
      <c r="A257" s="6">
        <v>53016</v>
      </c>
      <c r="B257" s="10" t="str">
        <f>IF(_xlfn.XLOOKUP($A257,'RAWDATA Cars Buyers DB'!$A:$A,'RAWDATA Cars Buyers DB'!B:B)="S","Single","Married")</f>
        <v>Single</v>
      </c>
      <c r="C257" s="10" t="str">
        <f>IF(_xlfn.XLOOKUP($A257,'RAWDATA Cars Buyers DB'!$A:$A,'RAWDATA Cars Buyers DB'!C:C)="F","Female","Male")</f>
        <v>Female</v>
      </c>
      <c r="D257" s="7">
        <f>_xlfn.XLOOKUP($A257,'RAWDATA Cars Buyers DB'!$A:$A,'RAWDATA Cars Buyers DB'!D:D)</f>
        <v>20340</v>
      </c>
      <c r="E257" s="8">
        <f>_xlfn.XLOOKUP($A257,'RAWDATA Cars Buyers DB'!$A:$A,'RAWDATA Cars Buyers DB'!E:E)</f>
        <v>3</v>
      </c>
      <c r="F257" s="8" t="str">
        <f>_xlfn.XLOOKUP($A257,'RAWDATA Cars Buyers DB'!$A:$A,'RAWDATA Cars Buyers DB'!F:F)</f>
        <v>Graduate Degree</v>
      </c>
      <c r="G257" s="8" t="str">
        <f>_xlfn.XLOOKUP($A257,'RAWDATA Cars Buyers DB'!$A:$A,'RAWDATA Cars Buyers DB'!G:G)</f>
        <v>Management</v>
      </c>
      <c r="H257" s="8" t="str">
        <f>_xlfn.XLOOKUP($A257,'RAWDATA Cars Buyers DB'!$A:$A,'RAWDATA Cars Buyers DB'!H:H)</f>
        <v>No</v>
      </c>
      <c r="I257" s="8" t="str">
        <f>_xlfn.XLOOKUP($A257,'RAWDATA Cars Buyers DB'!$A:$A,'RAWDATA Cars Buyers DB'!I:I)</f>
        <v>2–4 Kilometre</v>
      </c>
      <c r="J257" s="8" t="str">
        <f>_xlfn.XLOOKUP($A257,'RAWDATA Cars Buyers DB'!$A:$A,'RAWDATA Cars Buyers DB'!J:J)</f>
        <v>Lower Saxony</v>
      </c>
      <c r="K257" s="8">
        <f>_xlfn.XLOOKUP($A257,'RAWDATA Cars Buyers DB'!$A:$A,'RAWDATA Cars Buyers DB'!K:K)</f>
        <v>30</v>
      </c>
      <c r="L257" s="10" t="str">
        <f>IF(_xlfn.XLOOKUP($A257,'RAWDATA Cars Buyers DB'!$A:$A,'RAWDATA Cars Buyers DB'!K:K)&gt;54,"Old ",IF(_xlfn.XLOOKUP($A257,'RAWDATA Cars Buyers DB'!$A:$A,'RAWDATA Cars Buyers DB'!K:K)&gt;=31,"Middle Age ",IF(_xlfn.XLOOKUP($A257,'RAWDATA Cars Buyers DB'!$A:$A,'RAWDATA Cars Buyers DB'!K:K)&lt;31,"Adolescent","Invalid")))</f>
        <v>Adolescent</v>
      </c>
      <c r="M257" s="8" t="str">
        <f>_xlfn.XLOOKUP($A257,'RAWDATA Cars Buyers DB'!$A:$A,'RAWDATA Cars Buyers DB'!L:L)</f>
        <v>Yes</v>
      </c>
    </row>
    <row r="258" spans="1:13">
      <c r="A258" s="6">
        <v>17400</v>
      </c>
      <c r="B258" s="10" t="str">
        <f>IF(_xlfn.XLOOKUP($A258,'RAWDATA Cars Buyers DB'!$A:$A,'RAWDATA Cars Buyers DB'!B:B)="S","Single","Married")</f>
        <v>Single</v>
      </c>
      <c r="C258" s="10" t="str">
        <f>IF(_xlfn.XLOOKUP($A258,'RAWDATA Cars Buyers DB'!$A:$A,'RAWDATA Cars Buyers DB'!C:C)="F","Female","Male")</f>
        <v>Female</v>
      </c>
      <c r="D258" s="7">
        <f>_xlfn.XLOOKUP($A258,'RAWDATA Cars Buyers DB'!$A:$A,'RAWDATA Cars Buyers DB'!D:D)</f>
        <v>63949</v>
      </c>
      <c r="E258" s="8">
        <f>_xlfn.XLOOKUP($A258,'RAWDATA Cars Buyers DB'!$A:$A,'RAWDATA Cars Buyers DB'!E:E)</f>
        <v>0</v>
      </c>
      <c r="F258" s="8" t="str">
        <f>_xlfn.XLOOKUP($A258,'RAWDATA Cars Buyers DB'!$A:$A,'RAWDATA Cars Buyers DB'!F:F)</f>
        <v>High School</v>
      </c>
      <c r="G258" s="8" t="str">
        <f>_xlfn.XLOOKUP($A258,'RAWDATA Cars Buyers DB'!$A:$A,'RAWDATA Cars Buyers DB'!G:G)</f>
        <v>Professional</v>
      </c>
      <c r="H258" s="8" t="str">
        <f>_xlfn.XLOOKUP($A258,'RAWDATA Cars Buyers DB'!$A:$A,'RAWDATA Cars Buyers DB'!H:H)</f>
        <v>No</v>
      </c>
      <c r="I258" s="8" t="str">
        <f>_xlfn.XLOOKUP($A258,'RAWDATA Cars Buyers DB'!$A:$A,'RAWDATA Cars Buyers DB'!I:I)</f>
        <v>1–2 Kilometre</v>
      </c>
      <c r="J258" s="8" t="str">
        <f>_xlfn.XLOOKUP($A258,'RAWDATA Cars Buyers DB'!$A:$A,'RAWDATA Cars Buyers DB'!J:J)</f>
        <v>Saarland</v>
      </c>
      <c r="K258" s="8">
        <f>_xlfn.XLOOKUP($A258,'RAWDATA Cars Buyers DB'!$A:$A,'RAWDATA Cars Buyers DB'!K:K)</f>
        <v>49</v>
      </c>
      <c r="L258" s="10" t="str">
        <f>IF(_xlfn.XLOOKUP($A258,'RAWDATA Cars Buyers DB'!$A:$A,'RAWDATA Cars Buyers DB'!K:K)&gt;54,"Old ",IF(_xlfn.XLOOKUP($A258,'RAWDATA Cars Buyers DB'!$A:$A,'RAWDATA Cars Buyers DB'!K:K)&gt;=31,"Middle Age ",IF(_xlfn.XLOOKUP($A258,'RAWDATA Cars Buyers DB'!$A:$A,'RAWDATA Cars Buyers DB'!K:K)&lt;31,"Adolescent","Invalid")))</f>
        <v xml:space="preserve">Middle Age </v>
      </c>
      <c r="M258" s="8" t="str">
        <f>_xlfn.XLOOKUP($A258,'RAWDATA Cars Buyers DB'!$A:$A,'RAWDATA Cars Buyers DB'!L:L)</f>
        <v>Yes</v>
      </c>
    </row>
    <row r="259" spans="1:13">
      <c r="A259" s="6">
        <v>52642</v>
      </c>
      <c r="B259" s="10" t="str">
        <f>IF(_xlfn.XLOOKUP($A259,'RAWDATA Cars Buyers DB'!$A:$A,'RAWDATA Cars Buyers DB'!B:B)="S","Single","Married")</f>
        <v>Single</v>
      </c>
      <c r="C259" s="10" t="str">
        <f>IF(_xlfn.XLOOKUP($A259,'RAWDATA Cars Buyers DB'!$A:$A,'RAWDATA Cars Buyers DB'!C:C)="F","Female","Male")</f>
        <v>Female</v>
      </c>
      <c r="D259" s="7">
        <f>_xlfn.XLOOKUP($A259,'RAWDATA Cars Buyers DB'!$A:$A,'RAWDATA Cars Buyers DB'!D:D)</f>
        <v>102302</v>
      </c>
      <c r="E259" s="8">
        <f>_xlfn.XLOOKUP($A259,'RAWDATA Cars Buyers DB'!$A:$A,'RAWDATA Cars Buyers DB'!E:E)</f>
        <v>2</v>
      </c>
      <c r="F259" s="8" t="str">
        <f>_xlfn.XLOOKUP($A259,'RAWDATA Cars Buyers DB'!$A:$A,'RAWDATA Cars Buyers DB'!F:F)</f>
        <v>Partial College</v>
      </c>
      <c r="G259" s="8" t="str">
        <f>_xlfn.XLOOKUP($A259,'RAWDATA Cars Buyers DB'!$A:$A,'RAWDATA Cars Buyers DB'!G:G)</f>
        <v>Skilled Manual</v>
      </c>
      <c r="H259" s="8" t="str">
        <f>_xlfn.XLOOKUP($A259,'RAWDATA Cars Buyers DB'!$A:$A,'RAWDATA Cars Buyers DB'!H:H)</f>
        <v>Yes</v>
      </c>
      <c r="I259" s="8" t="str">
        <f>_xlfn.XLOOKUP($A259,'RAWDATA Cars Buyers DB'!$A:$A,'RAWDATA Cars Buyers DB'!I:I)</f>
        <v>1–2 Kilometre</v>
      </c>
      <c r="J259" s="8" t="str">
        <f>_xlfn.XLOOKUP($A259,'RAWDATA Cars Buyers DB'!$A:$A,'RAWDATA Cars Buyers DB'!J:J)</f>
        <v>Bavaria</v>
      </c>
      <c r="K259" s="8">
        <f>_xlfn.XLOOKUP($A259,'RAWDATA Cars Buyers DB'!$A:$A,'RAWDATA Cars Buyers DB'!K:K)</f>
        <v>54</v>
      </c>
      <c r="L259" s="10" t="str">
        <f>IF(_xlfn.XLOOKUP($A259,'RAWDATA Cars Buyers DB'!$A:$A,'RAWDATA Cars Buyers DB'!K:K)&gt;54,"Old ",IF(_xlfn.XLOOKUP($A259,'RAWDATA Cars Buyers DB'!$A:$A,'RAWDATA Cars Buyers DB'!K:K)&gt;=31,"Middle Age ",IF(_xlfn.XLOOKUP($A259,'RAWDATA Cars Buyers DB'!$A:$A,'RAWDATA Cars Buyers DB'!K:K)&lt;31,"Adolescent","Invalid")))</f>
        <v xml:space="preserve">Middle Age </v>
      </c>
      <c r="M259" s="8" t="str">
        <f>_xlfn.XLOOKUP($A259,'RAWDATA Cars Buyers DB'!$A:$A,'RAWDATA Cars Buyers DB'!L:L)</f>
        <v>No</v>
      </c>
    </row>
    <row r="260" spans="1:13">
      <c r="A260" s="6">
        <v>25151</v>
      </c>
      <c r="B260" s="10" t="str">
        <f>IF(_xlfn.XLOOKUP($A260,'RAWDATA Cars Buyers DB'!$A:$A,'RAWDATA Cars Buyers DB'!B:B)="S","Single","Married")</f>
        <v>Single</v>
      </c>
      <c r="C260" s="10" t="str">
        <f>IF(_xlfn.XLOOKUP($A260,'RAWDATA Cars Buyers DB'!$A:$A,'RAWDATA Cars Buyers DB'!C:C)="F","Female","Male")</f>
        <v>Female</v>
      </c>
      <c r="D260" s="7">
        <f>_xlfn.XLOOKUP($A260,'RAWDATA Cars Buyers DB'!$A:$A,'RAWDATA Cars Buyers DB'!D:D)</f>
        <v>82443</v>
      </c>
      <c r="E260" s="8">
        <f>_xlfn.XLOOKUP($A260,'RAWDATA Cars Buyers DB'!$A:$A,'RAWDATA Cars Buyers DB'!E:E)</f>
        <v>0</v>
      </c>
      <c r="F260" s="8" t="str">
        <f>_xlfn.XLOOKUP($A260,'RAWDATA Cars Buyers DB'!$A:$A,'RAWDATA Cars Buyers DB'!F:F)</f>
        <v>High School</v>
      </c>
      <c r="G260" s="8" t="str">
        <f>_xlfn.XLOOKUP($A260,'RAWDATA Cars Buyers DB'!$A:$A,'RAWDATA Cars Buyers DB'!G:G)</f>
        <v>Skilled Manual</v>
      </c>
      <c r="H260" s="8" t="str">
        <f>_xlfn.XLOOKUP($A260,'RAWDATA Cars Buyers DB'!$A:$A,'RAWDATA Cars Buyers DB'!H:H)</f>
        <v>Yes</v>
      </c>
      <c r="I260" s="8" t="str">
        <f>_xlfn.XLOOKUP($A260,'RAWDATA Cars Buyers DB'!$A:$A,'RAWDATA Cars Buyers DB'!I:I)</f>
        <v>6+ Kilometre</v>
      </c>
      <c r="J260" s="8" t="str">
        <f>_xlfn.XLOOKUP($A260,'RAWDATA Cars Buyers DB'!$A:$A,'RAWDATA Cars Buyers DB'!J:J)</f>
        <v>Mecklenburg-Vorpommern</v>
      </c>
      <c r="K260" s="8">
        <f>_xlfn.XLOOKUP($A260,'RAWDATA Cars Buyers DB'!$A:$A,'RAWDATA Cars Buyers DB'!K:K)</f>
        <v>60</v>
      </c>
      <c r="L260" s="10" t="str">
        <f>IF(_xlfn.XLOOKUP($A260,'RAWDATA Cars Buyers DB'!$A:$A,'RAWDATA Cars Buyers DB'!K:K)&gt;54,"Old ",IF(_xlfn.XLOOKUP($A260,'RAWDATA Cars Buyers DB'!$A:$A,'RAWDATA Cars Buyers DB'!K:K)&gt;=31,"Middle Age ",IF(_xlfn.XLOOKUP($A260,'RAWDATA Cars Buyers DB'!$A:$A,'RAWDATA Cars Buyers DB'!K:K)&lt;31,"Adolescent","Invalid")))</f>
        <v xml:space="preserve">Old </v>
      </c>
      <c r="M260" s="8" t="str">
        <f>_xlfn.XLOOKUP($A260,'RAWDATA Cars Buyers DB'!$A:$A,'RAWDATA Cars Buyers DB'!L:L)</f>
        <v>Yes</v>
      </c>
    </row>
    <row r="261" spans="1:13">
      <c r="A261" s="6">
        <v>61407</v>
      </c>
      <c r="B261" s="10" t="str">
        <f>IF(_xlfn.XLOOKUP($A261,'RAWDATA Cars Buyers DB'!$A:$A,'RAWDATA Cars Buyers DB'!B:B)="S","Single","Married")</f>
        <v>Single</v>
      </c>
      <c r="C261" s="10" t="str">
        <f>IF(_xlfn.XLOOKUP($A261,'RAWDATA Cars Buyers DB'!$A:$A,'RAWDATA Cars Buyers DB'!C:C)="F","Female","Male")</f>
        <v>Female</v>
      </c>
      <c r="D261" s="7">
        <f>_xlfn.XLOOKUP($A261,'RAWDATA Cars Buyers DB'!$A:$A,'RAWDATA Cars Buyers DB'!D:D)</f>
        <v>111668</v>
      </c>
      <c r="E261" s="8">
        <f>_xlfn.XLOOKUP($A261,'RAWDATA Cars Buyers DB'!$A:$A,'RAWDATA Cars Buyers DB'!E:E)</f>
        <v>0</v>
      </c>
      <c r="F261" s="8" t="str">
        <f>_xlfn.XLOOKUP($A261,'RAWDATA Cars Buyers DB'!$A:$A,'RAWDATA Cars Buyers DB'!F:F)</f>
        <v>Partial College</v>
      </c>
      <c r="G261" s="8" t="str">
        <f>_xlfn.XLOOKUP($A261,'RAWDATA Cars Buyers DB'!$A:$A,'RAWDATA Cars Buyers DB'!G:G)</f>
        <v>Management</v>
      </c>
      <c r="H261" s="8" t="str">
        <f>_xlfn.XLOOKUP($A261,'RAWDATA Cars Buyers DB'!$A:$A,'RAWDATA Cars Buyers DB'!H:H)</f>
        <v>Yes</v>
      </c>
      <c r="I261" s="8" t="str">
        <f>_xlfn.XLOOKUP($A261,'RAWDATA Cars Buyers DB'!$A:$A,'RAWDATA Cars Buyers DB'!I:I)</f>
        <v>1–2 Kilometre</v>
      </c>
      <c r="J261" s="8" t="str">
        <f>_xlfn.XLOOKUP($A261,'RAWDATA Cars Buyers DB'!$A:$A,'RAWDATA Cars Buyers DB'!J:J)</f>
        <v>Mecklenburg-Vorpommern</v>
      </c>
      <c r="K261" s="8">
        <f>_xlfn.XLOOKUP($A261,'RAWDATA Cars Buyers DB'!$A:$A,'RAWDATA Cars Buyers DB'!K:K)</f>
        <v>57</v>
      </c>
      <c r="L261" s="10" t="str">
        <f>IF(_xlfn.XLOOKUP($A261,'RAWDATA Cars Buyers DB'!$A:$A,'RAWDATA Cars Buyers DB'!K:K)&gt;54,"Old ",IF(_xlfn.XLOOKUP($A261,'RAWDATA Cars Buyers DB'!$A:$A,'RAWDATA Cars Buyers DB'!K:K)&gt;=31,"Middle Age ",IF(_xlfn.XLOOKUP($A261,'RAWDATA Cars Buyers DB'!$A:$A,'RAWDATA Cars Buyers DB'!K:K)&lt;31,"Adolescent","Invalid")))</f>
        <v xml:space="preserve">Old </v>
      </c>
      <c r="M261" s="8" t="str">
        <f>_xlfn.XLOOKUP($A261,'RAWDATA Cars Buyers DB'!$A:$A,'RAWDATA Cars Buyers DB'!L:L)</f>
        <v>Yes</v>
      </c>
    </row>
    <row r="262" spans="1:13">
      <c r="A262" s="6">
        <v>76690</v>
      </c>
      <c r="B262" s="10" t="str">
        <f>IF(_xlfn.XLOOKUP($A262,'RAWDATA Cars Buyers DB'!$A:$A,'RAWDATA Cars Buyers DB'!B:B)="S","Single","Married")</f>
        <v>Single</v>
      </c>
      <c r="C262" s="10" t="str">
        <f>IF(_xlfn.XLOOKUP($A262,'RAWDATA Cars Buyers DB'!$A:$A,'RAWDATA Cars Buyers DB'!C:C)="F","Female","Male")</f>
        <v>Female</v>
      </c>
      <c r="D262" s="7">
        <f>_xlfn.XLOOKUP($A262,'RAWDATA Cars Buyers DB'!$A:$A,'RAWDATA Cars Buyers DB'!D:D)</f>
        <v>94027</v>
      </c>
      <c r="E262" s="8">
        <f>_xlfn.XLOOKUP($A262,'RAWDATA Cars Buyers DB'!$A:$A,'RAWDATA Cars Buyers DB'!E:E)</f>
        <v>1</v>
      </c>
      <c r="F262" s="8" t="str">
        <f>_xlfn.XLOOKUP($A262,'RAWDATA Cars Buyers DB'!$A:$A,'RAWDATA Cars Buyers DB'!F:F)</f>
        <v>High School</v>
      </c>
      <c r="G262" s="8" t="str">
        <f>_xlfn.XLOOKUP($A262,'RAWDATA Cars Buyers DB'!$A:$A,'RAWDATA Cars Buyers DB'!G:G)</f>
        <v>Clerical</v>
      </c>
      <c r="H262" s="8" t="str">
        <f>_xlfn.XLOOKUP($A262,'RAWDATA Cars Buyers DB'!$A:$A,'RAWDATA Cars Buyers DB'!H:H)</f>
        <v>No</v>
      </c>
      <c r="I262" s="8" t="str">
        <f>_xlfn.XLOOKUP($A262,'RAWDATA Cars Buyers DB'!$A:$A,'RAWDATA Cars Buyers DB'!I:I)</f>
        <v>6+ Kilometre</v>
      </c>
      <c r="J262" s="8" t="str">
        <f>_xlfn.XLOOKUP($A262,'RAWDATA Cars Buyers DB'!$A:$A,'RAWDATA Cars Buyers DB'!J:J)</f>
        <v>Hesse</v>
      </c>
      <c r="K262" s="8">
        <f>_xlfn.XLOOKUP($A262,'RAWDATA Cars Buyers DB'!$A:$A,'RAWDATA Cars Buyers DB'!K:K)</f>
        <v>41</v>
      </c>
      <c r="L262" s="10" t="str">
        <f>IF(_xlfn.XLOOKUP($A262,'RAWDATA Cars Buyers DB'!$A:$A,'RAWDATA Cars Buyers DB'!K:K)&gt;54,"Old ",IF(_xlfn.XLOOKUP($A262,'RAWDATA Cars Buyers DB'!$A:$A,'RAWDATA Cars Buyers DB'!K:K)&gt;=31,"Middle Age ",IF(_xlfn.XLOOKUP($A262,'RAWDATA Cars Buyers DB'!$A:$A,'RAWDATA Cars Buyers DB'!K:K)&lt;31,"Adolescent","Invalid")))</f>
        <v xml:space="preserve">Middle Age </v>
      </c>
      <c r="M262" s="8" t="str">
        <f>_xlfn.XLOOKUP($A262,'RAWDATA Cars Buyers DB'!$A:$A,'RAWDATA Cars Buyers DB'!L:L)</f>
        <v>No</v>
      </c>
    </row>
    <row r="263" spans="1:13">
      <c r="A263" s="6">
        <v>14499</v>
      </c>
      <c r="B263" s="10" t="str">
        <f>IF(_xlfn.XLOOKUP($A263,'RAWDATA Cars Buyers DB'!$A:$A,'RAWDATA Cars Buyers DB'!B:B)="S","Single","Married")</f>
        <v>Single</v>
      </c>
      <c r="C263" s="10" t="str">
        <f>IF(_xlfn.XLOOKUP($A263,'RAWDATA Cars Buyers DB'!$A:$A,'RAWDATA Cars Buyers DB'!C:C)="F","Female","Male")</f>
        <v>Female</v>
      </c>
      <c r="D263" s="7">
        <f>_xlfn.XLOOKUP($A263,'RAWDATA Cars Buyers DB'!$A:$A,'RAWDATA Cars Buyers DB'!D:D)</f>
        <v>20138</v>
      </c>
      <c r="E263" s="8">
        <f>_xlfn.XLOOKUP($A263,'RAWDATA Cars Buyers DB'!$A:$A,'RAWDATA Cars Buyers DB'!E:E)</f>
        <v>1</v>
      </c>
      <c r="F263" s="8" t="str">
        <f>_xlfn.XLOOKUP($A263,'RAWDATA Cars Buyers DB'!$A:$A,'RAWDATA Cars Buyers DB'!F:F)</f>
        <v>Bachelors</v>
      </c>
      <c r="G263" s="8" t="str">
        <f>_xlfn.XLOOKUP($A263,'RAWDATA Cars Buyers DB'!$A:$A,'RAWDATA Cars Buyers DB'!G:G)</f>
        <v>Professional</v>
      </c>
      <c r="H263" s="8" t="str">
        <f>_xlfn.XLOOKUP($A263,'RAWDATA Cars Buyers DB'!$A:$A,'RAWDATA Cars Buyers DB'!H:H)</f>
        <v>No</v>
      </c>
      <c r="I263" s="8" t="str">
        <f>_xlfn.XLOOKUP($A263,'RAWDATA Cars Buyers DB'!$A:$A,'RAWDATA Cars Buyers DB'!I:I)</f>
        <v>0–1 Kilometre</v>
      </c>
      <c r="J263" s="8" t="str">
        <f>_xlfn.XLOOKUP($A263,'RAWDATA Cars Buyers DB'!$A:$A,'RAWDATA Cars Buyers DB'!J:J)</f>
        <v>North Rhine-Westphalia</v>
      </c>
      <c r="K263" s="8">
        <f>_xlfn.XLOOKUP($A263,'RAWDATA Cars Buyers DB'!$A:$A,'RAWDATA Cars Buyers DB'!K:K)</f>
        <v>62</v>
      </c>
      <c r="L263" s="10" t="str">
        <f>IF(_xlfn.XLOOKUP($A263,'RAWDATA Cars Buyers DB'!$A:$A,'RAWDATA Cars Buyers DB'!K:K)&gt;54,"Old ",IF(_xlfn.XLOOKUP($A263,'RAWDATA Cars Buyers DB'!$A:$A,'RAWDATA Cars Buyers DB'!K:K)&gt;=31,"Middle Age ",IF(_xlfn.XLOOKUP($A263,'RAWDATA Cars Buyers DB'!$A:$A,'RAWDATA Cars Buyers DB'!K:K)&lt;31,"Adolescent","Invalid")))</f>
        <v xml:space="preserve">Old </v>
      </c>
      <c r="M263" s="8" t="str">
        <f>_xlfn.XLOOKUP($A263,'RAWDATA Cars Buyers DB'!$A:$A,'RAWDATA Cars Buyers DB'!L:L)</f>
        <v>Yes</v>
      </c>
    </row>
    <row r="264" spans="1:13">
      <c r="A264" s="6">
        <v>16295</v>
      </c>
      <c r="B264" s="10" t="str">
        <f>IF(_xlfn.XLOOKUP($A264,'RAWDATA Cars Buyers DB'!$A:$A,'RAWDATA Cars Buyers DB'!B:B)="S","Single","Married")</f>
        <v>Single</v>
      </c>
      <c r="C264" s="10" t="str">
        <f>IF(_xlfn.XLOOKUP($A264,'RAWDATA Cars Buyers DB'!$A:$A,'RAWDATA Cars Buyers DB'!C:C)="F","Female","Male")</f>
        <v>Female</v>
      </c>
      <c r="D264" s="7">
        <f>_xlfn.XLOOKUP($A264,'RAWDATA Cars Buyers DB'!$A:$A,'RAWDATA Cars Buyers DB'!D:D)</f>
        <v>20358</v>
      </c>
      <c r="E264" s="8">
        <f>_xlfn.XLOOKUP($A264,'RAWDATA Cars Buyers DB'!$A:$A,'RAWDATA Cars Buyers DB'!E:E)</f>
        <v>3</v>
      </c>
      <c r="F264" s="8" t="str">
        <f>_xlfn.XLOOKUP($A264,'RAWDATA Cars Buyers DB'!$A:$A,'RAWDATA Cars Buyers DB'!F:F)</f>
        <v>Graduate Degree</v>
      </c>
      <c r="G264" s="8" t="str">
        <f>_xlfn.XLOOKUP($A264,'RAWDATA Cars Buyers DB'!$A:$A,'RAWDATA Cars Buyers DB'!G:G)</f>
        <v>Skilled Manual</v>
      </c>
      <c r="H264" s="8" t="str">
        <f>_xlfn.XLOOKUP($A264,'RAWDATA Cars Buyers DB'!$A:$A,'RAWDATA Cars Buyers DB'!H:H)</f>
        <v>No</v>
      </c>
      <c r="I264" s="8" t="str">
        <f>_xlfn.XLOOKUP($A264,'RAWDATA Cars Buyers DB'!$A:$A,'RAWDATA Cars Buyers DB'!I:I)</f>
        <v>1–2 Kilometre</v>
      </c>
      <c r="J264" s="8" t="str">
        <f>_xlfn.XLOOKUP($A264,'RAWDATA Cars Buyers DB'!$A:$A,'RAWDATA Cars Buyers DB'!J:J)</f>
        <v>Lower Saxony</v>
      </c>
      <c r="K264" s="8">
        <f>_xlfn.XLOOKUP($A264,'RAWDATA Cars Buyers DB'!$A:$A,'RAWDATA Cars Buyers DB'!K:K)</f>
        <v>67</v>
      </c>
      <c r="L264" s="10" t="str">
        <f>IF(_xlfn.XLOOKUP($A264,'RAWDATA Cars Buyers DB'!$A:$A,'RAWDATA Cars Buyers DB'!K:K)&gt;54,"Old ",IF(_xlfn.XLOOKUP($A264,'RAWDATA Cars Buyers DB'!$A:$A,'RAWDATA Cars Buyers DB'!K:K)&gt;=31,"Middle Age ",IF(_xlfn.XLOOKUP($A264,'RAWDATA Cars Buyers DB'!$A:$A,'RAWDATA Cars Buyers DB'!K:K)&lt;31,"Adolescent","Invalid")))</f>
        <v xml:space="preserve">Old </v>
      </c>
      <c r="M264" s="8" t="str">
        <f>_xlfn.XLOOKUP($A264,'RAWDATA Cars Buyers DB'!$A:$A,'RAWDATA Cars Buyers DB'!L:L)</f>
        <v>No</v>
      </c>
    </row>
    <row r="265" spans="1:13">
      <c r="A265" s="6">
        <v>69040</v>
      </c>
      <c r="B265" s="10" t="str">
        <f>IF(_xlfn.XLOOKUP($A265,'RAWDATA Cars Buyers DB'!$A:$A,'RAWDATA Cars Buyers DB'!B:B)="S","Single","Married")</f>
        <v>Single</v>
      </c>
      <c r="C265" s="10" t="str">
        <f>IF(_xlfn.XLOOKUP($A265,'RAWDATA Cars Buyers DB'!$A:$A,'RAWDATA Cars Buyers DB'!C:C)="F","Female","Male")</f>
        <v>Male</v>
      </c>
      <c r="D265" s="7">
        <f>_xlfn.XLOOKUP($A265,'RAWDATA Cars Buyers DB'!$A:$A,'RAWDATA Cars Buyers DB'!D:D)</f>
        <v>95250</v>
      </c>
      <c r="E265" s="8">
        <f>_xlfn.XLOOKUP($A265,'RAWDATA Cars Buyers DB'!$A:$A,'RAWDATA Cars Buyers DB'!E:E)</f>
        <v>4</v>
      </c>
      <c r="F265" s="8" t="str">
        <f>_xlfn.XLOOKUP($A265,'RAWDATA Cars Buyers DB'!$A:$A,'RAWDATA Cars Buyers DB'!F:F)</f>
        <v>Graduate Degree</v>
      </c>
      <c r="G265" s="8" t="str">
        <f>_xlfn.XLOOKUP($A265,'RAWDATA Cars Buyers DB'!$A:$A,'RAWDATA Cars Buyers DB'!G:G)</f>
        <v>Skilled Manual</v>
      </c>
      <c r="H265" s="8" t="str">
        <f>_xlfn.XLOOKUP($A265,'RAWDATA Cars Buyers DB'!$A:$A,'RAWDATA Cars Buyers DB'!H:H)</f>
        <v>Yes</v>
      </c>
      <c r="I265" s="8" t="str">
        <f>_xlfn.XLOOKUP($A265,'RAWDATA Cars Buyers DB'!$A:$A,'RAWDATA Cars Buyers DB'!I:I)</f>
        <v>0–1 Kilometre</v>
      </c>
      <c r="J265" s="8" t="str">
        <f>_xlfn.XLOOKUP($A265,'RAWDATA Cars Buyers DB'!$A:$A,'RAWDATA Cars Buyers DB'!J:J)</f>
        <v>Baden-Württemberg</v>
      </c>
      <c r="K265" s="8">
        <f>_xlfn.XLOOKUP($A265,'RAWDATA Cars Buyers DB'!$A:$A,'RAWDATA Cars Buyers DB'!K:K)</f>
        <v>46</v>
      </c>
      <c r="L265" s="10" t="str">
        <f>IF(_xlfn.XLOOKUP($A265,'RAWDATA Cars Buyers DB'!$A:$A,'RAWDATA Cars Buyers DB'!K:K)&gt;54,"Old ",IF(_xlfn.XLOOKUP($A265,'RAWDATA Cars Buyers DB'!$A:$A,'RAWDATA Cars Buyers DB'!K:K)&gt;=31,"Middle Age ",IF(_xlfn.XLOOKUP($A265,'RAWDATA Cars Buyers DB'!$A:$A,'RAWDATA Cars Buyers DB'!K:K)&lt;31,"Adolescent","Invalid")))</f>
        <v xml:space="preserve">Middle Age </v>
      </c>
      <c r="M265" s="8" t="str">
        <f>_xlfn.XLOOKUP($A265,'RAWDATA Cars Buyers DB'!$A:$A,'RAWDATA Cars Buyers DB'!L:L)</f>
        <v>Yes</v>
      </c>
    </row>
    <row r="266" spans="1:13">
      <c r="A266" s="6">
        <v>22183</v>
      </c>
      <c r="B266" s="10" t="str">
        <f>IF(_xlfn.XLOOKUP($A266,'RAWDATA Cars Buyers DB'!$A:$A,'RAWDATA Cars Buyers DB'!B:B)="S","Single","Married")</f>
        <v>Married</v>
      </c>
      <c r="C266" s="10" t="str">
        <f>IF(_xlfn.XLOOKUP($A266,'RAWDATA Cars Buyers DB'!$A:$A,'RAWDATA Cars Buyers DB'!C:C)="F","Female","Male")</f>
        <v>Female</v>
      </c>
      <c r="D266" s="7">
        <f>_xlfn.XLOOKUP($A266,'RAWDATA Cars Buyers DB'!$A:$A,'RAWDATA Cars Buyers DB'!D:D)</f>
        <v>105376</v>
      </c>
      <c r="E266" s="8">
        <f>_xlfn.XLOOKUP($A266,'RAWDATA Cars Buyers DB'!$A:$A,'RAWDATA Cars Buyers DB'!E:E)</f>
        <v>0</v>
      </c>
      <c r="F266" s="8" t="str">
        <f>_xlfn.XLOOKUP($A266,'RAWDATA Cars Buyers DB'!$A:$A,'RAWDATA Cars Buyers DB'!F:F)</f>
        <v>Bachelors</v>
      </c>
      <c r="G266" s="8" t="str">
        <f>_xlfn.XLOOKUP($A266,'RAWDATA Cars Buyers DB'!$A:$A,'RAWDATA Cars Buyers DB'!G:G)</f>
        <v>Clerical</v>
      </c>
      <c r="H266" s="8" t="str">
        <f>_xlfn.XLOOKUP($A266,'RAWDATA Cars Buyers DB'!$A:$A,'RAWDATA Cars Buyers DB'!H:H)</f>
        <v>No</v>
      </c>
      <c r="I266" s="8" t="str">
        <f>_xlfn.XLOOKUP($A266,'RAWDATA Cars Buyers DB'!$A:$A,'RAWDATA Cars Buyers DB'!I:I)</f>
        <v>0–1 Kilometre</v>
      </c>
      <c r="J266" s="8" t="str">
        <f>_xlfn.XLOOKUP($A266,'RAWDATA Cars Buyers DB'!$A:$A,'RAWDATA Cars Buyers DB'!J:J)</f>
        <v>North Rhine-Westphalia</v>
      </c>
      <c r="K266" s="8">
        <f>_xlfn.XLOOKUP($A266,'RAWDATA Cars Buyers DB'!$A:$A,'RAWDATA Cars Buyers DB'!K:K)</f>
        <v>56</v>
      </c>
      <c r="L266" s="10" t="str">
        <f>IF(_xlfn.XLOOKUP($A266,'RAWDATA Cars Buyers DB'!$A:$A,'RAWDATA Cars Buyers DB'!K:K)&gt;54,"Old ",IF(_xlfn.XLOOKUP($A266,'RAWDATA Cars Buyers DB'!$A:$A,'RAWDATA Cars Buyers DB'!K:K)&gt;=31,"Middle Age ",IF(_xlfn.XLOOKUP($A266,'RAWDATA Cars Buyers DB'!$A:$A,'RAWDATA Cars Buyers DB'!K:K)&lt;31,"Adolescent","Invalid")))</f>
        <v xml:space="preserve">Old </v>
      </c>
      <c r="M266" s="8" t="str">
        <f>_xlfn.XLOOKUP($A266,'RAWDATA Cars Buyers DB'!$A:$A,'RAWDATA Cars Buyers DB'!L:L)</f>
        <v>Yes</v>
      </c>
    </row>
    <row r="267" spans="1:13">
      <c r="A267" s="6">
        <v>39299</v>
      </c>
      <c r="B267" s="10" t="str">
        <f>IF(_xlfn.XLOOKUP($A267,'RAWDATA Cars Buyers DB'!$A:$A,'RAWDATA Cars Buyers DB'!B:B)="S","Single","Married")</f>
        <v>Single</v>
      </c>
      <c r="C267" s="10" t="str">
        <f>IF(_xlfn.XLOOKUP($A267,'RAWDATA Cars Buyers DB'!$A:$A,'RAWDATA Cars Buyers DB'!C:C)="F","Female","Male")</f>
        <v>Female</v>
      </c>
      <c r="D267" s="7">
        <f>_xlfn.XLOOKUP($A267,'RAWDATA Cars Buyers DB'!$A:$A,'RAWDATA Cars Buyers DB'!D:D)</f>
        <v>119931</v>
      </c>
      <c r="E267" s="8">
        <f>_xlfn.XLOOKUP($A267,'RAWDATA Cars Buyers DB'!$A:$A,'RAWDATA Cars Buyers DB'!E:E)</f>
        <v>4</v>
      </c>
      <c r="F267" s="8" t="str">
        <f>_xlfn.XLOOKUP($A267,'RAWDATA Cars Buyers DB'!$A:$A,'RAWDATA Cars Buyers DB'!F:F)</f>
        <v>Bachelors</v>
      </c>
      <c r="G267" s="8" t="str">
        <f>_xlfn.XLOOKUP($A267,'RAWDATA Cars Buyers DB'!$A:$A,'RAWDATA Cars Buyers DB'!G:G)</f>
        <v>Clerical</v>
      </c>
      <c r="H267" s="8" t="str">
        <f>_xlfn.XLOOKUP($A267,'RAWDATA Cars Buyers DB'!$A:$A,'RAWDATA Cars Buyers DB'!H:H)</f>
        <v>Yes</v>
      </c>
      <c r="I267" s="8" t="str">
        <f>_xlfn.XLOOKUP($A267,'RAWDATA Cars Buyers DB'!$A:$A,'RAWDATA Cars Buyers DB'!I:I)</f>
        <v>1–2 Kilometre</v>
      </c>
      <c r="J267" s="8" t="str">
        <f>_xlfn.XLOOKUP($A267,'RAWDATA Cars Buyers DB'!$A:$A,'RAWDATA Cars Buyers DB'!J:J)</f>
        <v>Rhineland-Palatinate</v>
      </c>
      <c r="K267" s="8">
        <f>_xlfn.XLOOKUP($A267,'RAWDATA Cars Buyers DB'!$A:$A,'RAWDATA Cars Buyers DB'!K:K)</f>
        <v>65</v>
      </c>
      <c r="L267" s="10" t="str">
        <f>IF(_xlfn.XLOOKUP($A267,'RAWDATA Cars Buyers DB'!$A:$A,'RAWDATA Cars Buyers DB'!K:K)&gt;54,"Old ",IF(_xlfn.XLOOKUP($A267,'RAWDATA Cars Buyers DB'!$A:$A,'RAWDATA Cars Buyers DB'!K:K)&gt;=31,"Middle Age ",IF(_xlfn.XLOOKUP($A267,'RAWDATA Cars Buyers DB'!$A:$A,'RAWDATA Cars Buyers DB'!K:K)&lt;31,"Adolescent","Invalid")))</f>
        <v xml:space="preserve">Old </v>
      </c>
      <c r="M267" s="8" t="str">
        <f>_xlfn.XLOOKUP($A267,'RAWDATA Cars Buyers DB'!$A:$A,'RAWDATA Cars Buyers DB'!L:L)</f>
        <v>No</v>
      </c>
    </row>
    <row r="268" spans="1:13">
      <c r="A268" s="6">
        <v>22874</v>
      </c>
      <c r="B268" s="10" t="str">
        <f>IF(_xlfn.XLOOKUP($A268,'RAWDATA Cars Buyers DB'!$A:$A,'RAWDATA Cars Buyers DB'!B:B)="S","Single","Married")</f>
        <v>Married</v>
      </c>
      <c r="C268" s="10" t="str">
        <f>IF(_xlfn.XLOOKUP($A268,'RAWDATA Cars Buyers DB'!$A:$A,'RAWDATA Cars Buyers DB'!C:C)="F","Female","Male")</f>
        <v>Male</v>
      </c>
      <c r="D268" s="7">
        <f>_xlfn.XLOOKUP($A268,'RAWDATA Cars Buyers DB'!$A:$A,'RAWDATA Cars Buyers DB'!D:D)</f>
        <v>50654</v>
      </c>
      <c r="E268" s="8">
        <f>_xlfn.XLOOKUP($A268,'RAWDATA Cars Buyers DB'!$A:$A,'RAWDATA Cars Buyers DB'!E:E)</f>
        <v>3</v>
      </c>
      <c r="F268" s="8" t="str">
        <f>_xlfn.XLOOKUP($A268,'RAWDATA Cars Buyers DB'!$A:$A,'RAWDATA Cars Buyers DB'!F:F)</f>
        <v>Graduate Degree</v>
      </c>
      <c r="G268" s="8" t="str">
        <f>_xlfn.XLOOKUP($A268,'RAWDATA Cars Buyers DB'!$A:$A,'RAWDATA Cars Buyers DB'!G:G)</f>
        <v>Professional</v>
      </c>
      <c r="H268" s="8" t="str">
        <f>_xlfn.XLOOKUP($A268,'RAWDATA Cars Buyers DB'!$A:$A,'RAWDATA Cars Buyers DB'!H:H)</f>
        <v>Yes</v>
      </c>
      <c r="I268" s="8" t="str">
        <f>_xlfn.XLOOKUP($A268,'RAWDATA Cars Buyers DB'!$A:$A,'RAWDATA Cars Buyers DB'!I:I)</f>
        <v>0–1 Kilometre</v>
      </c>
      <c r="J268" s="8" t="str">
        <f>_xlfn.XLOOKUP($A268,'RAWDATA Cars Buyers DB'!$A:$A,'RAWDATA Cars Buyers DB'!J:J)</f>
        <v>Saxony-Anhalt</v>
      </c>
      <c r="K268" s="8">
        <f>_xlfn.XLOOKUP($A268,'RAWDATA Cars Buyers DB'!$A:$A,'RAWDATA Cars Buyers DB'!K:K)</f>
        <v>68</v>
      </c>
      <c r="L268" s="10" t="str">
        <f>IF(_xlfn.XLOOKUP($A268,'RAWDATA Cars Buyers DB'!$A:$A,'RAWDATA Cars Buyers DB'!K:K)&gt;54,"Old ",IF(_xlfn.XLOOKUP($A268,'RAWDATA Cars Buyers DB'!$A:$A,'RAWDATA Cars Buyers DB'!K:K)&gt;=31,"Middle Age ",IF(_xlfn.XLOOKUP($A268,'RAWDATA Cars Buyers DB'!$A:$A,'RAWDATA Cars Buyers DB'!K:K)&lt;31,"Adolescent","Invalid")))</f>
        <v xml:space="preserve">Old </v>
      </c>
      <c r="M268" s="8" t="str">
        <f>_xlfn.XLOOKUP($A268,'RAWDATA Cars Buyers DB'!$A:$A,'RAWDATA Cars Buyers DB'!L:L)</f>
        <v>No</v>
      </c>
    </row>
    <row r="269" spans="1:13">
      <c r="A269" s="6">
        <v>42711</v>
      </c>
      <c r="B269" s="10" t="str">
        <f>IF(_xlfn.XLOOKUP($A269,'RAWDATA Cars Buyers DB'!$A:$A,'RAWDATA Cars Buyers DB'!B:B)="S","Single","Married")</f>
        <v>Single</v>
      </c>
      <c r="C269" s="10" t="str">
        <f>IF(_xlfn.XLOOKUP($A269,'RAWDATA Cars Buyers DB'!$A:$A,'RAWDATA Cars Buyers DB'!C:C)="F","Female","Male")</f>
        <v>Female</v>
      </c>
      <c r="D269" s="7">
        <f>_xlfn.XLOOKUP($A269,'RAWDATA Cars Buyers DB'!$A:$A,'RAWDATA Cars Buyers DB'!D:D)</f>
        <v>45879</v>
      </c>
      <c r="E269" s="8">
        <f>_xlfn.XLOOKUP($A269,'RAWDATA Cars Buyers DB'!$A:$A,'RAWDATA Cars Buyers DB'!E:E)</f>
        <v>0</v>
      </c>
      <c r="F269" s="8" t="str">
        <f>_xlfn.XLOOKUP($A269,'RAWDATA Cars Buyers DB'!$A:$A,'RAWDATA Cars Buyers DB'!F:F)</f>
        <v>Bachelors</v>
      </c>
      <c r="G269" s="8" t="str">
        <f>_xlfn.XLOOKUP($A269,'RAWDATA Cars Buyers DB'!$A:$A,'RAWDATA Cars Buyers DB'!G:G)</f>
        <v>Management</v>
      </c>
      <c r="H269" s="8" t="str">
        <f>_xlfn.XLOOKUP($A269,'RAWDATA Cars Buyers DB'!$A:$A,'RAWDATA Cars Buyers DB'!H:H)</f>
        <v>Yes</v>
      </c>
      <c r="I269" s="8" t="str">
        <f>_xlfn.XLOOKUP($A269,'RAWDATA Cars Buyers DB'!$A:$A,'RAWDATA Cars Buyers DB'!I:I)</f>
        <v>1–2 Kilometre</v>
      </c>
      <c r="J269" s="8" t="str">
        <f>_xlfn.XLOOKUP($A269,'RAWDATA Cars Buyers DB'!$A:$A,'RAWDATA Cars Buyers DB'!J:J)</f>
        <v>Lower Saxony</v>
      </c>
      <c r="K269" s="8">
        <f>_xlfn.XLOOKUP($A269,'RAWDATA Cars Buyers DB'!$A:$A,'RAWDATA Cars Buyers DB'!K:K)</f>
        <v>54</v>
      </c>
      <c r="L269" s="10" t="str">
        <f>IF(_xlfn.XLOOKUP($A269,'RAWDATA Cars Buyers DB'!$A:$A,'RAWDATA Cars Buyers DB'!K:K)&gt;54,"Old ",IF(_xlfn.XLOOKUP($A269,'RAWDATA Cars Buyers DB'!$A:$A,'RAWDATA Cars Buyers DB'!K:K)&gt;=31,"Middle Age ",IF(_xlfn.XLOOKUP($A269,'RAWDATA Cars Buyers DB'!$A:$A,'RAWDATA Cars Buyers DB'!K:K)&lt;31,"Adolescent","Invalid")))</f>
        <v xml:space="preserve">Middle Age </v>
      </c>
      <c r="M269" s="8" t="str">
        <f>_xlfn.XLOOKUP($A269,'RAWDATA Cars Buyers DB'!$A:$A,'RAWDATA Cars Buyers DB'!L:L)</f>
        <v>Yes</v>
      </c>
    </row>
    <row r="270" spans="1:13">
      <c r="A270" s="6">
        <v>15539</v>
      </c>
      <c r="B270" s="10" t="str">
        <f>IF(_xlfn.XLOOKUP($A270,'RAWDATA Cars Buyers DB'!$A:$A,'RAWDATA Cars Buyers DB'!B:B)="S","Single","Married")</f>
        <v>Single</v>
      </c>
      <c r="C270" s="10" t="str">
        <f>IF(_xlfn.XLOOKUP($A270,'RAWDATA Cars Buyers DB'!$A:$A,'RAWDATA Cars Buyers DB'!C:C)="F","Female","Male")</f>
        <v>Male</v>
      </c>
      <c r="D270" s="7">
        <f>_xlfn.XLOOKUP($A270,'RAWDATA Cars Buyers DB'!$A:$A,'RAWDATA Cars Buyers DB'!D:D)</f>
        <v>101532</v>
      </c>
      <c r="E270" s="8">
        <f>_xlfn.XLOOKUP($A270,'RAWDATA Cars Buyers DB'!$A:$A,'RAWDATA Cars Buyers DB'!E:E)</f>
        <v>0</v>
      </c>
      <c r="F270" s="8" t="str">
        <f>_xlfn.XLOOKUP($A270,'RAWDATA Cars Buyers DB'!$A:$A,'RAWDATA Cars Buyers DB'!F:F)</f>
        <v>Partial College</v>
      </c>
      <c r="G270" s="8" t="str">
        <f>_xlfn.XLOOKUP($A270,'RAWDATA Cars Buyers DB'!$A:$A,'RAWDATA Cars Buyers DB'!G:G)</f>
        <v>Clerical</v>
      </c>
      <c r="H270" s="8" t="str">
        <f>_xlfn.XLOOKUP($A270,'RAWDATA Cars Buyers DB'!$A:$A,'RAWDATA Cars Buyers DB'!H:H)</f>
        <v>No</v>
      </c>
      <c r="I270" s="8" t="str">
        <f>_xlfn.XLOOKUP($A270,'RAWDATA Cars Buyers DB'!$A:$A,'RAWDATA Cars Buyers DB'!I:I)</f>
        <v>1–2 Kilometre</v>
      </c>
      <c r="J270" s="8" t="str">
        <f>_xlfn.XLOOKUP($A270,'RAWDATA Cars Buyers DB'!$A:$A,'RAWDATA Cars Buyers DB'!J:J)</f>
        <v>Bavaria</v>
      </c>
      <c r="K270" s="8">
        <f>_xlfn.XLOOKUP($A270,'RAWDATA Cars Buyers DB'!$A:$A,'RAWDATA Cars Buyers DB'!K:K)</f>
        <v>23</v>
      </c>
      <c r="L270" s="10" t="str">
        <f>IF(_xlfn.XLOOKUP($A270,'RAWDATA Cars Buyers DB'!$A:$A,'RAWDATA Cars Buyers DB'!K:K)&gt;54,"Old ",IF(_xlfn.XLOOKUP($A270,'RAWDATA Cars Buyers DB'!$A:$A,'RAWDATA Cars Buyers DB'!K:K)&gt;=31,"Middle Age ",IF(_xlfn.XLOOKUP($A270,'RAWDATA Cars Buyers DB'!$A:$A,'RAWDATA Cars Buyers DB'!K:K)&lt;31,"Adolescent","Invalid")))</f>
        <v>Adolescent</v>
      </c>
      <c r="M270" s="8" t="str">
        <f>_xlfn.XLOOKUP($A270,'RAWDATA Cars Buyers DB'!$A:$A,'RAWDATA Cars Buyers DB'!L:L)</f>
        <v>No</v>
      </c>
    </row>
    <row r="271" spans="1:13">
      <c r="A271" s="6">
        <v>63351</v>
      </c>
      <c r="B271" s="10" t="str">
        <f>IF(_xlfn.XLOOKUP($A271,'RAWDATA Cars Buyers DB'!$A:$A,'RAWDATA Cars Buyers DB'!B:B)="S","Single","Married")</f>
        <v>Single</v>
      </c>
      <c r="C271" s="10" t="str">
        <f>IF(_xlfn.XLOOKUP($A271,'RAWDATA Cars Buyers DB'!$A:$A,'RAWDATA Cars Buyers DB'!C:C)="F","Female","Male")</f>
        <v>Male</v>
      </c>
      <c r="D271" s="7">
        <f>_xlfn.XLOOKUP($A271,'RAWDATA Cars Buyers DB'!$A:$A,'RAWDATA Cars Buyers DB'!D:D)</f>
        <v>75778</v>
      </c>
      <c r="E271" s="8">
        <f>_xlfn.XLOOKUP($A271,'RAWDATA Cars Buyers DB'!$A:$A,'RAWDATA Cars Buyers DB'!E:E)</f>
        <v>5</v>
      </c>
      <c r="F271" s="8" t="str">
        <f>_xlfn.XLOOKUP($A271,'RAWDATA Cars Buyers DB'!$A:$A,'RAWDATA Cars Buyers DB'!F:F)</f>
        <v>High School</v>
      </c>
      <c r="G271" s="8" t="str">
        <f>_xlfn.XLOOKUP($A271,'RAWDATA Cars Buyers DB'!$A:$A,'RAWDATA Cars Buyers DB'!G:G)</f>
        <v>Management</v>
      </c>
      <c r="H271" s="8" t="str">
        <f>_xlfn.XLOOKUP($A271,'RAWDATA Cars Buyers DB'!$A:$A,'RAWDATA Cars Buyers DB'!H:H)</f>
        <v>No</v>
      </c>
      <c r="I271" s="8" t="str">
        <f>_xlfn.XLOOKUP($A271,'RAWDATA Cars Buyers DB'!$A:$A,'RAWDATA Cars Buyers DB'!I:I)</f>
        <v>1–2 Kilometre</v>
      </c>
      <c r="J271" s="8" t="str">
        <f>_xlfn.XLOOKUP($A271,'RAWDATA Cars Buyers DB'!$A:$A,'RAWDATA Cars Buyers DB'!J:J)</f>
        <v>Bremen</v>
      </c>
      <c r="K271" s="8">
        <f>_xlfn.XLOOKUP($A271,'RAWDATA Cars Buyers DB'!$A:$A,'RAWDATA Cars Buyers DB'!K:K)</f>
        <v>35</v>
      </c>
      <c r="L271" s="10" t="str">
        <f>IF(_xlfn.XLOOKUP($A271,'RAWDATA Cars Buyers DB'!$A:$A,'RAWDATA Cars Buyers DB'!K:K)&gt;54,"Old ",IF(_xlfn.XLOOKUP($A271,'RAWDATA Cars Buyers DB'!$A:$A,'RAWDATA Cars Buyers DB'!K:K)&gt;=31,"Middle Age ",IF(_xlfn.XLOOKUP($A271,'RAWDATA Cars Buyers DB'!$A:$A,'RAWDATA Cars Buyers DB'!K:K)&lt;31,"Adolescent","Invalid")))</f>
        <v xml:space="preserve">Middle Age </v>
      </c>
      <c r="M271" s="8" t="str">
        <f>_xlfn.XLOOKUP($A271,'RAWDATA Cars Buyers DB'!$A:$A,'RAWDATA Cars Buyers DB'!L:L)</f>
        <v>No</v>
      </c>
    </row>
    <row r="272" spans="1:13">
      <c r="A272" s="6">
        <v>71267</v>
      </c>
      <c r="B272" s="10" t="str">
        <f>IF(_xlfn.XLOOKUP($A272,'RAWDATA Cars Buyers DB'!$A:$A,'RAWDATA Cars Buyers DB'!B:B)="S","Single","Married")</f>
        <v>Married</v>
      </c>
      <c r="C272" s="10" t="str">
        <f>IF(_xlfn.XLOOKUP($A272,'RAWDATA Cars Buyers DB'!$A:$A,'RAWDATA Cars Buyers DB'!C:C)="F","Female","Male")</f>
        <v>Female</v>
      </c>
      <c r="D272" s="7">
        <f>_xlfn.XLOOKUP($A272,'RAWDATA Cars Buyers DB'!$A:$A,'RAWDATA Cars Buyers DB'!D:D)</f>
        <v>57772</v>
      </c>
      <c r="E272" s="8">
        <f>_xlfn.XLOOKUP($A272,'RAWDATA Cars Buyers DB'!$A:$A,'RAWDATA Cars Buyers DB'!E:E)</f>
        <v>4</v>
      </c>
      <c r="F272" s="8" t="str">
        <f>_xlfn.XLOOKUP($A272,'RAWDATA Cars Buyers DB'!$A:$A,'RAWDATA Cars Buyers DB'!F:F)</f>
        <v>Graduate Degree</v>
      </c>
      <c r="G272" s="8" t="str">
        <f>_xlfn.XLOOKUP($A272,'RAWDATA Cars Buyers DB'!$A:$A,'RAWDATA Cars Buyers DB'!G:G)</f>
        <v>Professional</v>
      </c>
      <c r="H272" s="8" t="str">
        <f>_xlfn.XLOOKUP($A272,'RAWDATA Cars Buyers DB'!$A:$A,'RAWDATA Cars Buyers DB'!H:H)</f>
        <v>Yes</v>
      </c>
      <c r="I272" s="8" t="str">
        <f>_xlfn.XLOOKUP($A272,'RAWDATA Cars Buyers DB'!$A:$A,'RAWDATA Cars Buyers DB'!I:I)</f>
        <v>2–4 Kilometre</v>
      </c>
      <c r="J272" s="8" t="str">
        <f>_xlfn.XLOOKUP($A272,'RAWDATA Cars Buyers DB'!$A:$A,'RAWDATA Cars Buyers DB'!J:J)</f>
        <v>Brandenburg</v>
      </c>
      <c r="K272" s="8">
        <f>_xlfn.XLOOKUP($A272,'RAWDATA Cars Buyers DB'!$A:$A,'RAWDATA Cars Buyers DB'!K:K)</f>
        <v>35</v>
      </c>
      <c r="L272" s="10" t="str">
        <f>IF(_xlfn.XLOOKUP($A272,'RAWDATA Cars Buyers DB'!$A:$A,'RAWDATA Cars Buyers DB'!K:K)&gt;54,"Old ",IF(_xlfn.XLOOKUP($A272,'RAWDATA Cars Buyers DB'!$A:$A,'RAWDATA Cars Buyers DB'!K:K)&gt;=31,"Middle Age ",IF(_xlfn.XLOOKUP($A272,'RAWDATA Cars Buyers DB'!$A:$A,'RAWDATA Cars Buyers DB'!K:K)&lt;31,"Adolescent","Invalid")))</f>
        <v xml:space="preserve">Middle Age </v>
      </c>
      <c r="M272" s="8" t="str">
        <f>_xlfn.XLOOKUP($A272,'RAWDATA Cars Buyers DB'!$A:$A,'RAWDATA Cars Buyers DB'!L:L)</f>
        <v>No</v>
      </c>
    </row>
    <row r="273" spans="1:13">
      <c r="A273" s="6">
        <v>58354</v>
      </c>
      <c r="B273" s="10" t="str">
        <f>IF(_xlfn.XLOOKUP($A273,'RAWDATA Cars Buyers DB'!$A:$A,'RAWDATA Cars Buyers DB'!B:B)="S","Single","Married")</f>
        <v>Married</v>
      </c>
      <c r="C273" s="10" t="str">
        <f>IF(_xlfn.XLOOKUP($A273,'RAWDATA Cars Buyers DB'!$A:$A,'RAWDATA Cars Buyers DB'!C:C)="F","Female","Male")</f>
        <v>Male</v>
      </c>
      <c r="D273" s="7">
        <f>_xlfn.XLOOKUP($A273,'RAWDATA Cars Buyers DB'!$A:$A,'RAWDATA Cars Buyers DB'!D:D)</f>
        <v>78478</v>
      </c>
      <c r="E273" s="8">
        <f>_xlfn.XLOOKUP($A273,'RAWDATA Cars Buyers DB'!$A:$A,'RAWDATA Cars Buyers DB'!E:E)</f>
        <v>2</v>
      </c>
      <c r="F273" s="8" t="str">
        <f>_xlfn.XLOOKUP($A273,'RAWDATA Cars Buyers DB'!$A:$A,'RAWDATA Cars Buyers DB'!F:F)</f>
        <v>Bachelors</v>
      </c>
      <c r="G273" s="8" t="str">
        <f>_xlfn.XLOOKUP($A273,'RAWDATA Cars Buyers DB'!$A:$A,'RAWDATA Cars Buyers DB'!G:G)</f>
        <v>Management</v>
      </c>
      <c r="H273" s="8" t="str">
        <f>_xlfn.XLOOKUP($A273,'RAWDATA Cars Buyers DB'!$A:$A,'RAWDATA Cars Buyers DB'!H:H)</f>
        <v>No</v>
      </c>
      <c r="I273" s="8" t="str">
        <f>_xlfn.XLOOKUP($A273,'RAWDATA Cars Buyers DB'!$A:$A,'RAWDATA Cars Buyers DB'!I:I)</f>
        <v>0–1 Kilometre</v>
      </c>
      <c r="J273" s="8" t="str">
        <f>_xlfn.XLOOKUP($A273,'RAWDATA Cars Buyers DB'!$A:$A,'RAWDATA Cars Buyers DB'!J:J)</f>
        <v>Bremen</v>
      </c>
      <c r="K273" s="8">
        <f>_xlfn.XLOOKUP($A273,'RAWDATA Cars Buyers DB'!$A:$A,'RAWDATA Cars Buyers DB'!K:K)</f>
        <v>40</v>
      </c>
      <c r="L273" s="10" t="str">
        <f>IF(_xlfn.XLOOKUP($A273,'RAWDATA Cars Buyers DB'!$A:$A,'RAWDATA Cars Buyers DB'!K:K)&gt;54,"Old ",IF(_xlfn.XLOOKUP($A273,'RAWDATA Cars Buyers DB'!$A:$A,'RAWDATA Cars Buyers DB'!K:K)&gt;=31,"Middle Age ",IF(_xlfn.XLOOKUP($A273,'RAWDATA Cars Buyers DB'!$A:$A,'RAWDATA Cars Buyers DB'!K:K)&lt;31,"Adolescent","Invalid")))</f>
        <v xml:space="preserve">Middle Age </v>
      </c>
      <c r="M273" s="8" t="str">
        <f>_xlfn.XLOOKUP($A273,'RAWDATA Cars Buyers DB'!$A:$A,'RAWDATA Cars Buyers DB'!L:L)</f>
        <v>Yes</v>
      </c>
    </row>
    <row r="274" spans="1:13">
      <c r="A274" s="6">
        <v>12557</v>
      </c>
      <c r="B274" s="10" t="str">
        <f>IF(_xlfn.XLOOKUP($A274,'RAWDATA Cars Buyers DB'!$A:$A,'RAWDATA Cars Buyers DB'!B:B)="S","Single","Married")</f>
        <v>Married</v>
      </c>
      <c r="C274" s="10" t="str">
        <f>IF(_xlfn.XLOOKUP($A274,'RAWDATA Cars Buyers DB'!$A:$A,'RAWDATA Cars Buyers DB'!C:C)="F","Female","Male")</f>
        <v>Female</v>
      </c>
      <c r="D274" s="7">
        <f>_xlfn.XLOOKUP($A274,'RAWDATA Cars Buyers DB'!$A:$A,'RAWDATA Cars Buyers DB'!D:D)</f>
        <v>84353</v>
      </c>
      <c r="E274" s="8">
        <f>_xlfn.XLOOKUP($A274,'RAWDATA Cars Buyers DB'!$A:$A,'RAWDATA Cars Buyers DB'!E:E)</f>
        <v>1</v>
      </c>
      <c r="F274" s="8" t="str">
        <f>_xlfn.XLOOKUP($A274,'RAWDATA Cars Buyers DB'!$A:$A,'RAWDATA Cars Buyers DB'!F:F)</f>
        <v>Partial College</v>
      </c>
      <c r="G274" s="8" t="str">
        <f>_xlfn.XLOOKUP($A274,'RAWDATA Cars Buyers DB'!$A:$A,'RAWDATA Cars Buyers DB'!G:G)</f>
        <v>Skilled Manual</v>
      </c>
      <c r="H274" s="8" t="str">
        <f>_xlfn.XLOOKUP($A274,'RAWDATA Cars Buyers DB'!$A:$A,'RAWDATA Cars Buyers DB'!H:H)</f>
        <v>Yes</v>
      </c>
      <c r="I274" s="8" t="str">
        <f>_xlfn.XLOOKUP($A274,'RAWDATA Cars Buyers DB'!$A:$A,'RAWDATA Cars Buyers DB'!I:I)</f>
        <v>4–6 Kilometre</v>
      </c>
      <c r="J274" s="8" t="str">
        <f>_xlfn.XLOOKUP($A274,'RAWDATA Cars Buyers DB'!$A:$A,'RAWDATA Cars Buyers DB'!J:J)</f>
        <v>Mecklenburg-Vorpommern</v>
      </c>
      <c r="K274" s="8">
        <f>_xlfn.XLOOKUP($A274,'RAWDATA Cars Buyers DB'!$A:$A,'RAWDATA Cars Buyers DB'!K:K)</f>
        <v>45</v>
      </c>
      <c r="L274" s="10" t="str">
        <f>IF(_xlfn.XLOOKUP($A274,'RAWDATA Cars Buyers DB'!$A:$A,'RAWDATA Cars Buyers DB'!K:K)&gt;54,"Old ",IF(_xlfn.XLOOKUP($A274,'RAWDATA Cars Buyers DB'!$A:$A,'RAWDATA Cars Buyers DB'!K:K)&gt;=31,"Middle Age ",IF(_xlfn.XLOOKUP($A274,'RAWDATA Cars Buyers DB'!$A:$A,'RAWDATA Cars Buyers DB'!K:K)&lt;31,"Adolescent","Invalid")))</f>
        <v xml:space="preserve">Middle Age </v>
      </c>
      <c r="M274" s="8" t="str">
        <f>_xlfn.XLOOKUP($A274,'RAWDATA Cars Buyers DB'!$A:$A,'RAWDATA Cars Buyers DB'!L:L)</f>
        <v>Yes</v>
      </c>
    </row>
    <row r="275" spans="1:13">
      <c r="A275" s="6">
        <v>48360</v>
      </c>
      <c r="B275" s="10" t="str">
        <f>IF(_xlfn.XLOOKUP($A275,'RAWDATA Cars Buyers DB'!$A:$A,'RAWDATA Cars Buyers DB'!B:B)="S","Single","Married")</f>
        <v>Single</v>
      </c>
      <c r="C275" s="10" t="str">
        <f>IF(_xlfn.XLOOKUP($A275,'RAWDATA Cars Buyers DB'!$A:$A,'RAWDATA Cars Buyers DB'!C:C)="F","Female","Male")</f>
        <v>Male</v>
      </c>
      <c r="D275" s="7">
        <f>_xlfn.XLOOKUP($A275,'RAWDATA Cars Buyers DB'!$A:$A,'RAWDATA Cars Buyers DB'!D:D)</f>
        <v>46762</v>
      </c>
      <c r="E275" s="8">
        <f>_xlfn.XLOOKUP($A275,'RAWDATA Cars Buyers DB'!$A:$A,'RAWDATA Cars Buyers DB'!E:E)</f>
        <v>2</v>
      </c>
      <c r="F275" s="8" t="str">
        <f>_xlfn.XLOOKUP($A275,'RAWDATA Cars Buyers DB'!$A:$A,'RAWDATA Cars Buyers DB'!F:F)</f>
        <v>Graduate Degree</v>
      </c>
      <c r="G275" s="8" t="str">
        <f>_xlfn.XLOOKUP($A275,'RAWDATA Cars Buyers DB'!$A:$A,'RAWDATA Cars Buyers DB'!G:G)</f>
        <v>Management</v>
      </c>
      <c r="H275" s="8" t="str">
        <f>_xlfn.XLOOKUP($A275,'RAWDATA Cars Buyers DB'!$A:$A,'RAWDATA Cars Buyers DB'!H:H)</f>
        <v>Yes</v>
      </c>
      <c r="I275" s="8" t="str">
        <f>_xlfn.XLOOKUP($A275,'RAWDATA Cars Buyers DB'!$A:$A,'RAWDATA Cars Buyers DB'!I:I)</f>
        <v>1–2 Kilometre</v>
      </c>
      <c r="J275" s="8" t="str">
        <f>_xlfn.XLOOKUP($A275,'RAWDATA Cars Buyers DB'!$A:$A,'RAWDATA Cars Buyers DB'!J:J)</f>
        <v>Saxony</v>
      </c>
      <c r="K275" s="8">
        <f>_xlfn.XLOOKUP($A275,'RAWDATA Cars Buyers DB'!$A:$A,'RAWDATA Cars Buyers DB'!K:K)</f>
        <v>55</v>
      </c>
      <c r="L275" s="10" t="str">
        <f>IF(_xlfn.XLOOKUP($A275,'RAWDATA Cars Buyers DB'!$A:$A,'RAWDATA Cars Buyers DB'!K:K)&gt;54,"Old ",IF(_xlfn.XLOOKUP($A275,'RAWDATA Cars Buyers DB'!$A:$A,'RAWDATA Cars Buyers DB'!K:K)&gt;=31,"Middle Age ",IF(_xlfn.XLOOKUP($A275,'RAWDATA Cars Buyers DB'!$A:$A,'RAWDATA Cars Buyers DB'!K:K)&lt;31,"Adolescent","Invalid")))</f>
        <v xml:space="preserve">Old </v>
      </c>
      <c r="M275" s="8" t="str">
        <f>_xlfn.XLOOKUP($A275,'RAWDATA Cars Buyers DB'!$A:$A,'RAWDATA Cars Buyers DB'!L:L)</f>
        <v>No</v>
      </c>
    </row>
    <row r="276" spans="1:13">
      <c r="A276" s="6">
        <v>92018</v>
      </c>
      <c r="B276" s="10" t="str">
        <f>IF(_xlfn.XLOOKUP($A276,'RAWDATA Cars Buyers DB'!$A:$A,'RAWDATA Cars Buyers DB'!B:B)="S","Single","Married")</f>
        <v>Married</v>
      </c>
      <c r="C276" s="10" t="str">
        <f>IF(_xlfn.XLOOKUP($A276,'RAWDATA Cars Buyers DB'!$A:$A,'RAWDATA Cars Buyers DB'!C:C)="F","Female","Male")</f>
        <v>Male</v>
      </c>
      <c r="D276" s="7">
        <f>_xlfn.XLOOKUP($A276,'RAWDATA Cars Buyers DB'!$A:$A,'RAWDATA Cars Buyers DB'!D:D)</f>
        <v>33283</v>
      </c>
      <c r="E276" s="8">
        <f>_xlfn.XLOOKUP($A276,'RAWDATA Cars Buyers DB'!$A:$A,'RAWDATA Cars Buyers DB'!E:E)</f>
        <v>4</v>
      </c>
      <c r="F276" s="8" t="str">
        <f>_xlfn.XLOOKUP($A276,'RAWDATA Cars Buyers DB'!$A:$A,'RAWDATA Cars Buyers DB'!F:F)</f>
        <v>Bachelors</v>
      </c>
      <c r="G276" s="8" t="str">
        <f>_xlfn.XLOOKUP($A276,'RAWDATA Cars Buyers DB'!$A:$A,'RAWDATA Cars Buyers DB'!G:G)</f>
        <v>Professional</v>
      </c>
      <c r="H276" s="8" t="str">
        <f>_xlfn.XLOOKUP($A276,'RAWDATA Cars Buyers DB'!$A:$A,'RAWDATA Cars Buyers DB'!H:H)</f>
        <v>No</v>
      </c>
      <c r="I276" s="8" t="str">
        <f>_xlfn.XLOOKUP($A276,'RAWDATA Cars Buyers DB'!$A:$A,'RAWDATA Cars Buyers DB'!I:I)</f>
        <v>0–1 Kilometre</v>
      </c>
      <c r="J276" s="8" t="str">
        <f>_xlfn.XLOOKUP($A276,'RAWDATA Cars Buyers DB'!$A:$A,'RAWDATA Cars Buyers DB'!J:J)</f>
        <v>Hesse</v>
      </c>
      <c r="K276" s="8">
        <f>_xlfn.XLOOKUP($A276,'RAWDATA Cars Buyers DB'!$A:$A,'RAWDATA Cars Buyers DB'!K:K)</f>
        <v>38</v>
      </c>
      <c r="L276" s="10" t="str">
        <f>IF(_xlfn.XLOOKUP($A276,'RAWDATA Cars Buyers DB'!$A:$A,'RAWDATA Cars Buyers DB'!K:K)&gt;54,"Old ",IF(_xlfn.XLOOKUP($A276,'RAWDATA Cars Buyers DB'!$A:$A,'RAWDATA Cars Buyers DB'!K:K)&gt;=31,"Middle Age ",IF(_xlfn.XLOOKUP($A276,'RAWDATA Cars Buyers DB'!$A:$A,'RAWDATA Cars Buyers DB'!K:K)&lt;31,"Adolescent","Invalid")))</f>
        <v xml:space="preserve">Middle Age </v>
      </c>
      <c r="M276" s="8" t="str">
        <f>_xlfn.XLOOKUP($A276,'RAWDATA Cars Buyers DB'!$A:$A,'RAWDATA Cars Buyers DB'!L:L)</f>
        <v>No</v>
      </c>
    </row>
    <row r="277" spans="1:13">
      <c r="A277" s="6">
        <v>12200</v>
      </c>
      <c r="B277" s="10" t="str">
        <f>IF(_xlfn.XLOOKUP($A277,'RAWDATA Cars Buyers DB'!$A:$A,'RAWDATA Cars Buyers DB'!B:B)="S","Single","Married")</f>
        <v>Married</v>
      </c>
      <c r="C277" s="10" t="str">
        <f>IF(_xlfn.XLOOKUP($A277,'RAWDATA Cars Buyers DB'!$A:$A,'RAWDATA Cars Buyers DB'!C:C)="F","Female","Male")</f>
        <v>Male</v>
      </c>
      <c r="D277" s="7">
        <f>_xlfn.XLOOKUP($A277,'RAWDATA Cars Buyers DB'!$A:$A,'RAWDATA Cars Buyers DB'!D:D)</f>
        <v>83922</v>
      </c>
      <c r="E277" s="8">
        <f>_xlfn.XLOOKUP($A277,'RAWDATA Cars Buyers DB'!$A:$A,'RAWDATA Cars Buyers DB'!E:E)</f>
        <v>1</v>
      </c>
      <c r="F277" s="8" t="str">
        <f>_xlfn.XLOOKUP($A277,'RAWDATA Cars Buyers DB'!$A:$A,'RAWDATA Cars Buyers DB'!F:F)</f>
        <v>Graduate Degree</v>
      </c>
      <c r="G277" s="8" t="str">
        <f>_xlfn.XLOOKUP($A277,'RAWDATA Cars Buyers DB'!$A:$A,'RAWDATA Cars Buyers DB'!G:G)</f>
        <v>Professional</v>
      </c>
      <c r="H277" s="8" t="str">
        <f>_xlfn.XLOOKUP($A277,'RAWDATA Cars Buyers DB'!$A:$A,'RAWDATA Cars Buyers DB'!H:H)</f>
        <v>Yes</v>
      </c>
      <c r="I277" s="8" t="str">
        <f>_xlfn.XLOOKUP($A277,'RAWDATA Cars Buyers DB'!$A:$A,'RAWDATA Cars Buyers DB'!I:I)</f>
        <v>6+ Kilometre</v>
      </c>
      <c r="J277" s="8" t="str">
        <f>_xlfn.XLOOKUP($A277,'RAWDATA Cars Buyers DB'!$A:$A,'RAWDATA Cars Buyers DB'!J:J)</f>
        <v>Saarland</v>
      </c>
      <c r="K277" s="8">
        <f>_xlfn.XLOOKUP($A277,'RAWDATA Cars Buyers DB'!$A:$A,'RAWDATA Cars Buyers DB'!K:K)</f>
        <v>36</v>
      </c>
      <c r="L277" s="10" t="str">
        <f>IF(_xlfn.XLOOKUP($A277,'RAWDATA Cars Buyers DB'!$A:$A,'RAWDATA Cars Buyers DB'!K:K)&gt;54,"Old ",IF(_xlfn.XLOOKUP($A277,'RAWDATA Cars Buyers DB'!$A:$A,'RAWDATA Cars Buyers DB'!K:K)&gt;=31,"Middle Age ",IF(_xlfn.XLOOKUP($A277,'RAWDATA Cars Buyers DB'!$A:$A,'RAWDATA Cars Buyers DB'!K:K)&lt;31,"Adolescent","Invalid")))</f>
        <v xml:space="preserve">Middle Age </v>
      </c>
      <c r="M277" s="8" t="str">
        <f>_xlfn.XLOOKUP($A277,'RAWDATA Cars Buyers DB'!$A:$A,'RAWDATA Cars Buyers DB'!L:L)</f>
        <v>Yes</v>
      </c>
    </row>
    <row r="278" spans="1:13">
      <c r="A278" s="6">
        <v>78497</v>
      </c>
      <c r="B278" s="10" t="str">
        <f>IF(_xlfn.XLOOKUP($A278,'RAWDATA Cars Buyers DB'!$A:$A,'RAWDATA Cars Buyers DB'!B:B)="S","Single","Married")</f>
        <v>Married</v>
      </c>
      <c r="C278" s="10" t="str">
        <f>IF(_xlfn.XLOOKUP($A278,'RAWDATA Cars Buyers DB'!$A:$A,'RAWDATA Cars Buyers DB'!C:C)="F","Female","Male")</f>
        <v>Female</v>
      </c>
      <c r="D278" s="7">
        <f>_xlfn.XLOOKUP($A278,'RAWDATA Cars Buyers DB'!$A:$A,'RAWDATA Cars Buyers DB'!D:D)</f>
        <v>59420</v>
      </c>
      <c r="E278" s="8">
        <f>_xlfn.XLOOKUP($A278,'RAWDATA Cars Buyers DB'!$A:$A,'RAWDATA Cars Buyers DB'!E:E)</f>
        <v>2</v>
      </c>
      <c r="F278" s="8" t="str">
        <f>_xlfn.XLOOKUP($A278,'RAWDATA Cars Buyers DB'!$A:$A,'RAWDATA Cars Buyers DB'!F:F)</f>
        <v>Bachelors</v>
      </c>
      <c r="G278" s="8" t="str">
        <f>_xlfn.XLOOKUP($A278,'RAWDATA Cars Buyers DB'!$A:$A,'RAWDATA Cars Buyers DB'!G:G)</f>
        <v>Professional</v>
      </c>
      <c r="H278" s="8" t="str">
        <f>_xlfn.XLOOKUP($A278,'RAWDATA Cars Buyers DB'!$A:$A,'RAWDATA Cars Buyers DB'!H:H)</f>
        <v>Yes</v>
      </c>
      <c r="I278" s="8" t="str">
        <f>_xlfn.XLOOKUP($A278,'RAWDATA Cars Buyers DB'!$A:$A,'RAWDATA Cars Buyers DB'!I:I)</f>
        <v>1–2 Kilometre</v>
      </c>
      <c r="J278" s="8" t="str">
        <f>_xlfn.XLOOKUP($A278,'RAWDATA Cars Buyers DB'!$A:$A,'RAWDATA Cars Buyers DB'!J:J)</f>
        <v>Rhineland-Palatinate</v>
      </c>
      <c r="K278" s="8">
        <f>_xlfn.XLOOKUP($A278,'RAWDATA Cars Buyers DB'!$A:$A,'RAWDATA Cars Buyers DB'!K:K)</f>
        <v>64</v>
      </c>
      <c r="L278" s="10" t="str">
        <f>IF(_xlfn.XLOOKUP($A278,'RAWDATA Cars Buyers DB'!$A:$A,'RAWDATA Cars Buyers DB'!K:K)&gt;54,"Old ",IF(_xlfn.XLOOKUP($A278,'RAWDATA Cars Buyers DB'!$A:$A,'RAWDATA Cars Buyers DB'!K:K)&gt;=31,"Middle Age ",IF(_xlfn.XLOOKUP($A278,'RAWDATA Cars Buyers DB'!$A:$A,'RAWDATA Cars Buyers DB'!K:K)&lt;31,"Adolescent","Invalid")))</f>
        <v xml:space="preserve">Old </v>
      </c>
      <c r="M278" s="8" t="str">
        <f>_xlfn.XLOOKUP($A278,'RAWDATA Cars Buyers DB'!$A:$A,'RAWDATA Cars Buyers DB'!L:L)</f>
        <v>No</v>
      </c>
    </row>
    <row r="279" spans="1:13">
      <c r="A279" s="6">
        <v>56975</v>
      </c>
      <c r="B279" s="10" t="str">
        <f>IF(_xlfn.XLOOKUP($A279,'RAWDATA Cars Buyers DB'!$A:$A,'RAWDATA Cars Buyers DB'!B:B)="S","Single","Married")</f>
        <v>Single</v>
      </c>
      <c r="C279" s="10" t="str">
        <f>IF(_xlfn.XLOOKUP($A279,'RAWDATA Cars Buyers DB'!$A:$A,'RAWDATA Cars Buyers DB'!C:C)="F","Female","Male")</f>
        <v>Female</v>
      </c>
      <c r="D279" s="7">
        <f>_xlfn.XLOOKUP($A279,'RAWDATA Cars Buyers DB'!$A:$A,'RAWDATA Cars Buyers DB'!D:D)</f>
        <v>75568</v>
      </c>
      <c r="E279" s="8">
        <f>_xlfn.XLOOKUP($A279,'RAWDATA Cars Buyers DB'!$A:$A,'RAWDATA Cars Buyers DB'!E:E)</f>
        <v>5</v>
      </c>
      <c r="F279" s="8" t="str">
        <f>_xlfn.XLOOKUP($A279,'RAWDATA Cars Buyers DB'!$A:$A,'RAWDATA Cars Buyers DB'!F:F)</f>
        <v>Graduate Degree</v>
      </c>
      <c r="G279" s="8" t="str">
        <f>_xlfn.XLOOKUP($A279,'RAWDATA Cars Buyers DB'!$A:$A,'RAWDATA Cars Buyers DB'!G:G)</f>
        <v>Management</v>
      </c>
      <c r="H279" s="8" t="str">
        <f>_xlfn.XLOOKUP($A279,'RAWDATA Cars Buyers DB'!$A:$A,'RAWDATA Cars Buyers DB'!H:H)</f>
        <v>No</v>
      </c>
      <c r="I279" s="8" t="str">
        <f>_xlfn.XLOOKUP($A279,'RAWDATA Cars Buyers DB'!$A:$A,'RAWDATA Cars Buyers DB'!I:I)</f>
        <v>1–2 Kilometre</v>
      </c>
      <c r="J279" s="8" t="str">
        <f>_xlfn.XLOOKUP($A279,'RAWDATA Cars Buyers DB'!$A:$A,'RAWDATA Cars Buyers DB'!J:J)</f>
        <v>Rhineland-Palatinate</v>
      </c>
      <c r="K279" s="8">
        <f>_xlfn.XLOOKUP($A279,'RAWDATA Cars Buyers DB'!$A:$A,'RAWDATA Cars Buyers DB'!K:K)</f>
        <v>45</v>
      </c>
      <c r="L279" s="10" t="str">
        <f>IF(_xlfn.XLOOKUP($A279,'RAWDATA Cars Buyers DB'!$A:$A,'RAWDATA Cars Buyers DB'!K:K)&gt;54,"Old ",IF(_xlfn.XLOOKUP($A279,'RAWDATA Cars Buyers DB'!$A:$A,'RAWDATA Cars Buyers DB'!K:K)&gt;=31,"Middle Age ",IF(_xlfn.XLOOKUP($A279,'RAWDATA Cars Buyers DB'!$A:$A,'RAWDATA Cars Buyers DB'!K:K)&lt;31,"Adolescent","Invalid")))</f>
        <v xml:space="preserve">Middle Age </v>
      </c>
      <c r="M279" s="8" t="str">
        <f>_xlfn.XLOOKUP($A279,'RAWDATA Cars Buyers DB'!$A:$A,'RAWDATA Cars Buyers DB'!L:L)</f>
        <v>Yes</v>
      </c>
    </row>
    <row r="280" spans="1:13">
      <c r="A280" s="6">
        <v>31357</v>
      </c>
      <c r="B280" s="10" t="str">
        <f>IF(_xlfn.XLOOKUP($A280,'RAWDATA Cars Buyers DB'!$A:$A,'RAWDATA Cars Buyers DB'!B:B)="S","Single","Married")</f>
        <v>Single</v>
      </c>
      <c r="C280" s="10" t="str">
        <f>IF(_xlfn.XLOOKUP($A280,'RAWDATA Cars Buyers DB'!$A:$A,'RAWDATA Cars Buyers DB'!C:C)="F","Female","Male")</f>
        <v>Male</v>
      </c>
      <c r="D280" s="7">
        <f>_xlfn.XLOOKUP($A280,'RAWDATA Cars Buyers DB'!$A:$A,'RAWDATA Cars Buyers DB'!D:D)</f>
        <v>105090</v>
      </c>
      <c r="E280" s="8">
        <f>_xlfn.XLOOKUP($A280,'RAWDATA Cars Buyers DB'!$A:$A,'RAWDATA Cars Buyers DB'!E:E)</f>
        <v>1</v>
      </c>
      <c r="F280" s="8" t="str">
        <f>_xlfn.XLOOKUP($A280,'RAWDATA Cars Buyers DB'!$A:$A,'RAWDATA Cars Buyers DB'!F:F)</f>
        <v>Partial College</v>
      </c>
      <c r="G280" s="8" t="str">
        <f>_xlfn.XLOOKUP($A280,'RAWDATA Cars Buyers DB'!$A:$A,'RAWDATA Cars Buyers DB'!G:G)</f>
        <v>Skilled Manual</v>
      </c>
      <c r="H280" s="8" t="str">
        <f>_xlfn.XLOOKUP($A280,'RAWDATA Cars Buyers DB'!$A:$A,'RAWDATA Cars Buyers DB'!H:H)</f>
        <v>Yes</v>
      </c>
      <c r="I280" s="8" t="str">
        <f>_xlfn.XLOOKUP($A280,'RAWDATA Cars Buyers DB'!$A:$A,'RAWDATA Cars Buyers DB'!I:I)</f>
        <v>4–6 Kilometre</v>
      </c>
      <c r="J280" s="8" t="str">
        <f>_xlfn.XLOOKUP($A280,'RAWDATA Cars Buyers DB'!$A:$A,'RAWDATA Cars Buyers DB'!J:J)</f>
        <v>Saarland</v>
      </c>
      <c r="K280" s="8">
        <f>_xlfn.XLOOKUP($A280,'RAWDATA Cars Buyers DB'!$A:$A,'RAWDATA Cars Buyers DB'!K:K)</f>
        <v>41</v>
      </c>
      <c r="L280" s="10" t="str">
        <f>IF(_xlfn.XLOOKUP($A280,'RAWDATA Cars Buyers DB'!$A:$A,'RAWDATA Cars Buyers DB'!K:K)&gt;54,"Old ",IF(_xlfn.XLOOKUP($A280,'RAWDATA Cars Buyers DB'!$A:$A,'RAWDATA Cars Buyers DB'!K:K)&gt;=31,"Middle Age ",IF(_xlfn.XLOOKUP($A280,'RAWDATA Cars Buyers DB'!$A:$A,'RAWDATA Cars Buyers DB'!K:K)&lt;31,"Adolescent","Invalid")))</f>
        <v xml:space="preserve">Middle Age </v>
      </c>
      <c r="M280" s="8" t="str">
        <f>_xlfn.XLOOKUP($A280,'RAWDATA Cars Buyers DB'!$A:$A,'RAWDATA Cars Buyers DB'!L:L)</f>
        <v>No</v>
      </c>
    </row>
    <row r="281" spans="1:13">
      <c r="A281" s="6">
        <v>87505</v>
      </c>
      <c r="B281" s="10" t="str">
        <f>IF(_xlfn.XLOOKUP($A281,'RAWDATA Cars Buyers DB'!$A:$A,'RAWDATA Cars Buyers DB'!B:B)="S","Single","Married")</f>
        <v>Married</v>
      </c>
      <c r="C281" s="10" t="str">
        <f>IF(_xlfn.XLOOKUP($A281,'RAWDATA Cars Buyers DB'!$A:$A,'RAWDATA Cars Buyers DB'!C:C)="F","Female","Male")</f>
        <v>Male</v>
      </c>
      <c r="D281" s="7">
        <f>_xlfn.XLOOKUP($A281,'RAWDATA Cars Buyers DB'!$A:$A,'RAWDATA Cars Buyers DB'!D:D)</f>
        <v>40219</v>
      </c>
      <c r="E281" s="8">
        <f>_xlfn.XLOOKUP($A281,'RAWDATA Cars Buyers DB'!$A:$A,'RAWDATA Cars Buyers DB'!E:E)</f>
        <v>0</v>
      </c>
      <c r="F281" s="8" t="str">
        <f>_xlfn.XLOOKUP($A281,'RAWDATA Cars Buyers DB'!$A:$A,'RAWDATA Cars Buyers DB'!F:F)</f>
        <v>Partial College</v>
      </c>
      <c r="G281" s="8" t="str">
        <f>_xlfn.XLOOKUP($A281,'RAWDATA Cars Buyers DB'!$A:$A,'RAWDATA Cars Buyers DB'!G:G)</f>
        <v>Clerical</v>
      </c>
      <c r="H281" s="8" t="str">
        <f>_xlfn.XLOOKUP($A281,'RAWDATA Cars Buyers DB'!$A:$A,'RAWDATA Cars Buyers DB'!H:H)</f>
        <v>Yes</v>
      </c>
      <c r="I281" s="8" t="str">
        <f>_xlfn.XLOOKUP($A281,'RAWDATA Cars Buyers DB'!$A:$A,'RAWDATA Cars Buyers DB'!I:I)</f>
        <v>2–4 Kilometre</v>
      </c>
      <c r="J281" s="8" t="str">
        <f>_xlfn.XLOOKUP($A281,'RAWDATA Cars Buyers DB'!$A:$A,'RAWDATA Cars Buyers DB'!J:J)</f>
        <v>Bavaria</v>
      </c>
      <c r="K281" s="8">
        <f>_xlfn.XLOOKUP($A281,'RAWDATA Cars Buyers DB'!$A:$A,'RAWDATA Cars Buyers DB'!K:K)</f>
        <v>47</v>
      </c>
      <c r="L281" s="10" t="str">
        <f>IF(_xlfn.XLOOKUP($A281,'RAWDATA Cars Buyers DB'!$A:$A,'RAWDATA Cars Buyers DB'!K:K)&gt;54,"Old ",IF(_xlfn.XLOOKUP($A281,'RAWDATA Cars Buyers DB'!$A:$A,'RAWDATA Cars Buyers DB'!K:K)&gt;=31,"Middle Age ",IF(_xlfn.XLOOKUP($A281,'RAWDATA Cars Buyers DB'!$A:$A,'RAWDATA Cars Buyers DB'!K:K)&lt;31,"Adolescent","Invalid")))</f>
        <v xml:space="preserve">Middle Age </v>
      </c>
      <c r="M281" s="8" t="str">
        <f>_xlfn.XLOOKUP($A281,'RAWDATA Cars Buyers DB'!$A:$A,'RAWDATA Cars Buyers DB'!L:L)</f>
        <v>Yes</v>
      </c>
    </row>
    <row r="282" spans="1:13">
      <c r="A282" s="6">
        <v>12869</v>
      </c>
      <c r="B282" s="10" t="str">
        <f>IF(_xlfn.XLOOKUP($A282,'RAWDATA Cars Buyers DB'!$A:$A,'RAWDATA Cars Buyers DB'!B:B)="S","Single","Married")</f>
        <v>Married</v>
      </c>
      <c r="C282" s="10" t="str">
        <f>IF(_xlfn.XLOOKUP($A282,'RAWDATA Cars Buyers DB'!$A:$A,'RAWDATA Cars Buyers DB'!C:C)="F","Female","Male")</f>
        <v>Female</v>
      </c>
      <c r="D282" s="7">
        <f>_xlfn.XLOOKUP($A282,'RAWDATA Cars Buyers DB'!$A:$A,'RAWDATA Cars Buyers DB'!D:D)</f>
        <v>77169</v>
      </c>
      <c r="E282" s="8">
        <f>_xlfn.XLOOKUP($A282,'RAWDATA Cars Buyers DB'!$A:$A,'RAWDATA Cars Buyers DB'!E:E)</f>
        <v>2</v>
      </c>
      <c r="F282" s="8" t="str">
        <f>_xlfn.XLOOKUP($A282,'RAWDATA Cars Buyers DB'!$A:$A,'RAWDATA Cars Buyers DB'!F:F)</f>
        <v>High School</v>
      </c>
      <c r="G282" s="8" t="str">
        <f>_xlfn.XLOOKUP($A282,'RAWDATA Cars Buyers DB'!$A:$A,'RAWDATA Cars Buyers DB'!G:G)</f>
        <v>Skilled Manual</v>
      </c>
      <c r="H282" s="8" t="str">
        <f>_xlfn.XLOOKUP($A282,'RAWDATA Cars Buyers DB'!$A:$A,'RAWDATA Cars Buyers DB'!H:H)</f>
        <v>Yes</v>
      </c>
      <c r="I282" s="8" t="str">
        <f>_xlfn.XLOOKUP($A282,'RAWDATA Cars Buyers DB'!$A:$A,'RAWDATA Cars Buyers DB'!I:I)</f>
        <v>2–4 Kilometre</v>
      </c>
      <c r="J282" s="8" t="str">
        <f>_xlfn.XLOOKUP($A282,'RAWDATA Cars Buyers DB'!$A:$A,'RAWDATA Cars Buyers DB'!J:J)</f>
        <v>Lower Saxony</v>
      </c>
      <c r="K282" s="8">
        <f>_xlfn.XLOOKUP($A282,'RAWDATA Cars Buyers DB'!$A:$A,'RAWDATA Cars Buyers DB'!K:K)</f>
        <v>20</v>
      </c>
      <c r="L282" s="10" t="str">
        <f>IF(_xlfn.XLOOKUP($A282,'RAWDATA Cars Buyers DB'!$A:$A,'RAWDATA Cars Buyers DB'!K:K)&gt;54,"Old ",IF(_xlfn.XLOOKUP($A282,'RAWDATA Cars Buyers DB'!$A:$A,'RAWDATA Cars Buyers DB'!K:K)&gt;=31,"Middle Age ",IF(_xlfn.XLOOKUP($A282,'RAWDATA Cars Buyers DB'!$A:$A,'RAWDATA Cars Buyers DB'!K:K)&lt;31,"Adolescent","Invalid")))</f>
        <v>Adolescent</v>
      </c>
      <c r="M282" s="8" t="str">
        <f>_xlfn.XLOOKUP($A282,'RAWDATA Cars Buyers DB'!$A:$A,'RAWDATA Cars Buyers DB'!L:L)</f>
        <v>No</v>
      </c>
    </row>
    <row r="283" spans="1:13">
      <c r="A283" s="6">
        <v>71135</v>
      </c>
      <c r="B283" s="10" t="str">
        <f>IF(_xlfn.XLOOKUP($A283,'RAWDATA Cars Buyers DB'!$A:$A,'RAWDATA Cars Buyers DB'!B:B)="S","Single","Married")</f>
        <v>Married</v>
      </c>
      <c r="C283" s="10" t="str">
        <f>IF(_xlfn.XLOOKUP($A283,'RAWDATA Cars Buyers DB'!$A:$A,'RAWDATA Cars Buyers DB'!C:C)="F","Female","Male")</f>
        <v>Female</v>
      </c>
      <c r="D283" s="7">
        <f>_xlfn.XLOOKUP($A283,'RAWDATA Cars Buyers DB'!$A:$A,'RAWDATA Cars Buyers DB'!D:D)</f>
        <v>94965</v>
      </c>
      <c r="E283" s="8">
        <f>_xlfn.XLOOKUP($A283,'RAWDATA Cars Buyers DB'!$A:$A,'RAWDATA Cars Buyers DB'!E:E)</f>
        <v>1</v>
      </c>
      <c r="F283" s="8" t="str">
        <f>_xlfn.XLOOKUP($A283,'RAWDATA Cars Buyers DB'!$A:$A,'RAWDATA Cars Buyers DB'!F:F)</f>
        <v>Graduate Degree</v>
      </c>
      <c r="G283" s="8" t="str">
        <f>_xlfn.XLOOKUP($A283,'RAWDATA Cars Buyers DB'!$A:$A,'RAWDATA Cars Buyers DB'!G:G)</f>
        <v>Management</v>
      </c>
      <c r="H283" s="8" t="str">
        <f>_xlfn.XLOOKUP($A283,'RAWDATA Cars Buyers DB'!$A:$A,'RAWDATA Cars Buyers DB'!H:H)</f>
        <v>Yes</v>
      </c>
      <c r="I283" s="8" t="str">
        <f>_xlfn.XLOOKUP($A283,'RAWDATA Cars Buyers DB'!$A:$A,'RAWDATA Cars Buyers DB'!I:I)</f>
        <v>1–2 Kilometre</v>
      </c>
      <c r="J283" s="8" t="str">
        <f>_xlfn.XLOOKUP($A283,'RAWDATA Cars Buyers DB'!$A:$A,'RAWDATA Cars Buyers DB'!J:J)</f>
        <v>Bavaria</v>
      </c>
      <c r="K283" s="8">
        <f>_xlfn.XLOOKUP($A283,'RAWDATA Cars Buyers DB'!$A:$A,'RAWDATA Cars Buyers DB'!K:K)</f>
        <v>63</v>
      </c>
      <c r="L283" s="10" t="str">
        <f>IF(_xlfn.XLOOKUP($A283,'RAWDATA Cars Buyers DB'!$A:$A,'RAWDATA Cars Buyers DB'!K:K)&gt;54,"Old ",IF(_xlfn.XLOOKUP($A283,'RAWDATA Cars Buyers DB'!$A:$A,'RAWDATA Cars Buyers DB'!K:K)&gt;=31,"Middle Age ",IF(_xlfn.XLOOKUP($A283,'RAWDATA Cars Buyers DB'!$A:$A,'RAWDATA Cars Buyers DB'!K:K)&lt;31,"Adolescent","Invalid")))</f>
        <v xml:space="preserve">Old </v>
      </c>
      <c r="M283" s="8" t="str">
        <f>_xlfn.XLOOKUP($A283,'RAWDATA Cars Buyers DB'!$A:$A,'RAWDATA Cars Buyers DB'!L:L)</f>
        <v>Yes</v>
      </c>
    </row>
    <row r="284" spans="1:13">
      <c r="A284" s="6">
        <v>60108</v>
      </c>
      <c r="B284" s="10" t="str">
        <f>IF(_xlfn.XLOOKUP($A284,'RAWDATA Cars Buyers DB'!$A:$A,'RAWDATA Cars Buyers DB'!B:B)="S","Single","Married")</f>
        <v>Single</v>
      </c>
      <c r="C284" s="10" t="str">
        <f>IF(_xlfn.XLOOKUP($A284,'RAWDATA Cars Buyers DB'!$A:$A,'RAWDATA Cars Buyers DB'!C:C)="F","Female","Male")</f>
        <v>Male</v>
      </c>
      <c r="D284" s="7">
        <f>_xlfn.XLOOKUP($A284,'RAWDATA Cars Buyers DB'!$A:$A,'RAWDATA Cars Buyers DB'!D:D)</f>
        <v>66840</v>
      </c>
      <c r="E284" s="8">
        <f>_xlfn.XLOOKUP($A284,'RAWDATA Cars Buyers DB'!$A:$A,'RAWDATA Cars Buyers DB'!E:E)</f>
        <v>5</v>
      </c>
      <c r="F284" s="8" t="str">
        <f>_xlfn.XLOOKUP($A284,'RAWDATA Cars Buyers DB'!$A:$A,'RAWDATA Cars Buyers DB'!F:F)</f>
        <v>High School</v>
      </c>
      <c r="G284" s="8" t="str">
        <f>_xlfn.XLOOKUP($A284,'RAWDATA Cars Buyers DB'!$A:$A,'RAWDATA Cars Buyers DB'!G:G)</f>
        <v>Management</v>
      </c>
      <c r="H284" s="8" t="str">
        <f>_xlfn.XLOOKUP($A284,'RAWDATA Cars Buyers DB'!$A:$A,'RAWDATA Cars Buyers DB'!H:H)</f>
        <v>Yes</v>
      </c>
      <c r="I284" s="8" t="str">
        <f>_xlfn.XLOOKUP($A284,'RAWDATA Cars Buyers DB'!$A:$A,'RAWDATA Cars Buyers DB'!I:I)</f>
        <v>0–1 Kilometre</v>
      </c>
      <c r="J284" s="8" t="str">
        <f>_xlfn.XLOOKUP($A284,'RAWDATA Cars Buyers DB'!$A:$A,'RAWDATA Cars Buyers DB'!J:J)</f>
        <v>Saxony-Anhalt</v>
      </c>
      <c r="K284" s="8">
        <f>_xlfn.XLOOKUP($A284,'RAWDATA Cars Buyers DB'!$A:$A,'RAWDATA Cars Buyers DB'!K:K)</f>
        <v>55</v>
      </c>
      <c r="L284" s="10" t="str">
        <f>IF(_xlfn.XLOOKUP($A284,'RAWDATA Cars Buyers DB'!$A:$A,'RAWDATA Cars Buyers DB'!K:K)&gt;54,"Old ",IF(_xlfn.XLOOKUP($A284,'RAWDATA Cars Buyers DB'!$A:$A,'RAWDATA Cars Buyers DB'!K:K)&gt;=31,"Middle Age ",IF(_xlfn.XLOOKUP($A284,'RAWDATA Cars Buyers DB'!$A:$A,'RAWDATA Cars Buyers DB'!K:K)&lt;31,"Adolescent","Invalid")))</f>
        <v xml:space="preserve">Old </v>
      </c>
      <c r="M284" s="8" t="str">
        <f>_xlfn.XLOOKUP($A284,'RAWDATA Cars Buyers DB'!$A:$A,'RAWDATA Cars Buyers DB'!L:L)</f>
        <v>No</v>
      </c>
    </row>
    <row r="285" spans="1:13">
      <c r="A285" s="6">
        <v>48467</v>
      </c>
      <c r="B285" s="10" t="str">
        <f>IF(_xlfn.XLOOKUP($A285,'RAWDATA Cars Buyers DB'!$A:$A,'RAWDATA Cars Buyers DB'!B:B)="S","Single","Married")</f>
        <v>Single</v>
      </c>
      <c r="C285" s="10" t="str">
        <f>IF(_xlfn.XLOOKUP($A285,'RAWDATA Cars Buyers DB'!$A:$A,'RAWDATA Cars Buyers DB'!C:C)="F","Female","Male")</f>
        <v>Male</v>
      </c>
      <c r="D285" s="7">
        <f>_xlfn.XLOOKUP($A285,'RAWDATA Cars Buyers DB'!$A:$A,'RAWDATA Cars Buyers DB'!D:D)</f>
        <v>64695</v>
      </c>
      <c r="E285" s="8">
        <f>_xlfn.XLOOKUP($A285,'RAWDATA Cars Buyers DB'!$A:$A,'RAWDATA Cars Buyers DB'!E:E)</f>
        <v>1</v>
      </c>
      <c r="F285" s="8" t="str">
        <f>_xlfn.XLOOKUP($A285,'RAWDATA Cars Buyers DB'!$A:$A,'RAWDATA Cars Buyers DB'!F:F)</f>
        <v>Graduate Degree</v>
      </c>
      <c r="G285" s="8" t="str">
        <f>_xlfn.XLOOKUP($A285,'RAWDATA Cars Buyers DB'!$A:$A,'RAWDATA Cars Buyers DB'!G:G)</f>
        <v>Clerical</v>
      </c>
      <c r="H285" s="8" t="str">
        <f>_xlfn.XLOOKUP($A285,'RAWDATA Cars Buyers DB'!$A:$A,'RAWDATA Cars Buyers DB'!H:H)</f>
        <v>Yes</v>
      </c>
      <c r="I285" s="8" t="str">
        <f>_xlfn.XLOOKUP($A285,'RAWDATA Cars Buyers DB'!$A:$A,'RAWDATA Cars Buyers DB'!I:I)</f>
        <v>6+ Kilometre</v>
      </c>
      <c r="J285" s="8" t="str">
        <f>_xlfn.XLOOKUP($A285,'RAWDATA Cars Buyers DB'!$A:$A,'RAWDATA Cars Buyers DB'!J:J)</f>
        <v>Baden-Württemberg</v>
      </c>
      <c r="K285" s="8">
        <f>_xlfn.XLOOKUP($A285,'RAWDATA Cars Buyers DB'!$A:$A,'RAWDATA Cars Buyers DB'!K:K)</f>
        <v>62</v>
      </c>
      <c r="L285" s="10" t="str">
        <f>IF(_xlfn.XLOOKUP($A285,'RAWDATA Cars Buyers DB'!$A:$A,'RAWDATA Cars Buyers DB'!K:K)&gt;54,"Old ",IF(_xlfn.XLOOKUP($A285,'RAWDATA Cars Buyers DB'!$A:$A,'RAWDATA Cars Buyers DB'!K:K)&gt;=31,"Middle Age ",IF(_xlfn.XLOOKUP($A285,'RAWDATA Cars Buyers DB'!$A:$A,'RAWDATA Cars Buyers DB'!K:K)&lt;31,"Adolescent","Invalid")))</f>
        <v xml:space="preserve">Old </v>
      </c>
      <c r="M285" s="8" t="str">
        <f>_xlfn.XLOOKUP($A285,'RAWDATA Cars Buyers DB'!$A:$A,'RAWDATA Cars Buyers DB'!L:L)</f>
        <v>No</v>
      </c>
    </row>
    <row r="286" spans="1:13">
      <c r="A286" s="6">
        <v>33328</v>
      </c>
      <c r="B286" s="10" t="str">
        <f>IF(_xlfn.XLOOKUP($A286,'RAWDATA Cars Buyers DB'!$A:$A,'RAWDATA Cars Buyers DB'!B:B)="S","Single","Married")</f>
        <v>Married</v>
      </c>
      <c r="C286" s="10" t="str">
        <f>IF(_xlfn.XLOOKUP($A286,'RAWDATA Cars Buyers DB'!$A:$A,'RAWDATA Cars Buyers DB'!C:C)="F","Female","Male")</f>
        <v>Female</v>
      </c>
      <c r="D286" s="7">
        <f>_xlfn.XLOOKUP($A286,'RAWDATA Cars Buyers DB'!$A:$A,'RAWDATA Cars Buyers DB'!D:D)</f>
        <v>104754</v>
      </c>
      <c r="E286" s="8">
        <f>_xlfn.XLOOKUP($A286,'RAWDATA Cars Buyers DB'!$A:$A,'RAWDATA Cars Buyers DB'!E:E)</f>
        <v>1</v>
      </c>
      <c r="F286" s="8" t="str">
        <f>_xlfn.XLOOKUP($A286,'RAWDATA Cars Buyers DB'!$A:$A,'RAWDATA Cars Buyers DB'!F:F)</f>
        <v>Bachelors</v>
      </c>
      <c r="G286" s="8" t="str">
        <f>_xlfn.XLOOKUP($A286,'RAWDATA Cars Buyers DB'!$A:$A,'RAWDATA Cars Buyers DB'!G:G)</f>
        <v>Management</v>
      </c>
      <c r="H286" s="8" t="str">
        <f>_xlfn.XLOOKUP($A286,'RAWDATA Cars Buyers DB'!$A:$A,'RAWDATA Cars Buyers DB'!H:H)</f>
        <v>Yes</v>
      </c>
      <c r="I286" s="8" t="str">
        <f>_xlfn.XLOOKUP($A286,'RAWDATA Cars Buyers DB'!$A:$A,'RAWDATA Cars Buyers DB'!I:I)</f>
        <v>6+ Kilometre</v>
      </c>
      <c r="J286" s="8" t="str">
        <f>_xlfn.XLOOKUP($A286,'RAWDATA Cars Buyers DB'!$A:$A,'RAWDATA Cars Buyers DB'!J:J)</f>
        <v>Brandenburg</v>
      </c>
      <c r="K286" s="8">
        <f>_xlfn.XLOOKUP($A286,'RAWDATA Cars Buyers DB'!$A:$A,'RAWDATA Cars Buyers DB'!K:K)</f>
        <v>56</v>
      </c>
      <c r="L286" s="10" t="str">
        <f>IF(_xlfn.XLOOKUP($A286,'RAWDATA Cars Buyers DB'!$A:$A,'RAWDATA Cars Buyers DB'!K:K)&gt;54,"Old ",IF(_xlfn.XLOOKUP($A286,'RAWDATA Cars Buyers DB'!$A:$A,'RAWDATA Cars Buyers DB'!K:K)&gt;=31,"Middle Age ",IF(_xlfn.XLOOKUP($A286,'RAWDATA Cars Buyers DB'!$A:$A,'RAWDATA Cars Buyers DB'!K:K)&lt;31,"Adolescent","Invalid")))</f>
        <v xml:space="preserve">Old </v>
      </c>
      <c r="M286" s="8" t="str">
        <f>_xlfn.XLOOKUP($A286,'RAWDATA Cars Buyers DB'!$A:$A,'RAWDATA Cars Buyers DB'!L:L)</f>
        <v>No</v>
      </c>
    </row>
    <row r="287" spans="1:13">
      <c r="A287" s="6">
        <v>96831</v>
      </c>
      <c r="B287" s="10" t="str">
        <f>IF(_xlfn.XLOOKUP($A287,'RAWDATA Cars Buyers DB'!$A:$A,'RAWDATA Cars Buyers DB'!B:B)="S","Single","Married")</f>
        <v>Single</v>
      </c>
      <c r="C287" s="10" t="str">
        <f>IF(_xlfn.XLOOKUP($A287,'RAWDATA Cars Buyers DB'!$A:$A,'RAWDATA Cars Buyers DB'!C:C)="F","Female","Male")</f>
        <v>Female</v>
      </c>
      <c r="D287" s="7">
        <f>_xlfn.XLOOKUP($A287,'RAWDATA Cars Buyers DB'!$A:$A,'RAWDATA Cars Buyers DB'!D:D)</f>
        <v>97988</v>
      </c>
      <c r="E287" s="8">
        <f>_xlfn.XLOOKUP($A287,'RAWDATA Cars Buyers DB'!$A:$A,'RAWDATA Cars Buyers DB'!E:E)</f>
        <v>5</v>
      </c>
      <c r="F287" s="8" t="str">
        <f>_xlfn.XLOOKUP($A287,'RAWDATA Cars Buyers DB'!$A:$A,'RAWDATA Cars Buyers DB'!F:F)</f>
        <v>Bachelors</v>
      </c>
      <c r="G287" s="8" t="str">
        <f>_xlfn.XLOOKUP($A287,'RAWDATA Cars Buyers DB'!$A:$A,'RAWDATA Cars Buyers DB'!G:G)</f>
        <v>Professional</v>
      </c>
      <c r="H287" s="8" t="str">
        <f>_xlfn.XLOOKUP($A287,'RAWDATA Cars Buyers DB'!$A:$A,'RAWDATA Cars Buyers DB'!H:H)</f>
        <v>No</v>
      </c>
      <c r="I287" s="8" t="str">
        <f>_xlfn.XLOOKUP($A287,'RAWDATA Cars Buyers DB'!$A:$A,'RAWDATA Cars Buyers DB'!I:I)</f>
        <v>0–1 Kilometre</v>
      </c>
      <c r="J287" s="8" t="str">
        <f>_xlfn.XLOOKUP($A287,'RAWDATA Cars Buyers DB'!$A:$A,'RAWDATA Cars Buyers DB'!J:J)</f>
        <v>Schleswig-Holstein</v>
      </c>
      <c r="K287" s="8">
        <f>_xlfn.XLOOKUP($A287,'RAWDATA Cars Buyers DB'!$A:$A,'RAWDATA Cars Buyers DB'!K:K)</f>
        <v>21</v>
      </c>
      <c r="L287" s="10" t="str">
        <f>IF(_xlfn.XLOOKUP($A287,'RAWDATA Cars Buyers DB'!$A:$A,'RAWDATA Cars Buyers DB'!K:K)&gt;54,"Old ",IF(_xlfn.XLOOKUP($A287,'RAWDATA Cars Buyers DB'!$A:$A,'RAWDATA Cars Buyers DB'!K:K)&gt;=31,"Middle Age ",IF(_xlfn.XLOOKUP($A287,'RAWDATA Cars Buyers DB'!$A:$A,'RAWDATA Cars Buyers DB'!K:K)&lt;31,"Adolescent","Invalid")))</f>
        <v>Adolescent</v>
      </c>
      <c r="M287" s="8" t="str">
        <f>_xlfn.XLOOKUP($A287,'RAWDATA Cars Buyers DB'!$A:$A,'RAWDATA Cars Buyers DB'!L:L)</f>
        <v>No</v>
      </c>
    </row>
    <row r="288" spans="1:13">
      <c r="A288" s="6">
        <v>13987</v>
      </c>
      <c r="B288" s="10" t="str">
        <f>IF(_xlfn.XLOOKUP($A288,'RAWDATA Cars Buyers DB'!$A:$A,'RAWDATA Cars Buyers DB'!B:B)="S","Single","Married")</f>
        <v>Married</v>
      </c>
      <c r="C288" s="10" t="str">
        <f>IF(_xlfn.XLOOKUP($A288,'RAWDATA Cars Buyers DB'!$A:$A,'RAWDATA Cars Buyers DB'!C:C)="F","Female","Male")</f>
        <v>Female</v>
      </c>
      <c r="D288" s="7">
        <f>_xlfn.XLOOKUP($A288,'RAWDATA Cars Buyers DB'!$A:$A,'RAWDATA Cars Buyers DB'!D:D)</f>
        <v>78342</v>
      </c>
      <c r="E288" s="8">
        <f>_xlfn.XLOOKUP($A288,'RAWDATA Cars Buyers DB'!$A:$A,'RAWDATA Cars Buyers DB'!E:E)</f>
        <v>2</v>
      </c>
      <c r="F288" s="8" t="str">
        <f>_xlfn.XLOOKUP($A288,'RAWDATA Cars Buyers DB'!$A:$A,'RAWDATA Cars Buyers DB'!F:F)</f>
        <v>High School</v>
      </c>
      <c r="G288" s="8" t="str">
        <f>_xlfn.XLOOKUP($A288,'RAWDATA Cars Buyers DB'!$A:$A,'RAWDATA Cars Buyers DB'!G:G)</f>
        <v>Professional</v>
      </c>
      <c r="H288" s="8" t="str">
        <f>_xlfn.XLOOKUP($A288,'RAWDATA Cars Buyers DB'!$A:$A,'RAWDATA Cars Buyers DB'!H:H)</f>
        <v>No</v>
      </c>
      <c r="I288" s="8" t="str">
        <f>_xlfn.XLOOKUP($A288,'RAWDATA Cars Buyers DB'!$A:$A,'RAWDATA Cars Buyers DB'!I:I)</f>
        <v>1–2 Kilometre</v>
      </c>
      <c r="J288" s="8" t="str">
        <f>_xlfn.XLOOKUP($A288,'RAWDATA Cars Buyers DB'!$A:$A,'RAWDATA Cars Buyers DB'!J:J)</f>
        <v>Lower Saxony</v>
      </c>
      <c r="K288" s="8">
        <f>_xlfn.XLOOKUP($A288,'RAWDATA Cars Buyers DB'!$A:$A,'RAWDATA Cars Buyers DB'!K:K)</f>
        <v>36</v>
      </c>
      <c r="L288" s="10" t="str">
        <f>IF(_xlfn.XLOOKUP($A288,'RAWDATA Cars Buyers DB'!$A:$A,'RAWDATA Cars Buyers DB'!K:K)&gt;54,"Old ",IF(_xlfn.XLOOKUP($A288,'RAWDATA Cars Buyers DB'!$A:$A,'RAWDATA Cars Buyers DB'!K:K)&gt;=31,"Middle Age ",IF(_xlfn.XLOOKUP($A288,'RAWDATA Cars Buyers DB'!$A:$A,'RAWDATA Cars Buyers DB'!K:K)&lt;31,"Adolescent","Invalid")))</f>
        <v xml:space="preserve">Middle Age </v>
      </c>
      <c r="M288" s="8" t="str">
        <f>_xlfn.XLOOKUP($A288,'RAWDATA Cars Buyers DB'!$A:$A,'RAWDATA Cars Buyers DB'!L:L)</f>
        <v>No</v>
      </c>
    </row>
    <row r="289" spans="1:13">
      <c r="A289" s="6">
        <v>68871</v>
      </c>
      <c r="B289" s="10" t="str">
        <f>IF(_xlfn.XLOOKUP($A289,'RAWDATA Cars Buyers DB'!$A:$A,'RAWDATA Cars Buyers DB'!B:B)="S","Single","Married")</f>
        <v>Single</v>
      </c>
      <c r="C289" s="10" t="str">
        <f>IF(_xlfn.XLOOKUP($A289,'RAWDATA Cars Buyers DB'!$A:$A,'RAWDATA Cars Buyers DB'!C:C)="F","Female","Male")</f>
        <v>Female</v>
      </c>
      <c r="D289" s="7">
        <f>_xlfn.XLOOKUP($A289,'RAWDATA Cars Buyers DB'!$A:$A,'RAWDATA Cars Buyers DB'!D:D)</f>
        <v>38951</v>
      </c>
      <c r="E289" s="8">
        <f>_xlfn.XLOOKUP($A289,'RAWDATA Cars Buyers DB'!$A:$A,'RAWDATA Cars Buyers DB'!E:E)</f>
        <v>3</v>
      </c>
      <c r="F289" s="8" t="str">
        <f>_xlfn.XLOOKUP($A289,'RAWDATA Cars Buyers DB'!$A:$A,'RAWDATA Cars Buyers DB'!F:F)</f>
        <v>Graduate Degree</v>
      </c>
      <c r="G289" s="8" t="str">
        <f>_xlfn.XLOOKUP($A289,'RAWDATA Cars Buyers DB'!$A:$A,'RAWDATA Cars Buyers DB'!G:G)</f>
        <v>Professional</v>
      </c>
      <c r="H289" s="8" t="str">
        <f>_xlfn.XLOOKUP($A289,'RAWDATA Cars Buyers DB'!$A:$A,'RAWDATA Cars Buyers DB'!H:H)</f>
        <v>Yes</v>
      </c>
      <c r="I289" s="8" t="str">
        <f>_xlfn.XLOOKUP($A289,'RAWDATA Cars Buyers DB'!$A:$A,'RAWDATA Cars Buyers DB'!I:I)</f>
        <v>6+ Kilometre</v>
      </c>
      <c r="J289" s="8" t="str">
        <f>_xlfn.XLOOKUP($A289,'RAWDATA Cars Buyers DB'!$A:$A,'RAWDATA Cars Buyers DB'!J:J)</f>
        <v>Schleswig-Holstein</v>
      </c>
      <c r="K289" s="8">
        <f>_xlfn.XLOOKUP($A289,'RAWDATA Cars Buyers DB'!$A:$A,'RAWDATA Cars Buyers DB'!K:K)</f>
        <v>59</v>
      </c>
      <c r="L289" s="10" t="str">
        <f>IF(_xlfn.XLOOKUP($A289,'RAWDATA Cars Buyers DB'!$A:$A,'RAWDATA Cars Buyers DB'!K:K)&gt;54,"Old ",IF(_xlfn.XLOOKUP($A289,'RAWDATA Cars Buyers DB'!$A:$A,'RAWDATA Cars Buyers DB'!K:K)&gt;=31,"Middle Age ",IF(_xlfn.XLOOKUP($A289,'RAWDATA Cars Buyers DB'!$A:$A,'RAWDATA Cars Buyers DB'!K:K)&lt;31,"Adolescent","Invalid")))</f>
        <v xml:space="preserve">Old </v>
      </c>
      <c r="M289" s="8" t="str">
        <f>_xlfn.XLOOKUP($A289,'RAWDATA Cars Buyers DB'!$A:$A,'RAWDATA Cars Buyers DB'!L:L)</f>
        <v>No</v>
      </c>
    </row>
    <row r="290" spans="1:13">
      <c r="A290" s="6">
        <v>32399</v>
      </c>
      <c r="B290" s="10" t="str">
        <f>IF(_xlfn.XLOOKUP($A290,'RAWDATA Cars Buyers DB'!$A:$A,'RAWDATA Cars Buyers DB'!B:B)="S","Single","Married")</f>
        <v>Married</v>
      </c>
      <c r="C290" s="10" t="str">
        <f>IF(_xlfn.XLOOKUP($A290,'RAWDATA Cars Buyers DB'!$A:$A,'RAWDATA Cars Buyers DB'!C:C)="F","Female","Male")</f>
        <v>Female</v>
      </c>
      <c r="D290" s="7">
        <f>_xlfn.XLOOKUP($A290,'RAWDATA Cars Buyers DB'!$A:$A,'RAWDATA Cars Buyers DB'!D:D)</f>
        <v>21307</v>
      </c>
      <c r="E290" s="8">
        <f>_xlfn.XLOOKUP($A290,'RAWDATA Cars Buyers DB'!$A:$A,'RAWDATA Cars Buyers DB'!E:E)</f>
        <v>2</v>
      </c>
      <c r="F290" s="8" t="str">
        <f>_xlfn.XLOOKUP($A290,'RAWDATA Cars Buyers DB'!$A:$A,'RAWDATA Cars Buyers DB'!F:F)</f>
        <v>High School</v>
      </c>
      <c r="G290" s="8" t="str">
        <f>_xlfn.XLOOKUP($A290,'RAWDATA Cars Buyers DB'!$A:$A,'RAWDATA Cars Buyers DB'!G:G)</f>
        <v>Professional</v>
      </c>
      <c r="H290" s="8" t="str">
        <f>_xlfn.XLOOKUP($A290,'RAWDATA Cars Buyers DB'!$A:$A,'RAWDATA Cars Buyers DB'!H:H)</f>
        <v>Yes</v>
      </c>
      <c r="I290" s="8" t="str">
        <f>_xlfn.XLOOKUP($A290,'RAWDATA Cars Buyers DB'!$A:$A,'RAWDATA Cars Buyers DB'!I:I)</f>
        <v>2–4 Kilometre</v>
      </c>
      <c r="J290" s="8" t="str">
        <f>_xlfn.XLOOKUP($A290,'RAWDATA Cars Buyers DB'!$A:$A,'RAWDATA Cars Buyers DB'!J:J)</f>
        <v>Mecklenburg-Vorpommern</v>
      </c>
      <c r="K290" s="8">
        <f>_xlfn.XLOOKUP($A290,'RAWDATA Cars Buyers DB'!$A:$A,'RAWDATA Cars Buyers DB'!K:K)</f>
        <v>57</v>
      </c>
      <c r="L290" s="10" t="str">
        <f>IF(_xlfn.XLOOKUP($A290,'RAWDATA Cars Buyers DB'!$A:$A,'RAWDATA Cars Buyers DB'!K:K)&gt;54,"Old ",IF(_xlfn.XLOOKUP($A290,'RAWDATA Cars Buyers DB'!$A:$A,'RAWDATA Cars Buyers DB'!K:K)&gt;=31,"Middle Age ",IF(_xlfn.XLOOKUP($A290,'RAWDATA Cars Buyers DB'!$A:$A,'RAWDATA Cars Buyers DB'!K:K)&lt;31,"Adolescent","Invalid")))</f>
        <v xml:space="preserve">Old </v>
      </c>
      <c r="M290" s="8" t="str">
        <f>_xlfn.XLOOKUP($A290,'RAWDATA Cars Buyers DB'!$A:$A,'RAWDATA Cars Buyers DB'!L:L)</f>
        <v>Yes</v>
      </c>
    </row>
    <row r="291" spans="1:13">
      <c r="A291" s="6">
        <v>56214</v>
      </c>
      <c r="B291" s="10" t="str">
        <f>IF(_xlfn.XLOOKUP($A291,'RAWDATA Cars Buyers DB'!$A:$A,'RAWDATA Cars Buyers DB'!B:B)="S","Single","Married")</f>
        <v>Married</v>
      </c>
      <c r="C291" s="10" t="str">
        <f>IF(_xlfn.XLOOKUP($A291,'RAWDATA Cars Buyers DB'!$A:$A,'RAWDATA Cars Buyers DB'!C:C)="F","Female","Male")</f>
        <v>Male</v>
      </c>
      <c r="D291" s="7">
        <f>_xlfn.XLOOKUP($A291,'RAWDATA Cars Buyers DB'!$A:$A,'RAWDATA Cars Buyers DB'!D:D)</f>
        <v>100388</v>
      </c>
      <c r="E291" s="8">
        <f>_xlfn.XLOOKUP($A291,'RAWDATA Cars Buyers DB'!$A:$A,'RAWDATA Cars Buyers DB'!E:E)</f>
        <v>4</v>
      </c>
      <c r="F291" s="8" t="str">
        <f>_xlfn.XLOOKUP($A291,'RAWDATA Cars Buyers DB'!$A:$A,'RAWDATA Cars Buyers DB'!F:F)</f>
        <v>Partial College</v>
      </c>
      <c r="G291" s="8" t="str">
        <f>_xlfn.XLOOKUP($A291,'RAWDATA Cars Buyers DB'!$A:$A,'RAWDATA Cars Buyers DB'!G:G)</f>
        <v>Professional</v>
      </c>
      <c r="H291" s="8" t="str">
        <f>_xlfn.XLOOKUP($A291,'RAWDATA Cars Buyers DB'!$A:$A,'RAWDATA Cars Buyers DB'!H:H)</f>
        <v>No</v>
      </c>
      <c r="I291" s="8" t="str">
        <f>_xlfn.XLOOKUP($A291,'RAWDATA Cars Buyers DB'!$A:$A,'RAWDATA Cars Buyers DB'!I:I)</f>
        <v>0–1 Kilometre</v>
      </c>
      <c r="J291" s="8" t="str">
        <f>_xlfn.XLOOKUP($A291,'RAWDATA Cars Buyers DB'!$A:$A,'RAWDATA Cars Buyers DB'!J:J)</f>
        <v>Berlin</v>
      </c>
      <c r="K291" s="8">
        <f>_xlfn.XLOOKUP($A291,'RAWDATA Cars Buyers DB'!$A:$A,'RAWDATA Cars Buyers DB'!K:K)</f>
        <v>40</v>
      </c>
      <c r="L291" s="10" t="str">
        <f>IF(_xlfn.XLOOKUP($A291,'RAWDATA Cars Buyers DB'!$A:$A,'RAWDATA Cars Buyers DB'!K:K)&gt;54,"Old ",IF(_xlfn.XLOOKUP($A291,'RAWDATA Cars Buyers DB'!$A:$A,'RAWDATA Cars Buyers DB'!K:K)&gt;=31,"Middle Age ",IF(_xlfn.XLOOKUP($A291,'RAWDATA Cars Buyers DB'!$A:$A,'RAWDATA Cars Buyers DB'!K:K)&lt;31,"Adolescent","Invalid")))</f>
        <v xml:space="preserve">Middle Age </v>
      </c>
      <c r="M291" s="8" t="str">
        <f>_xlfn.XLOOKUP($A291,'RAWDATA Cars Buyers DB'!$A:$A,'RAWDATA Cars Buyers DB'!L:L)</f>
        <v>Yes</v>
      </c>
    </row>
    <row r="292" spans="1:13">
      <c r="A292" s="6">
        <v>96416</v>
      </c>
      <c r="B292" s="10" t="str">
        <f>IF(_xlfn.XLOOKUP($A292,'RAWDATA Cars Buyers DB'!$A:$A,'RAWDATA Cars Buyers DB'!B:B)="S","Single","Married")</f>
        <v>Married</v>
      </c>
      <c r="C292" s="10" t="str">
        <f>IF(_xlfn.XLOOKUP($A292,'RAWDATA Cars Buyers DB'!$A:$A,'RAWDATA Cars Buyers DB'!C:C)="F","Female","Male")</f>
        <v>Female</v>
      </c>
      <c r="D292" s="7">
        <f>_xlfn.XLOOKUP($A292,'RAWDATA Cars Buyers DB'!$A:$A,'RAWDATA Cars Buyers DB'!D:D)</f>
        <v>110768</v>
      </c>
      <c r="E292" s="8">
        <f>_xlfn.XLOOKUP($A292,'RAWDATA Cars Buyers DB'!$A:$A,'RAWDATA Cars Buyers DB'!E:E)</f>
        <v>5</v>
      </c>
      <c r="F292" s="8" t="str">
        <f>_xlfn.XLOOKUP($A292,'RAWDATA Cars Buyers DB'!$A:$A,'RAWDATA Cars Buyers DB'!F:F)</f>
        <v>High School</v>
      </c>
      <c r="G292" s="8" t="str">
        <f>_xlfn.XLOOKUP($A292,'RAWDATA Cars Buyers DB'!$A:$A,'RAWDATA Cars Buyers DB'!G:G)</f>
        <v>Management</v>
      </c>
      <c r="H292" s="8" t="str">
        <f>_xlfn.XLOOKUP($A292,'RAWDATA Cars Buyers DB'!$A:$A,'RAWDATA Cars Buyers DB'!H:H)</f>
        <v>No</v>
      </c>
      <c r="I292" s="8" t="str">
        <f>_xlfn.XLOOKUP($A292,'RAWDATA Cars Buyers DB'!$A:$A,'RAWDATA Cars Buyers DB'!I:I)</f>
        <v>4–6 Kilometre</v>
      </c>
      <c r="J292" s="8" t="str">
        <f>_xlfn.XLOOKUP($A292,'RAWDATA Cars Buyers DB'!$A:$A,'RAWDATA Cars Buyers DB'!J:J)</f>
        <v>Hamburg</v>
      </c>
      <c r="K292" s="8">
        <f>_xlfn.XLOOKUP($A292,'RAWDATA Cars Buyers DB'!$A:$A,'RAWDATA Cars Buyers DB'!K:K)</f>
        <v>28</v>
      </c>
      <c r="L292" s="10" t="str">
        <f>IF(_xlfn.XLOOKUP($A292,'RAWDATA Cars Buyers DB'!$A:$A,'RAWDATA Cars Buyers DB'!K:K)&gt;54,"Old ",IF(_xlfn.XLOOKUP($A292,'RAWDATA Cars Buyers DB'!$A:$A,'RAWDATA Cars Buyers DB'!K:K)&gt;=31,"Middle Age ",IF(_xlfn.XLOOKUP($A292,'RAWDATA Cars Buyers DB'!$A:$A,'RAWDATA Cars Buyers DB'!K:K)&lt;31,"Adolescent","Invalid")))</f>
        <v>Adolescent</v>
      </c>
      <c r="M292" s="8" t="str">
        <f>_xlfn.XLOOKUP($A292,'RAWDATA Cars Buyers DB'!$A:$A,'RAWDATA Cars Buyers DB'!L:L)</f>
        <v>Yes</v>
      </c>
    </row>
    <row r="293" spans="1:13">
      <c r="A293" s="6">
        <v>80271</v>
      </c>
      <c r="B293" s="10" t="str">
        <f>IF(_xlfn.XLOOKUP($A293,'RAWDATA Cars Buyers DB'!$A:$A,'RAWDATA Cars Buyers DB'!B:B)="S","Single","Married")</f>
        <v>Single</v>
      </c>
      <c r="C293" s="10" t="str">
        <f>IF(_xlfn.XLOOKUP($A293,'RAWDATA Cars Buyers DB'!$A:$A,'RAWDATA Cars Buyers DB'!C:C)="F","Female","Male")</f>
        <v>Male</v>
      </c>
      <c r="D293" s="7">
        <f>_xlfn.XLOOKUP($A293,'RAWDATA Cars Buyers DB'!$A:$A,'RAWDATA Cars Buyers DB'!D:D)</f>
        <v>55428</v>
      </c>
      <c r="E293" s="8">
        <f>_xlfn.XLOOKUP($A293,'RAWDATA Cars Buyers DB'!$A:$A,'RAWDATA Cars Buyers DB'!E:E)</f>
        <v>2</v>
      </c>
      <c r="F293" s="8" t="str">
        <f>_xlfn.XLOOKUP($A293,'RAWDATA Cars Buyers DB'!$A:$A,'RAWDATA Cars Buyers DB'!F:F)</f>
        <v>High School</v>
      </c>
      <c r="G293" s="8" t="str">
        <f>_xlfn.XLOOKUP($A293,'RAWDATA Cars Buyers DB'!$A:$A,'RAWDATA Cars Buyers DB'!G:G)</f>
        <v>Clerical</v>
      </c>
      <c r="H293" s="8" t="str">
        <f>_xlfn.XLOOKUP($A293,'RAWDATA Cars Buyers DB'!$A:$A,'RAWDATA Cars Buyers DB'!H:H)</f>
        <v>No</v>
      </c>
      <c r="I293" s="8" t="str">
        <f>_xlfn.XLOOKUP($A293,'RAWDATA Cars Buyers DB'!$A:$A,'RAWDATA Cars Buyers DB'!I:I)</f>
        <v>1–2 Kilometre</v>
      </c>
      <c r="J293" s="8" t="str">
        <f>_xlfn.XLOOKUP($A293,'RAWDATA Cars Buyers DB'!$A:$A,'RAWDATA Cars Buyers DB'!J:J)</f>
        <v>Saarland</v>
      </c>
      <c r="K293" s="8">
        <f>_xlfn.XLOOKUP($A293,'RAWDATA Cars Buyers DB'!$A:$A,'RAWDATA Cars Buyers DB'!K:K)</f>
        <v>32</v>
      </c>
      <c r="L293" s="10" t="str">
        <f>IF(_xlfn.XLOOKUP($A293,'RAWDATA Cars Buyers DB'!$A:$A,'RAWDATA Cars Buyers DB'!K:K)&gt;54,"Old ",IF(_xlfn.XLOOKUP($A293,'RAWDATA Cars Buyers DB'!$A:$A,'RAWDATA Cars Buyers DB'!K:K)&gt;=31,"Middle Age ",IF(_xlfn.XLOOKUP($A293,'RAWDATA Cars Buyers DB'!$A:$A,'RAWDATA Cars Buyers DB'!K:K)&lt;31,"Adolescent","Invalid")))</f>
        <v xml:space="preserve">Middle Age </v>
      </c>
      <c r="M293" s="8" t="str">
        <f>_xlfn.XLOOKUP($A293,'RAWDATA Cars Buyers DB'!$A:$A,'RAWDATA Cars Buyers DB'!L:L)</f>
        <v>Yes</v>
      </c>
    </row>
    <row r="294" spans="1:13">
      <c r="A294" s="6">
        <v>54064</v>
      </c>
      <c r="B294" s="10" t="str">
        <f>IF(_xlfn.XLOOKUP($A294,'RAWDATA Cars Buyers DB'!$A:$A,'RAWDATA Cars Buyers DB'!B:B)="S","Single","Married")</f>
        <v>Single</v>
      </c>
      <c r="C294" s="10" t="str">
        <f>IF(_xlfn.XLOOKUP($A294,'RAWDATA Cars Buyers DB'!$A:$A,'RAWDATA Cars Buyers DB'!C:C)="F","Female","Male")</f>
        <v>Female</v>
      </c>
      <c r="D294" s="7">
        <f>_xlfn.XLOOKUP($A294,'RAWDATA Cars Buyers DB'!$A:$A,'RAWDATA Cars Buyers DB'!D:D)</f>
        <v>112021</v>
      </c>
      <c r="E294" s="8">
        <f>_xlfn.XLOOKUP($A294,'RAWDATA Cars Buyers DB'!$A:$A,'RAWDATA Cars Buyers DB'!E:E)</f>
        <v>1</v>
      </c>
      <c r="F294" s="8" t="str">
        <f>_xlfn.XLOOKUP($A294,'RAWDATA Cars Buyers DB'!$A:$A,'RAWDATA Cars Buyers DB'!F:F)</f>
        <v>Bachelors</v>
      </c>
      <c r="G294" s="8" t="str">
        <f>_xlfn.XLOOKUP($A294,'RAWDATA Cars Buyers DB'!$A:$A,'RAWDATA Cars Buyers DB'!G:G)</f>
        <v>Clerical</v>
      </c>
      <c r="H294" s="8" t="str">
        <f>_xlfn.XLOOKUP($A294,'RAWDATA Cars Buyers DB'!$A:$A,'RAWDATA Cars Buyers DB'!H:H)</f>
        <v>No</v>
      </c>
      <c r="I294" s="8" t="str">
        <f>_xlfn.XLOOKUP($A294,'RAWDATA Cars Buyers DB'!$A:$A,'RAWDATA Cars Buyers DB'!I:I)</f>
        <v>0–1 Kilometre</v>
      </c>
      <c r="J294" s="8" t="str">
        <f>_xlfn.XLOOKUP($A294,'RAWDATA Cars Buyers DB'!$A:$A,'RAWDATA Cars Buyers DB'!J:J)</f>
        <v>Hesse</v>
      </c>
      <c r="K294" s="8">
        <f>_xlfn.XLOOKUP($A294,'RAWDATA Cars Buyers DB'!$A:$A,'RAWDATA Cars Buyers DB'!K:K)</f>
        <v>30</v>
      </c>
      <c r="L294" s="10" t="str">
        <f>IF(_xlfn.XLOOKUP($A294,'RAWDATA Cars Buyers DB'!$A:$A,'RAWDATA Cars Buyers DB'!K:K)&gt;54,"Old ",IF(_xlfn.XLOOKUP($A294,'RAWDATA Cars Buyers DB'!$A:$A,'RAWDATA Cars Buyers DB'!K:K)&gt;=31,"Middle Age ",IF(_xlfn.XLOOKUP($A294,'RAWDATA Cars Buyers DB'!$A:$A,'RAWDATA Cars Buyers DB'!K:K)&lt;31,"Adolescent","Invalid")))</f>
        <v>Adolescent</v>
      </c>
      <c r="M294" s="8" t="str">
        <f>_xlfn.XLOOKUP($A294,'RAWDATA Cars Buyers DB'!$A:$A,'RAWDATA Cars Buyers DB'!L:L)</f>
        <v>No</v>
      </c>
    </row>
    <row r="295" spans="1:13">
      <c r="A295" s="6">
        <v>80091</v>
      </c>
      <c r="B295" s="10" t="str">
        <f>IF(_xlfn.XLOOKUP($A295,'RAWDATA Cars Buyers DB'!$A:$A,'RAWDATA Cars Buyers DB'!B:B)="S","Single","Married")</f>
        <v>Married</v>
      </c>
      <c r="C295" s="10" t="str">
        <f>IF(_xlfn.XLOOKUP($A295,'RAWDATA Cars Buyers DB'!$A:$A,'RAWDATA Cars Buyers DB'!C:C)="F","Female","Male")</f>
        <v>Male</v>
      </c>
      <c r="D295" s="7">
        <f>_xlfn.XLOOKUP($A295,'RAWDATA Cars Buyers DB'!$A:$A,'RAWDATA Cars Buyers DB'!D:D)</f>
        <v>95774</v>
      </c>
      <c r="E295" s="8">
        <f>_xlfn.XLOOKUP($A295,'RAWDATA Cars Buyers DB'!$A:$A,'RAWDATA Cars Buyers DB'!E:E)</f>
        <v>5</v>
      </c>
      <c r="F295" s="8" t="str">
        <f>_xlfn.XLOOKUP($A295,'RAWDATA Cars Buyers DB'!$A:$A,'RAWDATA Cars Buyers DB'!F:F)</f>
        <v>High School</v>
      </c>
      <c r="G295" s="8" t="str">
        <f>_xlfn.XLOOKUP($A295,'RAWDATA Cars Buyers DB'!$A:$A,'RAWDATA Cars Buyers DB'!G:G)</f>
        <v>Professional</v>
      </c>
      <c r="H295" s="8" t="str">
        <f>_xlfn.XLOOKUP($A295,'RAWDATA Cars Buyers DB'!$A:$A,'RAWDATA Cars Buyers DB'!H:H)</f>
        <v>No</v>
      </c>
      <c r="I295" s="8" t="str">
        <f>_xlfn.XLOOKUP($A295,'RAWDATA Cars Buyers DB'!$A:$A,'RAWDATA Cars Buyers DB'!I:I)</f>
        <v>6+ Kilometre</v>
      </c>
      <c r="J295" s="8" t="str">
        <f>_xlfn.XLOOKUP($A295,'RAWDATA Cars Buyers DB'!$A:$A,'RAWDATA Cars Buyers DB'!J:J)</f>
        <v>Bavaria</v>
      </c>
      <c r="K295" s="8">
        <f>_xlfn.XLOOKUP($A295,'RAWDATA Cars Buyers DB'!$A:$A,'RAWDATA Cars Buyers DB'!K:K)</f>
        <v>35</v>
      </c>
      <c r="L295" s="10" t="str">
        <f>IF(_xlfn.XLOOKUP($A295,'RAWDATA Cars Buyers DB'!$A:$A,'RAWDATA Cars Buyers DB'!K:K)&gt;54,"Old ",IF(_xlfn.XLOOKUP($A295,'RAWDATA Cars Buyers DB'!$A:$A,'RAWDATA Cars Buyers DB'!K:K)&gt;=31,"Middle Age ",IF(_xlfn.XLOOKUP($A295,'RAWDATA Cars Buyers DB'!$A:$A,'RAWDATA Cars Buyers DB'!K:K)&lt;31,"Adolescent","Invalid")))</f>
        <v xml:space="preserve">Middle Age </v>
      </c>
      <c r="M295" s="8" t="str">
        <f>_xlfn.XLOOKUP($A295,'RAWDATA Cars Buyers DB'!$A:$A,'RAWDATA Cars Buyers DB'!L:L)</f>
        <v>Yes</v>
      </c>
    </row>
    <row r="296" spans="1:13">
      <c r="A296" s="6">
        <v>50818</v>
      </c>
      <c r="B296" s="10" t="str">
        <f>IF(_xlfn.XLOOKUP($A296,'RAWDATA Cars Buyers DB'!$A:$A,'RAWDATA Cars Buyers DB'!B:B)="S","Single","Married")</f>
        <v>Single</v>
      </c>
      <c r="C296" s="10" t="str">
        <f>IF(_xlfn.XLOOKUP($A296,'RAWDATA Cars Buyers DB'!$A:$A,'RAWDATA Cars Buyers DB'!C:C)="F","Female","Male")</f>
        <v>Female</v>
      </c>
      <c r="D296" s="7">
        <f>_xlfn.XLOOKUP($A296,'RAWDATA Cars Buyers DB'!$A:$A,'RAWDATA Cars Buyers DB'!D:D)</f>
        <v>58975</v>
      </c>
      <c r="E296" s="8">
        <f>_xlfn.XLOOKUP($A296,'RAWDATA Cars Buyers DB'!$A:$A,'RAWDATA Cars Buyers DB'!E:E)</f>
        <v>0</v>
      </c>
      <c r="F296" s="8" t="str">
        <f>_xlfn.XLOOKUP($A296,'RAWDATA Cars Buyers DB'!$A:$A,'RAWDATA Cars Buyers DB'!F:F)</f>
        <v>Graduate Degree</v>
      </c>
      <c r="G296" s="8" t="str">
        <f>_xlfn.XLOOKUP($A296,'RAWDATA Cars Buyers DB'!$A:$A,'RAWDATA Cars Buyers DB'!G:G)</f>
        <v>Management</v>
      </c>
      <c r="H296" s="8" t="str">
        <f>_xlfn.XLOOKUP($A296,'RAWDATA Cars Buyers DB'!$A:$A,'RAWDATA Cars Buyers DB'!H:H)</f>
        <v>Yes</v>
      </c>
      <c r="I296" s="8" t="str">
        <f>_xlfn.XLOOKUP($A296,'RAWDATA Cars Buyers DB'!$A:$A,'RAWDATA Cars Buyers DB'!I:I)</f>
        <v>1–2 Kilometre</v>
      </c>
      <c r="J296" s="8" t="str">
        <f>_xlfn.XLOOKUP($A296,'RAWDATA Cars Buyers DB'!$A:$A,'RAWDATA Cars Buyers DB'!J:J)</f>
        <v>Schleswig-Holstein</v>
      </c>
      <c r="K296" s="8">
        <f>_xlfn.XLOOKUP($A296,'RAWDATA Cars Buyers DB'!$A:$A,'RAWDATA Cars Buyers DB'!K:K)</f>
        <v>35</v>
      </c>
      <c r="L296" s="10" t="str">
        <f>IF(_xlfn.XLOOKUP($A296,'RAWDATA Cars Buyers DB'!$A:$A,'RAWDATA Cars Buyers DB'!K:K)&gt;54,"Old ",IF(_xlfn.XLOOKUP($A296,'RAWDATA Cars Buyers DB'!$A:$A,'RAWDATA Cars Buyers DB'!K:K)&gt;=31,"Middle Age ",IF(_xlfn.XLOOKUP($A296,'RAWDATA Cars Buyers DB'!$A:$A,'RAWDATA Cars Buyers DB'!K:K)&lt;31,"Adolescent","Invalid")))</f>
        <v xml:space="preserve">Middle Age </v>
      </c>
      <c r="M296" s="8" t="str">
        <f>_xlfn.XLOOKUP($A296,'RAWDATA Cars Buyers DB'!$A:$A,'RAWDATA Cars Buyers DB'!L:L)</f>
        <v>No</v>
      </c>
    </row>
    <row r="297" spans="1:13">
      <c r="A297" s="6">
        <v>55525</v>
      </c>
      <c r="B297" s="10" t="str">
        <f>IF(_xlfn.XLOOKUP($A297,'RAWDATA Cars Buyers DB'!$A:$A,'RAWDATA Cars Buyers DB'!B:B)="S","Single","Married")</f>
        <v>Single</v>
      </c>
      <c r="C297" s="10" t="str">
        <f>IF(_xlfn.XLOOKUP($A297,'RAWDATA Cars Buyers DB'!$A:$A,'RAWDATA Cars Buyers DB'!C:C)="F","Female","Male")</f>
        <v>Female</v>
      </c>
      <c r="D297" s="7">
        <f>_xlfn.XLOOKUP($A297,'RAWDATA Cars Buyers DB'!$A:$A,'RAWDATA Cars Buyers DB'!D:D)</f>
        <v>21140</v>
      </c>
      <c r="E297" s="8">
        <f>_xlfn.XLOOKUP($A297,'RAWDATA Cars Buyers DB'!$A:$A,'RAWDATA Cars Buyers DB'!E:E)</f>
        <v>2</v>
      </c>
      <c r="F297" s="8" t="str">
        <f>_xlfn.XLOOKUP($A297,'RAWDATA Cars Buyers DB'!$A:$A,'RAWDATA Cars Buyers DB'!F:F)</f>
        <v>Bachelors</v>
      </c>
      <c r="G297" s="8" t="str">
        <f>_xlfn.XLOOKUP($A297,'RAWDATA Cars Buyers DB'!$A:$A,'RAWDATA Cars Buyers DB'!G:G)</f>
        <v>Skilled Manual</v>
      </c>
      <c r="H297" s="8" t="str">
        <f>_xlfn.XLOOKUP($A297,'RAWDATA Cars Buyers DB'!$A:$A,'RAWDATA Cars Buyers DB'!H:H)</f>
        <v>No</v>
      </c>
      <c r="I297" s="8" t="str">
        <f>_xlfn.XLOOKUP($A297,'RAWDATA Cars Buyers DB'!$A:$A,'RAWDATA Cars Buyers DB'!I:I)</f>
        <v>2–4 Kilometre</v>
      </c>
      <c r="J297" s="8" t="str">
        <f>_xlfn.XLOOKUP($A297,'RAWDATA Cars Buyers DB'!$A:$A,'RAWDATA Cars Buyers DB'!J:J)</f>
        <v>Rhineland-Palatinate</v>
      </c>
      <c r="K297" s="8">
        <f>_xlfn.XLOOKUP($A297,'RAWDATA Cars Buyers DB'!$A:$A,'RAWDATA Cars Buyers DB'!K:K)</f>
        <v>21</v>
      </c>
      <c r="L297" s="10" t="str">
        <f>IF(_xlfn.XLOOKUP($A297,'RAWDATA Cars Buyers DB'!$A:$A,'RAWDATA Cars Buyers DB'!K:K)&gt;54,"Old ",IF(_xlfn.XLOOKUP($A297,'RAWDATA Cars Buyers DB'!$A:$A,'RAWDATA Cars Buyers DB'!K:K)&gt;=31,"Middle Age ",IF(_xlfn.XLOOKUP($A297,'RAWDATA Cars Buyers DB'!$A:$A,'RAWDATA Cars Buyers DB'!K:K)&lt;31,"Adolescent","Invalid")))</f>
        <v>Adolescent</v>
      </c>
      <c r="M297" s="8" t="str">
        <f>_xlfn.XLOOKUP($A297,'RAWDATA Cars Buyers DB'!$A:$A,'RAWDATA Cars Buyers DB'!L:L)</f>
        <v>No</v>
      </c>
    </row>
    <row r="298" spans="1:13">
      <c r="A298" s="6">
        <v>29830</v>
      </c>
      <c r="B298" s="10" t="str">
        <f>IF(_xlfn.XLOOKUP($A298,'RAWDATA Cars Buyers DB'!$A:$A,'RAWDATA Cars Buyers DB'!B:B)="S","Single","Married")</f>
        <v>Married</v>
      </c>
      <c r="C298" s="10" t="str">
        <f>IF(_xlfn.XLOOKUP($A298,'RAWDATA Cars Buyers DB'!$A:$A,'RAWDATA Cars Buyers DB'!C:C)="F","Female","Male")</f>
        <v>Male</v>
      </c>
      <c r="D298" s="7">
        <f>_xlfn.XLOOKUP($A298,'RAWDATA Cars Buyers DB'!$A:$A,'RAWDATA Cars Buyers DB'!D:D)</f>
        <v>44842</v>
      </c>
      <c r="E298" s="8">
        <f>_xlfn.XLOOKUP($A298,'RAWDATA Cars Buyers DB'!$A:$A,'RAWDATA Cars Buyers DB'!E:E)</f>
        <v>5</v>
      </c>
      <c r="F298" s="8" t="str">
        <f>_xlfn.XLOOKUP($A298,'RAWDATA Cars Buyers DB'!$A:$A,'RAWDATA Cars Buyers DB'!F:F)</f>
        <v>High School</v>
      </c>
      <c r="G298" s="8" t="str">
        <f>_xlfn.XLOOKUP($A298,'RAWDATA Cars Buyers DB'!$A:$A,'RAWDATA Cars Buyers DB'!G:G)</f>
        <v>Skilled Manual</v>
      </c>
      <c r="H298" s="8" t="str">
        <f>_xlfn.XLOOKUP($A298,'RAWDATA Cars Buyers DB'!$A:$A,'RAWDATA Cars Buyers DB'!H:H)</f>
        <v>No</v>
      </c>
      <c r="I298" s="8" t="str">
        <f>_xlfn.XLOOKUP($A298,'RAWDATA Cars Buyers DB'!$A:$A,'RAWDATA Cars Buyers DB'!I:I)</f>
        <v>1–2 Kilometre</v>
      </c>
      <c r="J298" s="8" t="str">
        <f>_xlfn.XLOOKUP($A298,'RAWDATA Cars Buyers DB'!$A:$A,'RAWDATA Cars Buyers DB'!J:J)</f>
        <v>Brandenburg</v>
      </c>
      <c r="K298" s="8">
        <f>_xlfn.XLOOKUP($A298,'RAWDATA Cars Buyers DB'!$A:$A,'RAWDATA Cars Buyers DB'!K:K)</f>
        <v>61</v>
      </c>
      <c r="L298" s="10" t="str">
        <f>IF(_xlfn.XLOOKUP($A298,'RAWDATA Cars Buyers DB'!$A:$A,'RAWDATA Cars Buyers DB'!K:K)&gt;54,"Old ",IF(_xlfn.XLOOKUP($A298,'RAWDATA Cars Buyers DB'!$A:$A,'RAWDATA Cars Buyers DB'!K:K)&gt;=31,"Middle Age ",IF(_xlfn.XLOOKUP($A298,'RAWDATA Cars Buyers DB'!$A:$A,'RAWDATA Cars Buyers DB'!K:K)&lt;31,"Adolescent","Invalid")))</f>
        <v xml:space="preserve">Old </v>
      </c>
      <c r="M298" s="8" t="str">
        <f>_xlfn.XLOOKUP($A298,'RAWDATA Cars Buyers DB'!$A:$A,'RAWDATA Cars Buyers DB'!L:L)</f>
        <v>No</v>
      </c>
    </row>
    <row r="299" spans="1:13">
      <c r="A299" s="6">
        <v>27429</v>
      </c>
      <c r="B299" s="10" t="str">
        <f>IF(_xlfn.XLOOKUP($A299,'RAWDATA Cars Buyers DB'!$A:$A,'RAWDATA Cars Buyers DB'!B:B)="S","Single","Married")</f>
        <v>Married</v>
      </c>
      <c r="C299" s="10" t="str">
        <f>IF(_xlfn.XLOOKUP($A299,'RAWDATA Cars Buyers DB'!$A:$A,'RAWDATA Cars Buyers DB'!C:C)="F","Female","Male")</f>
        <v>Male</v>
      </c>
      <c r="D299" s="7">
        <f>_xlfn.XLOOKUP($A299,'RAWDATA Cars Buyers DB'!$A:$A,'RAWDATA Cars Buyers DB'!D:D)</f>
        <v>46421</v>
      </c>
      <c r="E299" s="8">
        <f>_xlfn.XLOOKUP($A299,'RAWDATA Cars Buyers DB'!$A:$A,'RAWDATA Cars Buyers DB'!E:E)</f>
        <v>2</v>
      </c>
      <c r="F299" s="8" t="str">
        <f>_xlfn.XLOOKUP($A299,'RAWDATA Cars Buyers DB'!$A:$A,'RAWDATA Cars Buyers DB'!F:F)</f>
        <v>Partial College</v>
      </c>
      <c r="G299" s="8" t="str">
        <f>_xlfn.XLOOKUP($A299,'RAWDATA Cars Buyers DB'!$A:$A,'RAWDATA Cars Buyers DB'!G:G)</f>
        <v>Management</v>
      </c>
      <c r="H299" s="8" t="str">
        <f>_xlfn.XLOOKUP($A299,'RAWDATA Cars Buyers DB'!$A:$A,'RAWDATA Cars Buyers DB'!H:H)</f>
        <v>No</v>
      </c>
      <c r="I299" s="8" t="str">
        <f>_xlfn.XLOOKUP($A299,'RAWDATA Cars Buyers DB'!$A:$A,'RAWDATA Cars Buyers DB'!I:I)</f>
        <v>1–2 Kilometre</v>
      </c>
      <c r="J299" s="8" t="str">
        <f>_xlfn.XLOOKUP($A299,'RAWDATA Cars Buyers DB'!$A:$A,'RAWDATA Cars Buyers DB'!J:J)</f>
        <v>Baden-Württemberg</v>
      </c>
      <c r="K299" s="8">
        <f>_xlfn.XLOOKUP($A299,'RAWDATA Cars Buyers DB'!$A:$A,'RAWDATA Cars Buyers DB'!K:K)</f>
        <v>63</v>
      </c>
      <c r="L299" s="10" t="str">
        <f>IF(_xlfn.XLOOKUP($A299,'RAWDATA Cars Buyers DB'!$A:$A,'RAWDATA Cars Buyers DB'!K:K)&gt;54,"Old ",IF(_xlfn.XLOOKUP($A299,'RAWDATA Cars Buyers DB'!$A:$A,'RAWDATA Cars Buyers DB'!K:K)&gt;=31,"Middle Age ",IF(_xlfn.XLOOKUP($A299,'RAWDATA Cars Buyers DB'!$A:$A,'RAWDATA Cars Buyers DB'!K:K)&lt;31,"Adolescent","Invalid")))</f>
        <v xml:space="preserve">Old </v>
      </c>
      <c r="M299" s="8" t="str">
        <f>_xlfn.XLOOKUP($A299,'RAWDATA Cars Buyers DB'!$A:$A,'RAWDATA Cars Buyers DB'!L:L)</f>
        <v>Yes</v>
      </c>
    </row>
    <row r="300" spans="1:13">
      <c r="A300" s="6">
        <v>16893</v>
      </c>
      <c r="B300" s="10" t="str">
        <f>IF(_xlfn.XLOOKUP($A300,'RAWDATA Cars Buyers DB'!$A:$A,'RAWDATA Cars Buyers DB'!B:B)="S","Single","Married")</f>
        <v>Single</v>
      </c>
      <c r="C300" s="10" t="str">
        <f>IF(_xlfn.XLOOKUP($A300,'RAWDATA Cars Buyers DB'!$A:$A,'RAWDATA Cars Buyers DB'!C:C)="F","Female","Male")</f>
        <v>Female</v>
      </c>
      <c r="D300" s="7">
        <f>_xlfn.XLOOKUP($A300,'RAWDATA Cars Buyers DB'!$A:$A,'RAWDATA Cars Buyers DB'!D:D)</f>
        <v>21708</v>
      </c>
      <c r="E300" s="8">
        <f>_xlfn.XLOOKUP($A300,'RAWDATA Cars Buyers DB'!$A:$A,'RAWDATA Cars Buyers DB'!E:E)</f>
        <v>5</v>
      </c>
      <c r="F300" s="8" t="str">
        <f>_xlfn.XLOOKUP($A300,'RAWDATA Cars Buyers DB'!$A:$A,'RAWDATA Cars Buyers DB'!F:F)</f>
        <v>High School</v>
      </c>
      <c r="G300" s="8" t="str">
        <f>_xlfn.XLOOKUP($A300,'RAWDATA Cars Buyers DB'!$A:$A,'RAWDATA Cars Buyers DB'!G:G)</f>
        <v>Professional</v>
      </c>
      <c r="H300" s="8" t="str">
        <f>_xlfn.XLOOKUP($A300,'RAWDATA Cars Buyers DB'!$A:$A,'RAWDATA Cars Buyers DB'!H:H)</f>
        <v>Yes</v>
      </c>
      <c r="I300" s="8" t="str">
        <f>_xlfn.XLOOKUP($A300,'RAWDATA Cars Buyers DB'!$A:$A,'RAWDATA Cars Buyers DB'!I:I)</f>
        <v>2–4 Kilometre</v>
      </c>
      <c r="J300" s="8" t="str">
        <f>_xlfn.XLOOKUP($A300,'RAWDATA Cars Buyers DB'!$A:$A,'RAWDATA Cars Buyers DB'!J:J)</f>
        <v>Schleswig-Holstein</v>
      </c>
      <c r="K300" s="8">
        <f>_xlfn.XLOOKUP($A300,'RAWDATA Cars Buyers DB'!$A:$A,'RAWDATA Cars Buyers DB'!K:K)</f>
        <v>27</v>
      </c>
      <c r="L300" s="10" t="str">
        <f>IF(_xlfn.XLOOKUP($A300,'RAWDATA Cars Buyers DB'!$A:$A,'RAWDATA Cars Buyers DB'!K:K)&gt;54,"Old ",IF(_xlfn.XLOOKUP($A300,'RAWDATA Cars Buyers DB'!$A:$A,'RAWDATA Cars Buyers DB'!K:K)&gt;=31,"Middle Age ",IF(_xlfn.XLOOKUP($A300,'RAWDATA Cars Buyers DB'!$A:$A,'RAWDATA Cars Buyers DB'!K:K)&lt;31,"Adolescent","Invalid")))</f>
        <v>Adolescent</v>
      </c>
      <c r="M300" s="8" t="str">
        <f>_xlfn.XLOOKUP($A300,'RAWDATA Cars Buyers DB'!$A:$A,'RAWDATA Cars Buyers DB'!L:L)</f>
        <v>No</v>
      </c>
    </row>
    <row r="301" spans="1:13">
      <c r="A301" s="6">
        <v>89909</v>
      </c>
      <c r="B301" s="10" t="str">
        <f>IF(_xlfn.XLOOKUP($A301,'RAWDATA Cars Buyers DB'!$A:$A,'RAWDATA Cars Buyers DB'!B:B)="S","Single","Married")</f>
        <v>Married</v>
      </c>
      <c r="C301" s="10" t="str">
        <f>IF(_xlfn.XLOOKUP($A301,'RAWDATA Cars Buyers DB'!$A:$A,'RAWDATA Cars Buyers DB'!C:C)="F","Female","Male")</f>
        <v>Female</v>
      </c>
      <c r="D301" s="7">
        <f>_xlfn.XLOOKUP($A301,'RAWDATA Cars Buyers DB'!$A:$A,'RAWDATA Cars Buyers DB'!D:D)</f>
        <v>23630</v>
      </c>
      <c r="E301" s="8">
        <f>_xlfn.XLOOKUP($A301,'RAWDATA Cars Buyers DB'!$A:$A,'RAWDATA Cars Buyers DB'!E:E)</f>
        <v>1</v>
      </c>
      <c r="F301" s="8" t="str">
        <f>_xlfn.XLOOKUP($A301,'RAWDATA Cars Buyers DB'!$A:$A,'RAWDATA Cars Buyers DB'!F:F)</f>
        <v>High School</v>
      </c>
      <c r="G301" s="8" t="str">
        <f>_xlfn.XLOOKUP($A301,'RAWDATA Cars Buyers DB'!$A:$A,'RAWDATA Cars Buyers DB'!G:G)</f>
        <v>Clerical</v>
      </c>
      <c r="H301" s="8" t="str">
        <f>_xlfn.XLOOKUP($A301,'RAWDATA Cars Buyers DB'!$A:$A,'RAWDATA Cars Buyers DB'!H:H)</f>
        <v>Yes</v>
      </c>
      <c r="I301" s="8" t="str">
        <f>_xlfn.XLOOKUP($A301,'RAWDATA Cars Buyers DB'!$A:$A,'RAWDATA Cars Buyers DB'!I:I)</f>
        <v>2–4 Kilometre</v>
      </c>
      <c r="J301" s="8" t="str">
        <f>_xlfn.XLOOKUP($A301,'RAWDATA Cars Buyers DB'!$A:$A,'RAWDATA Cars Buyers DB'!J:J)</f>
        <v>Bremen</v>
      </c>
      <c r="K301" s="8">
        <f>_xlfn.XLOOKUP($A301,'RAWDATA Cars Buyers DB'!$A:$A,'RAWDATA Cars Buyers DB'!K:K)</f>
        <v>62</v>
      </c>
      <c r="L301" s="10" t="str">
        <f>IF(_xlfn.XLOOKUP($A301,'RAWDATA Cars Buyers DB'!$A:$A,'RAWDATA Cars Buyers DB'!K:K)&gt;54,"Old ",IF(_xlfn.XLOOKUP($A301,'RAWDATA Cars Buyers DB'!$A:$A,'RAWDATA Cars Buyers DB'!K:K)&gt;=31,"Middle Age ",IF(_xlfn.XLOOKUP($A301,'RAWDATA Cars Buyers DB'!$A:$A,'RAWDATA Cars Buyers DB'!K:K)&lt;31,"Adolescent","Invalid")))</f>
        <v xml:space="preserve">Old </v>
      </c>
      <c r="M301" s="8" t="str">
        <f>_xlfn.XLOOKUP($A301,'RAWDATA Cars Buyers DB'!$A:$A,'RAWDATA Cars Buyers DB'!L:L)</f>
        <v>Yes</v>
      </c>
    </row>
    <row r="302" spans="1:13">
      <c r="A302" s="6">
        <v>57333</v>
      </c>
      <c r="B302" s="10" t="str">
        <f>IF(_xlfn.XLOOKUP($A302,'RAWDATA Cars Buyers DB'!$A:$A,'RAWDATA Cars Buyers DB'!B:B)="S","Single","Married")</f>
        <v>Married</v>
      </c>
      <c r="C302" s="10" t="str">
        <f>IF(_xlfn.XLOOKUP($A302,'RAWDATA Cars Buyers DB'!$A:$A,'RAWDATA Cars Buyers DB'!C:C)="F","Female","Male")</f>
        <v>Female</v>
      </c>
      <c r="D302" s="7">
        <f>_xlfn.XLOOKUP($A302,'RAWDATA Cars Buyers DB'!$A:$A,'RAWDATA Cars Buyers DB'!D:D)</f>
        <v>39595</v>
      </c>
      <c r="E302" s="8">
        <f>_xlfn.XLOOKUP($A302,'RAWDATA Cars Buyers DB'!$A:$A,'RAWDATA Cars Buyers DB'!E:E)</f>
        <v>0</v>
      </c>
      <c r="F302" s="8" t="str">
        <f>_xlfn.XLOOKUP($A302,'RAWDATA Cars Buyers DB'!$A:$A,'RAWDATA Cars Buyers DB'!F:F)</f>
        <v>High School</v>
      </c>
      <c r="G302" s="8" t="str">
        <f>_xlfn.XLOOKUP($A302,'RAWDATA Cars Buyers DB'!$A:$A,'RAWDATA Cars Buyers DB'!G:G)</f>
        <v>Management</v>
      </c>
      <c r="H302" s="8" t="str">
        <f>_xlfn.XLOOKUP($A302,'RAWDATA Cars Buyers DB'!$A:$A,'RAWDATA Cars Buyers DB'!H:H)</f>
        <v>Yes</v>
      </c>
      <c r="I302" s="8" t="str">
        <f>_xlfn.XLOOKUP($A302,'RAWDATA Cars Buyers DB'!$A:$A,'RAWDATA Cars Buyers DB'!I:I)</f>
        <v>1–2 Kilometre</v>
      </c>
      <c r="J302" s="8" t="str">
        <f>_xlfn.XLOOKUP($A302,'RAWDATA Cars Buyers DB'!$A:$A,'RAWDATA Cars Buyers DB'!J:J)</f>
        <v>Saxony-Anhalt</v>
      </c>
      <c r="K302" s="8">
        <f>_xlfn.XLOOKUP($A302,'RAWDATA Cars Buyers DB'!$A:$A,'RAWDATA Cars Buyers DB'!K:K)</f>
        <v>61</v>
      </c>
      <c r="L302" s="10" t="str">
        <f>IF(_xlfn.XLOOKUP($A302,'RAWDATA Cars Buyers DB'!$A:$A,'RAWDATA Cars Buyers DB'!K:K)&gt;54,"Old ",IF(_xlfn.XLOOKUP($A302,'RAWDATA Cars Buyers DB'!$A:$A,'RAWDATA Cars Buyers DB'!K:K)&gt;=31,"Middle Age ",IF(_xlfn.XLOOKUP($A302,'RAWDATA Cars Buyers DB'!$A:$A,'RAWDATA Cars Buyers DB'!K:K)&lt;31,"Adolescent","Invalid")))</f>
        <v xml:space="preserve">Old </v>
      </c>
      <c r="M302" s="8" t="str">
        <f>_xlfn.XLOOKUP($A302,'RAWDATA Cars Buyers DB'!$A:$A,'RAWDATA Cars Buyers DB'!L:L)</f>
        <v>Yes</v>
      </c>
    </row>
    <row r="303" spans="1:13">
      <c r="A303" s="6">
        <v>13436</v>
      </c>
      <c r="B303" s="10" t="str">
        <f>IF(_xlfn.XLOOKUP($A303,'RAWDATA Cars Buyers DB'!$A:$A,'RAWDATA Cars Buyers DB'!B:B)="S","Single","Married")</f>
        <v>Single</v>
      </c>
      <c r="C303" s="10" t="str">
        <f>IF(_xlfn.XLOOKUP($A303,'RAWDATA Cars Buyers DB'!$A:$A,'RAWDATA Cars Buyers DB'!C:C)="F","Female","Male")</f>
        <v>Female</v>
      </c>
      <c r="D303" s="7">
        <f>_xlfn.XLOOKUP($A303,'RAWDATA Cars Buyers DB'!$A:$A,'RAWDATA Cars Buyers DB'!D:D)</f>
        <v>96021</v>
      </c>
      <c r="E303" s="8">
        <f>_xlfn.XLOOKUP($A303,'RAWDATA Cars Buyers DB'!$A:$A,'RAWDATA Cars Buyers DB'!E:E)</f>
        <v>0</v>
      </c>
      <c r="F303" s="8" t="str">
        <f>_xlfn.XLOOKUP($A303,'RAWDATA Cars Buyers DB'!$A:$A,'RAWDATA Cars Buyers DB'!F:F)</f>
        <v>Bachelors</v>
      </c>
      <c r="G303" s="8" t="str">
        <f>_xlfn.XLOOKUP($A303,'RAWDATA Cars Buyers DB'!$A:$A,'RAWDATA Cars Buyers DB'!G:G)</f>
        <v>Skilled Manual</v>
      </c>
      <c r="H303" s="8" t="str">
        <f>_xlfn.XLOOKUP($A303,'RAWDATA Cars Buyers DB'!$A:$A,'RAWDATA Cars Buyers DB'!H:H)</f>
        <v>Yes</v>
      </c>
      <c r="I303" s="8" t="str">
        <f>_xlfn.XLOOKUP($A303,'RAWDATA Cars Buyers DB'!$A:$A,'RAWDATA Cars Buyers DB'!I:I)</f>
        <v>2–4 Kilometre</v>
      </c>
      <c r="J303" s="8" t="str">
        <f>_xlfn.XLOOKUP($A303,'RAWDATA Cars Buyers DB'!$A:$A,'RAWDATA Cars Buyers DB'!J:J)</f>
        <v>Saarland</v>
      </c>
      <c r="K303" s="8">
        <f>_xlfn.XLOOKUP($A303,'RAWDATA Cars Buyers DB'!$A:$A,'RAWDATA Cars Buyers DB'!K:K)</f>
        <v>32</v>
      </c>
      <c r="L303" s="10" t="str">
        <f>IF(_xlfn.XLOOKUP($A303,'RAWDATA Cars Buyers DB'!$A:$A,'RAWDATA Cars Buyers DB'!K:K)&gt;54,"Old ",IF(_xlfn.XLOOKUP($A303,'RAWDATA Cars Buyers DB'!$A:$A,'RAWDATA Cars Buyers DB'!K:K)&gt;=31,"Middle Age ",IF(_xlfn.XLOOKUP($A303,'RAWDATA Cars Buyers DB'!$A:$A,'RAWDATA Cars Buyers DB'!K:K)&lt;31,"Adolescent","Invalid")))</f>
        <v xml:space="preserve">Middle Age </v>
      </c>
      <c r="M303" s="8" t="str">
        <f>_xlfn.XLOOKUP($A303,'RAWDATA Cars Buyers DB'!$A:$A,'RAWDATA Cars Buyers DB'!L:L)</f>
        <v>No</v>
      </c>
    </row>
    <row r="304" spans="1:13">
      <c r="A304" s="6">
        <v>84290</v>
      </c>
      <c r="B304" s="10" t="str">
        <f>IF(_xlfn.XLOOKUP($A304,'RAWDATA Cars Buyers DB'!$A:$A,'RAWDATA Cars Buyers DB'!B:B)="S","Single","Married")</f>
        <v>Married</v>
      </c>
      <c r="C304" s="10" t="str">
        <f>IF(_xlfn.XLOOKUP($A304,'RAWDATA Cars Buyers DB'!$A:$A,'RAWDATA Cars Buyers DB'!C:C)="F","Female","Male")</f>
        <v>Female</v>
      </c>
      <c r="D304" s="7">
        <f>_xlfn.XLOOKUP($A304,'RAWDATA Cars Buyers DB'!$A:$A,'RAWDATA Cars Buyers DB'!D:D)</f>
        <v>48308</v>
      </c>
      <c r="E304" s="8">
        <f>_xlfn.XLOOKUP($A304,'RAWDATA Cars Buyers DB'!$A:$A,'RAWDATA Cars Buyers DB'!E:E)</f>
        <v>4</v>
      </c>
      <c r="F304" s="8" t="str">
        <f>_xlfn.XLOOKUP($A304,'RAWDATA Cars Buyers DB'!$A:$A,'RAWDATA Cars Buyers DB'!F:F)</f>
        <v>Graduate Degree</v>
      </c>
      <c r="G304" s="8" t="str">
        <f>_xlfn.XLOOKUP($A304,'RAWDATA Cars Buyers DB'!$A:$A,'RAWDATA Cars Buyers DB'!G:G)</f>
        <v>Skilled Manual</v>
      </c>
      <c r="H304" s="8" t="str">
        <f>_xlfn.XLOOKUP($A304,'RAWDATA Cars Buyers DB'!$A:$A,'RAWDATA Cars Buyers DB'!H:H)</f>
        <v>Yes</v>
      </c>
      <c r="I304" s="8" t="str">
        <f>_xlfn.XLOOKUP($A304,'RAWDATA Cars Buyers DB'!$A:$A,'RAWDATA Cars Buyers DB'!I:I)</f>
        <v>0–1 Kilometre</v>
      </c>
      <c r="J304" s="8" t="str">
        <f>_xlfn.XLOOKUP($A304,'RAWDATA Cars Buyers DB'!$A:$A,'RAWDATA Cars Buyers DB'!J:J)</f>
        <v>Berlin</v>
      </c>
      <c r="K304" s="8">
        <f>_xlfn.XLOOKUP($A304,'RAWDATA Cars Buyers DB'!$A:$A,'RAWDATA Cars Buyers DB'!K:K)</f>
        <v>36</v>
      </c>
      <c r="L304" s="10" t="str">
        <f>IF(_xlfn.XLOOKUP($A304,'RAWDATA Cars Buyers DB'!$A:$A,'RAWDATA Cars Buyers DB'!K:K)&gt;54,"Old ",IF(_xlfn.XLOOKUP($A304,'RAWDATA Cars Buyers DB'!$A:$A,'RAWDATA Cars Buyers DB'!K:K)&gt;=31,"Middle Age ",IF(_xlfn.XLOOKUP($A304,'RAWDATA Cars Buyers DB'!$A:$A,'RAWDATA Cars Buyers DB'!K:K)&lt;31,"Adolescent","Invalid")))</f>
        <v xml:space="preserve">Middle Age </v>
      </c>
      <c r="M304" s="8" t="str">
        <f>_xlfn.XLOOKUP($A304,'RAWDATA Cars Buyers DB'!$A:$A,'RAWDATA Cars Buyers DB'!L:L)</f>
        <v>No</v>
      </c>
    </row>
    <row r="305" spans="1:13">
      <c r="A305" s="6">
        <v>86213</v>
      </c>
      <c r="B305" s="10" t="str">
        <f>IF(_xlfn.XLOOKUP($A305,'RAWDATA Cars Buyers DB'!$A:$A,'RAWDATA Cars Buyers DB'!B:B)="S","Single","Married")</f>
        <v>Married</v>
      </c>
      <c r="C305" s="10" t="str">
        <f>IF(_xlfn.XLOOKUP($A305,'RAWDATA Cars Buyers DB'!$A:$A,'RAWDATA Cars Buyers DB'!C:C)="F","Female","Male")</f>
        <v>Male</v>
      </c>
      <c r="D305" s="7">
        <f>_xlfn.XLOOKUP($A305,'RAWDATA Cars Buyers DB'!$A:$A,'RAWDATA Cars Buyers DB'!D:D)</f>
        <v>64789</v>
      </c>
      <c r="E305" s="8">
        <f>_xlfn.XLOOKUP($A305,'RAWDATA Cars Buyers DB'!$A:$A,'RAWDATA Cars Buyers DB'!E:E)</f>
        <v>5</v>
      </c>
      <c r="F305" s="8" t="str">
        <f>_xlfn.XLOOKUP($A305,'RAWDATA Cars Buyers DB'!$A:$A,'RAWDATA Cars Buyers DB'!F:F)</f>
        <v>Partial College</v>
      </c>
      <c r="G305" s="8" t="str">
        <f>_xlfn.XLOOKUP($A305,'RAWDATA Cars Buyers DB'!$A:$A,'RAWDATA Cars Buyers DB'!G:G)</f>
        <v>Skilled Manual</v>
      </c>
      <c r="H305" s="8" t="str">
        <f>_xlfn.XLOOKUP($A305,'RAWDATA Cars Buyers DB'!$A:$A,'RAWDATA Cars Buyers DB'!H:H)</f>
        <v>Yes</v>
      </c>
      <c r="I305" s="8" t="str">
        <f>_xlfn.XLOOKUP($A305,'RAWDATA Cars Buyers DB'!$A:$A,'RAWDATA Cars Buyers DB'!I:I)</f>
        <v>2–4 Kilometre</v>
      </c>
      <c r="J305" s="8" t="str">
        <f>_xlfn.XLOOKUP($A305,'RAWDATA Cars Buyers DB'!$A:$A,'RAWDATA Cars Buyers DB'!J:J)</f>
        <v>North Rhine-Westphalia</v>
      </c>
      <c r="K305" s="8">
        <f>_xlfn.XLOOKUP($A305,'RAWDATA Cars Buyers DB'!$A:$A,'RAWDATA Cars Buyers DB'!K:K)</f>
        <v>58</v>
      </c>
      <c r="L305" s="10" t="str">
        <f>IF(_xlfn.XLOOKUP($A305,'RAWDATA Cars Buyers DB'!$A:$A,'RAWDATA Cars Buyers DB'!K:K)&gt;54,"Old ",IF(_xlfn.XLOOKUP($A305,'RAWDATA Cars Buyers DB'!$A:$A,'RAWDATA Cars Buyers DB'!K:K)&gt;=31,"Middle Age ",IF(_xlfn.XLOOKUP($A305,'RAWDATA Cars Buyers DB'!$A:$A,'RAWDATA Cars Buyers DB'!K:K)&lt;31,"Adolescent","Invalid")))</f>
        <v xml:space="preserve">Old </v>
      </c>
      <c r="M305" s="8" t="str">
        <f>_xlfn.XLOOKUP($A305,'RAWDATA Cars Buyers DB'!$A:$A,'RAWDATA Cars Buyers DB'!L:L)</f>
        <v>Yes</v>
      </c>
    </row>
    <row r="306" spans="1:13">
      <c r="A306" s="6">
        <v>15895</v>
      </c>
      <c r="B306" s="10" t="str">
        <f>IF(_xlfn.XLOOKUP($A306,'RAWDATA Cars Buyers DB'!$A:$A,'RAWDATA Cars Buyers DB'!B:B)="S","Single","Married")</f>
        <v>Married</v>
      </c>
      <c r="C306" s="10" t="str">
        <f>IF(_xlfn.XLOOKUP($A306,'RAWDATA Cars Buyers DB'!$A:$A,'RAWDATA Cars Buyers DB'!C:C)="F","Female","Male")</f>
        <v>Male</v>
      </c>
      <c r="D306" s="7">
        <f>_xlfn.XLOOKUP($A306,'RAWDATA Cars Buyers DB'!$A:$A,'RAWDATA Cars Buyers DB'!D:D)</f>
        <v>75690</v>
      </c>
      <c r="E306" s="8">
        <f>_xlfn.XLOOKUP($A306,'RAWDATA Cars Buyers DB'!$A:$A,'RAWDATA Cars Buyers DB'!E:E)</f>
        <v>2</v>
      </c>
      <c r="F306" s="8" t="str">
        <f>_xlfn.XLOOKUP($A306,'RAWDATA Cars Buyers DB'!$A:$A,'RAWDATA Cars Buyers DB'!F:F)</f>
        <v>High School</v>
      </c>
      <c r="G306" s="8" t="str">
        <f>_xlfn.XLOOKUP($A306,'RAWDATA Cars Buyers DB'!$A:$A,'RAWDATA Cars Buyers DB'!G:G)</f>
        <v>Professional</v>
      </c>
      <c r="H306" s="8" t="str">
        <f>_xlfn.XLOOKUP($A306,'RAWDATA Cars Buyers DB'!$A:$A,'RAWDATA Cars Buyers DB'!H:H)</f>
        <v>No</v>
      </c>
      <c r="I306" s="8" t="str">
        <f>_xlfn.XLOOKUP($A306,'RAWDATA Cars Buyers DB'!$A:$A,'RAWDATA Cars Buyers DB'!I:I)</f>
        <v>2–4 Kilometre</v>
      </c>
      <c r="J306" s="8" t="str">
        <f>_xlfn.XLOOKUP($A306,'RAWDATA Cars Buyers DB'!$A:$A,'RAWDATA Cars Buyers DB'!J:J)</f>
        <v>Thuringia</v>
      </c>
      <c r="K306" s="8">
        <f>_xlfn.XLOOKUP($A306,'RAWDATA Cars Buyers DB'!$A:$A,'RAWDATA Cars Buyers DB'!K:K)</f>
        <v>43</v>
      </c>
      <c r="L306" s="10" t="str">
        <f>IF(_xlfn.XLOOKUP($A306,'RAWDATA Cars Buyers DB'!$A:$A,'RAWDATA Cars Buyers DB'!K:K)&gt;54,"Old ",IF(_xlfn.XLOOKUP($A306,'RAWDATA Cars Buyers DB'!$A:$A,'RAWDATA Cars Buyers DB'!K:K)&gt;=31,"Middle Age ",IF(_xlfn.XLOOKUP($A306,'RAWDATA Cars Buyers DB'!$A:$A,'RAWDATA Cars Buyers DB'!K:K)&lt;31,"Adolescent","Invalid")))</f>
        <v xml:space="preserve">Middle Age </v>
      </c>
      <c r="M306" s="8" t="str">
        <f>_xlfn.XLOOKUP($A306,'RAWDATA Cars Buyers DB'!$A:$A,'RAWDATA Cars Buyers DB'!L:L)</f>
        <v>No</v>
      </c>
    </row>
    <row r="307" spans="1:13">
      <c r="A307" s="6">
        <v>29738</v>
      </c>
      <c r="B307" s="10" t="str">
        <f>IF(_xlfn.XLOOKUP($A307,'RAWDATA Cars Buyers DB'!$A:$A,'RAWDATA Cars Buyers DB'!B:B)="S","Single","Married")</f>
        <v>Single</v>
      </c>
      <c r="C307" s="10" t="str">
        <f>IF(_xlfn.XLOOKUP($A307,'RAWDATA Cars Buyers DB'!$A:$A,'RAWDATA Cars Buyers DB'!C:C)="F","Female","Male")</f>
        <v>Female</v>
      </c>
      <c r="D307" s="7">
        <f>_xlfn.XLOOKUP($A307,'RAWDATA Cars Buyers DB'!$A:$A,'RAWDATA Cars Buyers DB'!D:D)</f>
        <v>46086</v>
      </c>
      <c r="E307" s="8">
        <f>_xlfn.XLOOKUP($A307,'RAWDATA Cars Buyers DB'!$A:$A,'RAWDATA Cars Buyers DB'!E:E)</f>
        <v>0</v>
      </c>
      <c r="F307" s="8" t="str">
        <f>_xlfn.XLOOKUP($A307,'RAWDATA Cars Buyers DB'!$A:$A,'RAWDATA Cars Buyers DB'!F:F)</f>
        <v>Graduate Degree</v>
      </c>
      <c r="G307" s="8" t="str">
        <f>_xlfn.XLOOKUP($A307,'RAWDATA Cars Buyers DB'!$A:$A,'RAWDATA Cars Buyers DB'!G:G)</f>
        <v>Skilled Manual</v>
      </c>
      <c r="H307" s="8" t="str">
        <f>_xlfn.XLOOKUP($A307,'RAWDATA Cars Buyers DB'!$A:$A,'RAWDATA Cars Buyers DB'!H:H)</f>
        <v>Yes</v>
      </c>
      <c r="I307" s="8" t="str">
        <f>_xlfn.XLOOKUP($A307,'RAWDATA Cars Buyers DB'!$A:$A,'RAWDATA Cars Buyers DB'!I:I)</f>
        <v>1–2 Kilometre</v>
      </c>
      <c r="J307" s="8" t="str">
        <f>_xlfn.XLOOKUP($A307,'RAWDATA Cars Buyers DB'!$A:$A,'RAWDATA Cars Buyers DB'!J:J)</f>
        <v>Lower Saxony</v>
      </c>
      <c r="K307" s="8">
        <f>_xlfn.XLOOKUP($A307,'RAWDATA Cars Buyers DB'!$A:$A,'RAWDATA Cars Buyers DB'!K:K)</f>
        <v>22</v>
      </c>
      <c r="L307" s="10" t="str">
        <f>IF(_xlfn.XLOOKUP($A307,'RAWDATA Cars Buyers DB'!$A:$A,'RAWDATA Cars Buyers DB'!K:K)&gt;54,"Old ",IF(_xlfn.XLOOKUP($A307,'RAWDATA Cars Buyers DB'!$A:$A,'RAWDATA Cars Buyers DB'!K:K)&gt;=31,"Middle Age ",IF(_xlfn.XLOOKUP($A307,'RAWDATA Cars Buyers DB'!$A:$A,'RAWDATA Cars Buyers DB'!K:K)&lt;31,"Adolescent","Invalid")))</f>
        <v>Adolescent</v>
      </c>
      <c r="M307" s="8" t="str">
        <f>_xlfn.XLOOKUP($A307,'RAWDATA Cars Buyers DB'!$A:$A,'RAWDATA Cars Buyers DB'!L:L)</f>
        <v>Yes</v>
      </c>
    </row>
    <row r="308" spans="1:13">
      <c r="A308" s="6">
        <v>40746</v>
      </c>
      <c r="B308" s="10" t="str">
        <f>IF(_xlfn.XLOOKUP($A308,'RAWDATA Cars Buyers DB'!$A:$A,'RAWDATA Cars Buyers DB'!B:B)="S","Single","Married")</f>
        <v>Married</v>
      </c>
      <c r="C308" s="10" t="str">
        <f>IF(_xlfn.XLOOKUP($A308,'RAWDATA Cars Buyers DB'!$A:$A,'RAWDATA Cars Buyers DB'!C:C)="F","Female","Male")</f>
        <v>Male</v>
      </c>
      <c r="D308" s="7">
        <f>_xlfn.XLOOKUP($A308,'RAWDATA Cars Buyers DB'!$A:$A,'RAWDATA Cars Buyers DB'!D:D)</f>
        <v>36859</v>
      </c>
      <c r="E308" s="8">
        <f>_xlfn.XLOOKUP($A308,'RAWDATA Cars Buyers DB'!$A:$A,'RAWDATA Cars Buyers DB'!E:E)</f>
        <v>0</v>
      </c>
      <c r="F308" s="8" t="str">
        <f>_xlfn.XLOOKUP($A308,'RAWDATA Cars Buyers DB'!$A:$A,'RAWDATA Cars Buyers DB'!F:F)</f>
        <v>Graduate Degree</v>
      </c>
      <c r="G308" s="8" t="str">
        <f>_xlfn.XLOOKUP($A308,'RAWDATA Cars Buyers DB'!$A:$A,'RAWDATA Cars Buyers DB'!G:G)</f>
        <v>Management</v>
      </c>
      <c r="H308" s="8" t="str">
        <f>_xlfn.XLOOKUP($A308,'RAWDATA Cars Buyers DB'!$A:$A,'RAWDATA Cars Buyers DB'!H:H)</f>
        <v>Yes</v>
      </c>
      <c r="I308" s="8" t="str">
        <f>_xlfn.XLOOKUP($A308,'RAWDATA Cars Buyers DB'!$A:$A,'RAWDATA Cars Buyers DB'!I:I)</f>
        <v>0–1 Kilometre</v>
      </c>
      <c r="J308" s="8" t="str">
        <f>_xlfn.XLOOKUP($A308,'RAWDATA Cars Buyers DB'!$A:$A,'RAWDATA Cars Buyers DB'!J:J)</f>
        <v>Bavaria</v>
      </c>
      <c r="K308" s="8">
        <f>_xlfn.XLOOKUP($A308,'RAWDATA Cars Buyers DB'!$A:$A,'RAWDATA Cars Buyers DB'!K:K)</f>
        <v>49</v>
      </c>
      <c r="L308" s="10" t="str">
        <f>IF(_xlfn.XLOOKUP($A308,'RAWDATA Cars Buyers DB'!$A:$A,'RAWDATA Cars Buyers DB'!K:K)&gt;54,"Old ",IF(_xlfn.XLOOKUP($A308,'RAWDATA Cars Buyers DB'!$A:$A,'RAWDATA Cars Buyers DB'!K:K)&gt;=31,"Middle Age ",IF(_xlfn.XLOOKUP($A308,'RAWDATA Cars Buyers DB'!$A:$A,'RAWDATA Cars Buyers DB'!K:K)&lt;31,"Adolescent","Invalid")))</f>
        <v xml:space="preserve">Middle Age </v>
      </c>
      <c r="M308" s="8" t="str">
        <f>_xlfn.XLOOKUP($A308,'RAWDATA Cars Buyers DB'!$A:$A,'RAWDATA Cars Buyers DB'!L:L)</f>
        <v>Yes</v>
      </c>
    </row>
    <row r="309" spans="1:13">
      <c r="A309" s="6">
        <v>59377</v>
      </c>
      <c r="B309" s="10" t="str">
        <f>IF(_xlfn.XLOOKUP($A309,'RAWDATA Cars Buyers DB'!$A:$A,'RAWDATA Cars Buyers DB'!B:B)="S","Single","Married")</f>
        <v>Married</v>
      </c>
      <c r="C309" s="10" t="str">
        <f>IF(_xlfn.XLOOKUP($A309,'RAWDATA Cars Buyers DB'!$A:$A,'RAWDATA Cars Buyers DB'!C:C)="F","Female","Male")</f>
        <v>Male</v>
      </c>
      <c r="D309" s="7">
        <f>_xlfn.XLOOKUP($A309,'RAWDATA Cars Buyers DB'!$A:$A,'RAWDATA Cars Buyers DB'!D:D)</f>
        <v>27684</v>
      </c>
      <c r="E309" s="8">
        <f>_xlfn.XLOOKUP($A309,'RAWDATA Cars Buyers DB'!$A:$A,'RAWDATA Cars Buyers DB'!E:E)</f>
        <v>3</v>
      </c>
      <c r="F309" s="8" t="str">
        <f>_xlfn.XLOOKUP($A309,'RAWDATA Cars Buyers DB'!$A:$A,'RAWDATA Cars Buyers DB'!F:F)</f>
        <v>Bachelors</v>
      </c>
      <c r="G309" s="8" t="str">
        <f>_xlfn.XLOOKUP($A309,'RAWDATA Cars Buyers DB'!$A:$A,'RAWDATA Cars Buyers DB'!G:G)</f>
        <v>Management</v>
      </c>
      <c r="H309" s="8" t="str">
        <f>_xlfn.XLOOKUP($A309,'RAWDATA Cars Buyers DB'!$A:$A,'RAWDATA Cars Buyers DB'!H:H)</f>
        <v>No</v>
      </c>
      <c r="I309" s="8" t="str">
        <f>_xlfn.XLOOKUP($A309,'RAWDATA Cars Buyers DB'!$A:$A,'RAWDATA Cars Buyers DB'!I:I)</f>
        <v>4–6 Kilometre</v>
      </c>
      <c r="J309" s="8" t="str">
        <f>_xlfn.XLOOKUP($A309,'RAWDATA Cars Buyers DB'!$A:$A,'RAWDATA Cars Buyers DB'!J:J)</f>
        <v>Thuringia</v>
      </c>
      <c r="K309" s="8">
        <f>_xlfn.XLOOKUP($A309,'RAWDATA Cars Buyers DB'!$A:$A,'RAWDATA Cars Buyers DB'!K:K)</f>
        <v>32</v>
      </c>
      <c r="L309" s="10" t="str">
        <f>IF(_xlfn.XLOOKUP($A309,'RAWDATA Cars Buyers DB'!$A:$A,'RAWDATA Cars Buyers DB'!K:K)&gt;54,"Old ",IF(_xlfn.XLOOKUP($A309,'RAWDATA Cars Buyers DB'!$A:$A,'RAWDATA Cars Buyers DB'!K:K)&gt;=31,"Middle Age ",IF(_xlfn.XLOOKUP($A309,'RAWDATA Cars Buyers DB'!$A:$A,'RAWDATA Cars Buyers DB'!K:K)&lt;31,"Adolescent","Invalid")))</f>
        <v xml:space="preserve">Middle Age </v>
      </c>
      <c r="M309" s="8" t="str">
        <f>_xlfn.XLOOKUP($A309,'RAWDATA Cars Buyers DB'!$A:$A,'RAWDATA Cars Buyers DB'!L:L)</f>
        <v>Yes</v>
      </c>
    </row>
    <row r="310" spans="1:13">
      <c r="A310" s="6">
        <v>58404</v>
      </c>
      <c r="B310" s="10" t="str">
        <f>IF(_xlfn.XLOOKUP($A310,'RAWDATA Cars Buyers DB'!$A:$A,'RAWDATA Cars Buyers DB'!B:B)="S","Single","Married")</f>
        <v>Married</v>
      </c>
      <c r="C310" s="10" t="str">
        <f>IF(_xlfn.XLOOKUP($A310,'RAWDATA Cars Buyers DB'!$A:$A,'RAWDATA Cars Buyers DB'!C:C)="F","Female","Male")</f>
        <v>Male</v>
      </c>
      <c r="D310" s="7">
        <f>_xlfn.XLOOKUP($A310,'RAWDATA Cars Buyers DB'!$A:$A,'RAWDATA Cars Buyers DB'!D:D)</f>
        <v>111088</v>
      </c>
      <c r="E310" s="8">
        <f>_xlfn.XLOOKUP($A310,'RAWDATA Cars Buyers DB'!$A:$A,'RAWDATA Cars Buyers DB'!E:E)</f>
        <v>3</v>
      </c>
      <c r="F310" s="8" t="str">
        <f>_xlfn.XLOOKUP($A310,'RAWDATA Cars Buyers DB'!$A:$A,'RAWDATA Cars Buyers DB'!F:F)</f>
        <v>Partial College</v>
      </c>
      <c r="G310" s="8" t="str">
        <f>_xlfn.XLOOKUP($A310,'RAWDATA Cars Buyers DB'!$A:$A,'RAWDATA Cars Buyers DB'!G:G)</f>
        <v>Skilled Manual</v>
      </c>
      <c r="H310" s="8" t="str">
        <f>_xlfn.XLOOKUP($A310,'RAWDATA Cars Buyers DB'!$A:$A,'RAWDATA Cars Buyers DB'!H:H)</f>
        <v>Yes</v>
      </c>
      <c r="I310" s="8" t="str">
        <f>_xlfn.XLOOKUP($A310,'RAWDATA Cars Buyers DB'!$A:$A,'RAWDATA Cars Buyers DB'!I:I)</f>
        <v>4–6 Kilometre</v>
      </c>
      <c r="J310" s="8" t="str">
        <f>_xlfn.XLOOKUP($A310,'RAWDATA Cars Buyers DB'!$A:$A,'RAWDATA Cars Buyers DB'!J:J)</f>
        <v>Hamburg</v>
      </c>
      <c r="K310" s="8">
        <f>_xlfn.XLOOKUP($A310,'RAWDATA Cars Buyers DB'!$A:$A,'RAWDATA Cars Buyers DB'!K:K)</f>
        <v>38</v>
      </c>
      <c r="L310" s="10" t="str">
        <f>IF(_xlfn.XLOOKUP($A310,'RAWDATA Cars Buyers DB'!$A:$A,'RAWDATA Cars Buyers DB'!K:K)&gt;54,"Old ",IF(_xlfn.XLOOKUP($A310,'RAWDATA Cars Buyers DB'!$A:$A,'RAWDATA Cars Buyers DB'!K:K)&gt;=31,"Middle Age ",IF(_xlfn.XLOOKUP($A310,'RAWDATA Cars Buyers DB'!$A:$A,'RAWDATA Cars Buyers DB'!K:K)&lt;31,"Adolescent","Invalid")))</f>
        <v xml:space="preserve">Middle Age </v>
      </c>
      <c r="M310" s="8" t="str">
        <f>_xlfn.XLOOKUP($A310,'RAWDATA Cars Buyers DB'!$A:$A,'RAWDATA Cars Buyers DB'!L:L)</f>
        <v>No</v>
      </c>
    </row>
    <row r="311" spans="1:13">
      <c r="A311" s="6">
        <v>64045</v>
      </c>
      <c r="B311" s="10" t="str">
        <f>IF(_xlfn.XLOOKUP($A311,'RAWDATA Cars Buyers DB'!$A:$A,'RAWDATA Cars Buyers DB'!B:B)="S","Single","Married")</f>
        <v>Married</v>
      </c>
      <c r="C311" s="10" t="str">
        <f>IF(_xlfn.XLOOKUP($A311,'RAWDATA Cars Buyers DB'!$A:$A,'RAWDATA Cars Buyers DB'!C:C)="F","Female","Male")</f>
        <v>Female</v>
      </c>
      <c r="D311" s="7">
        <f>_xlfn.XLOOKUP($A311,'RAWDATA Cars Buyers DB'!$A:$A,'RAWDATA Cars Buyers DB'!D:D)</f>
        <v>21207</v>
      </c>
      <c r="E311" s="8">
        <f>_xlfn.XLOOKUP($A311,'RAWDATA Cars Buyers DB'!$A:$A,'RAWDATA Cars Buyers DB'!E:E)</f>
        <v>0</v>
      </c>
      <c r="F311" s="8" t="str">
        <f>_xlfn.XLOOKUP($A311,'RAWDATA Cars Buyers DB'!$A:$A,'RAWDATA Cars Buyers DB'!F:F)</f>
        <v>Bachelors</v>
      </c>
      <c r="G311" s="8" t="str">
        <f>_xlfn.XLOOKUP($A311,'RAWDATA Cars Buyers DB'!$A:$A,'RAWDATA Cars Buyers DB'!G:G)</f>
        <v>Management</v>
      </c>
      <c r="H311" s="8" t="str">
        <f>_xlfn.XLOOKUP($A311,'RAWDATA Cars Buyers DB'!$A:$A,'RAWDATA Cars Buyers DB'!H:H)</f>
        <v>No</v>
      </c>
      <c r="I311" s="8" t="str">
        <f>_xlfn.XLOOKUP($A311,'RAWDATA Cars Buyers DB'!$A:$A,'RAWDATA Cars Buyers DB'!I:I)</f>
        <v>6+ Kilometre</v>
      </c>
      <c r="J311" s="8" t="str">
        <f>_xlfn.XLOOKUP($A311,'RAWDATA Cars Buyers DB'!$A:$A,'RAWDATA Cars Buyers DB'!J:J)</f>
        <v>Hesse</v>
      </c>
      <c r="K311" s="8">
        <f>_xlfn.XLOOKUP($A311,'RAWDATA Cars Buyers DB'!$A:$A,'RAWDATA Cars Buyers DB'!K:K)</f>
        <v>26</v>
      </c>
      <c r="L311" s="10" t="str">
        <f>IF(_xlfn.XLOOKUP($A311,'RAWDATA Cars Buyers DB'!$A:$A,'RAWDATA Cars Buyers DB'!K:K)&gt;54,"Old ",IF(_xlfn.XLOOKUP($A311,'RAWDATA Cars Buyers DB'!$A:$A,'RAWDATA Cars Buyers DB'!K:K)&gt;=31,"Middle Age ",IF(_xlfn.XLOOKUP($A311,'RAWDATA Cars Buyers DB'!$A:$A,'RAWDATA Cars Buyers DB'!K:K)&lt;31,"Adolescent","Invalid")))</f>
        <v>Adolescent</v>
      </c>
      <c r="M311" s="8" t="str">
        <f>_xlfn.XLOOKUP($A311,'RAWDATA Cars Buyers DB'!$A:$A,'RAWDATA Cars Buyers DB'!L:L)</f>
        <v>No</v>
      </c>
    </row>
    <row r="312" spans="1:13">
      <c r="A312" s="6">
        <v>49790</v>
      </c>
      <c r="B312" s="10" t="str">
        <f>IF(_xlfn.XLOOKUP($A312,'RAWDATA Cars Buyers DB'!$A:$A,'RAWDATA Cars Buyers DB'!B:B)="S","Single","Married")</f>
        <v>Married</v>
      </c>
      <c r="C312" s="10" t="str">
        <f>IF(_xlfn.XLOOKUP($A312,'RAWDATA Cars Buyers DB'!$A:$A,'RAWDATA Cars Buyers DB'!C:C)="F","Female","Male")</f>
        <v>Male</v>
      </c>
      <c r="D312" s="7">
        <f>_xlfn.XLOOKUP($A312,'RAWDATA Cars Buyers DB'!$A:$A,'RAWDATA Cars Buyers DB'!D:D)</f>
        <v>66099</v>
      </c>
      <c r="E312" s="8">
        <f>_xlfn.XLOOKUP($A312,'RAWDATA Cars Buyers DB'!$A:$A,'RAWDATA Cars Buyers DB'!E:E)</f>
        <v>5</v>
      </c>
      <c r="F312" s="8" t="str">
        <f>_xlfn.XLOOKUP($A312,'RAWDATA Cars Buyers DB'!$A:$A,'RAWDATA Cars Buyers DB'!F:F)</f>
        <v>Graduate Degree</v>
      </c>
      <c r="G312" s="8" t="str">
        <f>_xlfn.XLOOKUP($A312,'RAWDATA Cars Buyers DB'!$A:$A,'RAWDATA Cars Buyers DB'!G:G)</f>
        <v>Skilled Manual</v>
      </c>
      <c r="H312" s="8" t="str">
        <f>_xlfn.XLOOKUP($A312,'RAWDATA Cars Buyers DB'!$A:$A,'RAWDATA Cars Buyers DB'!H:H)</f>
        <v>No</v>
      </c>
      <c r="I312" s="8" t="str">
        <f>_xlfn.XLOOKUP($A312,'RAWDATA Cars Buyers DB'!$A:$A,'RAWDATA Cars Buyers DB'!I:I)</f>
        <v>2–4 Kilometre</v>
      </c>
      <c r="J312" s="8" t="str">
        <f>_xlfn.XLOOKUP($A312,'RAWDATA Cars Buyers DB'!$A:$A,'RAWDATA Cars Buyers DB'!J:J)</f>
        <v>Schleswig-Holstein</v>
      </c>
      <c r="K312" s="8">
        <f>_xlfn.XLOOKUP($A312,'RAWDATA Cars Buyers DB'!$A:$A,'RAWDATA Cars Buyers DB'!K:K)</f>
        <v>28</v>
      </c>
      <c r="L312" s="10" t="str">
        <f>IF(_xlfn.XLOOKUP($A312,'RAWDATA Cars Buyers DB'!$A:$A,'RAWDATA Cars Buyers DB'!K:K)&gt;54,"Old ",IF(_xlfn.XLOOKUP($A312,'RAWDATA Cars Buyers DB'!$A:$A,'RAWDATA Cars Buyers DB'!K:K)&gt;=31,"Middle Age ",IF(_xlfn.XLOOKUP($A312,'RAWDATA Cars Buyers DB'!$A:$A,'RAWDATA Cars Buyers DB'!K:K)&lt;31,"Adolescent","Invalid")))</f>
        <v>Adolescent</v>
      </c>
      <c r="M312" s="8" t="str">
        <f>_xlfn.XLOOKUP($A312,'RAWDATA Cars Buyers DB'!$A:$A,'RAWDATA Cars Buyers DB'!L:L)</f>
        <v>Yes</v>
      </c>
    </row>
    <row r="313" spans="1:13">
      <c r="A313" s="6">
        <v>15600</v>
      </c>
      <c r="B313" s="10" t="str">
        <f>IF(_xlfn.XLOOKUP($A313,'RAWDATA Cars Buyers DB'!$A:$A,'RAWDATA Cars Buyers DB'!B:B)="S","Single","Married")</f>
        <v>Married</v>
      </c>
      <c r="C313" s="10" t="str">
        <f>IF(_xlfn.XLOOKUP($A313,'RAWDATA Cars Buyers DB'!$A:$A,'RAWDATA Cars Buyers DB'!C:C)="F","Female","Male")</f>
        <v>Female</v>
      </c>
      <c r="D313" s="7">
        <f>_xlfn.XLOOKUP($A313,'RAWDATA Cars Buyers DB'!$A:$A,'RAWDATA Cars Buyers DB'!D:D)</f>
        <v>87496</v>
      </c>
      <c r="E313" s="8">
        <f>_xlfn.XLOOKUP($A313,'RAWDATA Cars Buyers DB'!$A:$A,'RAWDATA Cars Buyers DB'!E:E)</f>
        <v>4</v>
      </c>
      <c r="F313" s="8" t="str">
        <f>_xlfn.XLOOKUP($A313,'RAWDATA Cars Buyers DB'!$A:$A,'RAWDATA Cars Buyers DB'!F:F)</f>
        <v>Graduate Degree</v>
      </c>
      <c r="G313" s="8" t="str">
        <f>_xlfn.XLOOKUP($A313,'RAWDATA Cars Buyers DB'!$A:$A,'RAWDATA Cars Buyers DB'!G:G)</f>
        <v>Skilled Manual</v>
      </c>
      <c r="H313" s="8" t="str">
        <f>_xlfn.XLOOKUP($A313,'RAWDATA Cars Buyers DB'!$A:$A,'RAWDATA Cars Buyers DB'!H:H)</f>
        <v>Yes</v>
      </c>
      <c r="I313" s="8" t="str">
        <f>_xlfn.XLOOKUP($A313,'RAWDATA Cars Buyers DB'!$A:$A,'RAWDATA Cars Buyers DB'!I:I)</f>
        <v>2–4 Kilometre</v>
      </c>
      <c r="J313" s="8" t="str">
        <f>_xlfn.XLOOKUP($A313,'RAWDATA Cars Buyers DB'!$A:$A,'RAWDATA Cars Buyers DB'!J:J)</f>
        <v>Baden-Württemberg</v>
      </c>
      <c r="K313" s="8">
        <f>_xlfn.XLOOKUP($A313,'RAWDATA Cars Buyers DB'!$A:$A,'RAWDATA Cars Buyers DB'!K:K)</f>
        <v>38</v>
      </c>
      <c r="L313" s="10" t="str">
        <f>IF(_xlfn.XLOOKUP($A313,'RAWDATA Cars Buyers DB'!$A:$A,'RAWDATA Cars Buyers DB'!K:K)&gt;54,"Old ",IF(_xlfn.XLOOKUP($A313,'RAWDATA Cars Buyers DB'!$A:$A,'RAWDATA Cars Buyers DB'!K:K)&gt;=31,"Middle Age ",IF(_xlfn.XLOOKUP($A313,'RAWDATA Cars Buyers DB'!$A:$A,'RAWDATA Cars Buyers DB'!K:K)&lt;31,"Adolescent","Invalid")))</f>
        <v xml:space="preserve">Middle Age </v>
      </c>
      <c r="M313" s="8" t="str">
        <f>_xlfn.XLOOKUP($A313,'RAWDATA Cars Buyers DB'!$A:$A,'RAWDATA Cars Buyers DB'!L:L)</f>
        <v>Yes</v>
      </c>
    </row>
    <row r="314" spans="1:13">
      <c r="A314" s="6">
        <v>50764</v>
      </c>
      <c r="B314" s="10" t="str">
        <f>IF(_xlfn.XLOOKUP($A314,'RAWDATA Cars Buyers DB'!$A:$A,'RAWDATA Cars Buyers DB'!B:B)="S","Single","Married")</f>
        <v>Single</v>
      </c>
      <c r="C314" s="10" t="str">
        <f>IF(_xlfn.XLOOKUP($A314,'RAWDATA Cars Buyers DB'!$A:$A,'RAWDATA Cars Buyers DB'!C:C)="F","Female","Male")</f>
        <v>Male</v>
      </c>
      <c r="D314" s="7">
        <f>_xlfn.XLOOKUP($A314,'RAWDATA Cars Buyers DB'!$A:$A,'RAWDATA Cars Buyers DB'!D:D)</f>
        <v>86093</v>
      </c>
      <c r="E314" s="8">
        <f>_xlfn.XLOOKUP($A314,'RAWDATA Cars Buyers DB'!$A:$A,'RAWDATA Cars Buyers DB'!E:E)</f>
        <v>0</v>
      </c>
      <c r="F314" s="8" t="str">
        <f>_xlfn.XLOOKUP($A314,'RAWDATA Cars Buyers DB'!$A:$A,'RAWDATA Cars Buyers DB'!F:F)</f>
        <v>Graduate Degree</v>
      </c>
      <c r="G314" s="8" t="str">
        <f>_xlfn.XLOOKUP($A314,'RAWDATA Cars Buyers DB'!$A:$A,'RAWDATA Cars Buyers DB'!G:G)</f>
        <v>Clerical</v>
      </c>
      <c r="H314" s="8" t="str">
        <f>_xlfn.XLOOKUP($A314,'RAWDATA Cars Buyers DB'!$A:$A,'RAWDATA Cars Buyers DB'!H:H)</f>
        <v>No</v>
      </c>
      <c r="I314" s="8" t="str">
        <f>_xlfn.XLOOKUP($A314,'RAWDATA Cars Buyers DB'!$A:$A,'RAWDATA Cars Buyers DB'!I:I)</f>
        <v>0–1 Kilometre</v>
      </c>
      <c r="J314" s="8" t="str">
        <f>_xlfn.XLOOKUP($A314,'RAWDATA Cars Buyers DB'!$A:$A,'RAWDATA Cars Buyers DB'!J:J)</f>
        <v>Rhineland-Palatinate</v>
      </c>
      <c r="K314" s="8">
        <f>_xlfn.XLOOKUP($A314,'RAWDATA Cars Buyers DB'!$A:$A,'RAWDATA Cars Buyers DB'!K:K)</f>
        <v>64</v>
      </c>
      <c r="L314" s="10" t="str">
        <f>IF(_xlfn.XLOOKUP($A314,'RAWDATA Cars Buyers DB'!$A:$A,'RAWDATA Cars Buyers DB'!K:K)&gt;54,"Old ",IF(_xlfn.XLOOKUP($A314,'RAWDATA Cars Buyers DB'!$A:$A,'RAWDATA Cars Buyers DB'!K:K)&gt;=31,"Middle Age ",IF(_xlfn.XLOOKUP($A314,'RAWDATA Cars Buyers DB'!$A:$A,'RAWDATA Cars Buyers DB'!K:K)&lt;31,"Adolescent","Invalid")))</f>
        <v xml:space="preserve">Old </v>
      </c>
      <c r="M314" s="8" t="str">
        <f>_xlfn.XLOOKUP($A314,'RAWDATA Cars Buyers DB'!$A:$A,'RAWDATA Cars Buyers DB'!L:L)</f>
        <v>No</v>
      </c>
    </row>
    <row r="315" spans="1:13">
      <c r="A315" s="6">
        <v>84543</v>
      </c>
      <c r="B315" s="10" t="str">
        <f>IF(_xlfn.XLOOKUP($A315,'RAWDATA Cars Buyers DB'!$A:$A,'RAWDATA Cars Buyers DB'!B:B)="S","Single","Married")</f>
        <v>Married</v>
      </c>
      <c r="C315" s="10" t="str">
        <f>IF(_xlfn.XLOOKUP($A315,'RAWDATA Cars Buyers DB'!$A:$A,'RAWDATA Cars Buyers DB'!C:C)="F","Female","Male")</f>
        <v>Female</v>
      </c>
      <c r="D315" s="7">
        <f>_xlfn.XLOOKUP($A315,'RAWDATA Cars Buyers DB'!$A:$A,'RAWDATA Cars Buyers DB'!D:D)</f>
        <v>49689</v>
      </c>
      <c r="E315" s="8">
        <f>_xlfn.XLOOKUP($A315,'RAWDATA Cars Buyers DB'!$A:$A,'RAWDATA Cars Buyers DB'!E:E)</f>
        <v>1</v>
      </c>
      <c r="F315" s="8" t="str">
        <f>_xlfn.XLOOKUP($A315,'RAWDATA Cars Buyers DB'!$A:$A,'RAWDATA Cars Buyers DB'!F:F)</f>
        <v>Bachelors</v>
      </c>
      <c r="G315" s="8" t="str">
        <f>_xlfn.XLOOKUP($A315,'RAWDATA Cars Buyers DB'!$A:$A,'RAWDATA Cars Buyers DB'!G:G)</f>
        <v>Professional</v>
      </c>
      <c r="H315" s="8" t="str">
        <f>_xlfn.XLOOKUP($A315,'RAWDATA Cars Buyers DB'!$A:$A,'RAWDATA Cars Buyers DB'!H:H)</f>
        <v>No</v>
      </c>
      <c r="I315" s="8" t="str">
        <f>_xlfn.XLOOKUP($A315,'RAWDATA Cars Buyers DB'!$A:$A,'RAWDATA Cars Buyers DB'!I:I)</f>
        <v>4–6 Kilometre</v>
      </c>
      <c r="J315" s="8" t="str">
        <f>_xlfn.XLOOKUP($A315,'RAWDATA Cars Buyers DB'!$A:$A,'RAWDATA Cars Buyers DB'!J:J)</f>
        <v>Lower Saxony</v>
      </c>
      <c r="K315" s="8">
        <f>_xlfn.XLOOKUP($A315,'RAWDATA Cars Buyers DB'!$A:$A,'RAWDATA Cars Buyers DB'!K:K)</f>
        <v>59</v>
      </c>
      <c r="L315" s="10" t="str">
        <f>IF(_xlfn.XLOOKUP($A315,'RAWDATA Cars Buyers DB'!$A:$A,'RAWDATA Cars Buyers DB'!K:K)&gt;54,"Old ",IF(_xlfn.XLOOKUP($A315,'RAWDATA Cars Buyers DB'!$A:$A,'RAWDATA Cars Buyers DB'!K:K)&gt;=31,"Middle Age ",IF(_xlfn.XLOOKUP($A315,'RAWDATA Cars Buyers DB'!$A:$A,'RAWDATA Cars Buyers DB'!K:K)&lt;31,"Adolescent","Invalid")))</f>
        <v xml:space="preserve">Old </v>
      </c>
      <c r="M315" s="8" t="str">
        <f>_xlfn.XLOOKUP($A315,'RAWDATA Cars Buyers DB'!$A:$A,'RAWDATA Cars Buyers DB'!L:L)</f>
        <v>Yes</v>
      </c>
    </row>
    <row r="316" spans="1:13">
      <c r="A316" s="6">
        <v>55714</v>
      </c>
      <c r="B316" s="10" t="str">
        <f>IF(_xlfn.XLOOKUP($A316,'RAWDATA Cars Buyers DB'!$A:$A,'RAWDATA Cars Buyers DB'!B:B)="S","Single","Married")</f>
        <v>Married</v>
      </c>
      <c r="C316" s="10" t="str">
        <f>IF(_xlfn.XLOOKUP($A316,'RAWDATA Cars Buyers DB'!$A:$A,'RAWDATA Cars Buyers DB'!C:C)="F","Female","Male")</f>
        <v>Male</v>
      </c>
      <c r="D316" s="7">
        <f>_xlfn.XLOOKUP($A316,'RAWDATA Cars Buyers DB'!$A:$A,'RAWDATA Cars Buyers DB'!D:D)</f>
        <v>68651</v>
      </c>
      <c r="E316" s="8">
        <f>_xlfn.XLOOKUP($A316,'RAWDATA Cars Buyers DB'!$A:$A,'RAWDATA Cars Buyers DB'!E:E)</f>
        <v>2</v>
      </c>
      <c r="F316" s="8" t="str">
        <f>_xlfn.XLOOKUP($A316,'RAWDATA Cars Buyers DB'!$A:$A,'RAWDATA Cars Buyers DB'!F:F)</f>
        <v>Partial College</v>
      </c>
      <c r="G316" s="8" t="str">
        <f>_xlfn.XLOOKUP($A316,'RAWDATA Cars Buyers DB'!$A:$A,'RAWDATA Cars Buyers DB'!G:G)</f>
        <v>Professional</v>
      </c>
      <c r="H316" s="8" t="str">
        <f>_xlfn.XLOOKUP($A316,'RAWDATA Cars Buyers DB'!$A:$A,'RAWDATA Cars Buyers DB'!H:H)</f>
        <v>No</v>
      </c>
      <c r="I316" s="8" t="str">
        <f>_xlfn.XLOOKUP($A316,'RAWDATA Cars Buyers DB'!$A:$A,'RAWDATA Cars Buyers DB'!I:I)</f>
        <v>6+ Kilometre</v>
      </c>
      <c r="J316" s="8" t="str">
        <f>_xlfn.XLOOKUP($A316,'RAWDATA Cars Buyers DB'!$A:$A,'RAWDATA Cars Buyers DB'!J:J)</f>
        <v>Mecklenburg-Vorpommern</v>
      </c>
      <c r="K316" s="8">
        <f>_xlfn.XLOOKUP($A316,'RAWDATA Cars Buyers DB'!$A:$A,'RAWDATA Cars Buyers DB'!K:K)</f>
        <v>41</v>
      </c>
      <c r="L316" s="10" t="str">
        <f>IF(_xlfn.XLOOKUP($A316,'RAWDATA Cars Buyers DB'!$A:$A,'RAWDATA Cars Buyers DB'!K:K)&gt;54,"Old ",IF(_xlfn.XLOOKUP($A316,'RAWDATA Cars Buyers DB'!$A:$A,'RAWDATA Cars Buyers DB'!K:K)&gt;=31,"Middle Age ",IF(_xlfn.XLOOKUP($A316,'RAWDATA Cars Buyers DB'!$A:$A,'RAWDATA Cars Buyers DB'!K:K)&lt;31,"Adolescent","Invalid")))</f>
        <v xml:space="preserve">Middle Age </v>
      </c>
      <c r="M316" s="8" t="str">
        <f>_xlfn.XLOOKUP($A316,'RAWDATA Cars Buyers DB'!$A:$A,'RAWDATA Cars Buyers DB'!L:L)</f>
        <v>Yes</v>
      </c>
    </row>
    <row r="317" spans="1:13">
      <c r="A317" s="6">
        <v>66835</v>
      </c>
      <c r="B317" s="10" t="str">
        <f>IF(_xlfn.XLOOKUP($A317,'RAWDATA Cars Buyers DB'!$A:$A,'RAWDATA Cars Buyers DB'!B:B)="S","Single","Married")</f>
        <v>Married</v>
      </c>
      <c r="C317" s="10" t="str">
        <f>IF(_xlfn.XLOOKUP($A317,'RAWDATA Cars Buyers DB'!$A:$A,'RAWDATA Cars Buyers DB'!C:C)="F","Female","Male")</f>
        <v>Female</v>
      </c>
      <c r="D317" s="7">
        <f>_xlfn.XLOOKUP($A317,'RAWDATA Cars Buyers DB'!$A:$A,'RAWDATA Cars Buyers DB'!D:D)</f>
        <v>33893</v>
      </c>
      <c r="E317" s="8">
        <f>_xlfn.XLOOKUP($A317,'RAWDATA Cars Buyers DB'!$A:$A,'RAWDATA Cars Buyers DB'!E:E)</f>
        <v>4</v>
      </c>
      <c r="F317" s="8" t="str">
        <f>_xlfn.XLOOKUP($A317,'RAWDATA Cars Buyers DB'!$A:$A,'RAWDATA Cars Buyers DB'!F:F)</f>
        <v>High School</v>
      </c>
      <c r="G317" s="8" t="str">
        <f>_xlfn.XLOOKUP($A317,'RAWDATA Cars Buyers DB'!$A:$A,'RAWDATA Cars Buyers DB'!G:G)</f>
        <v>Clerical</v>
      </c>
      <c r="H317" s="8" t="str">
        <f>_xlfn.XLOOKUP($A317,'RAWDATA Cars Buyers DB'!$A:$A,'RAWDATA Cars Buyers DB'!H:H)</f>
        <v>No</v>
      </c>
      <c r="I317" s="8" t="str">
        <f>_xlfn.XLOOKUP($A317,'RAWDATA Cars Buyers DB'!$A:$A,'RAWDATA Cars Buyers DB'!I:I)</f>
        <v>0–1 Kilometre</v>
      </c>
      <c r="J317" s="8" t="str">
        <f>_xlfn.XLOOKUP($A317,'RAWDATA Cars Buyers DB'!$A:$A,'RAWDATA Cars Buyers DB'!J:J)</f>
        <v>Hamburg</v>
      </c>
      <c r="K317" s="8">
        <f>_xlfn.XLOOKUP($A317,'RAWDATA Cars Buyers DB'!$A:$A,'RAWDATA Cars Buyers DB'!K:K)</f>
        <v>37</v>
      </c>
      <c r="L317" s="10" t="str">
        <f>IF(_xlfn.XLOOKUP($A317,'RAWDATA Cars Buyers DB'!$A:$A,'RAWDATA Cars Buyers DB'!K:K)&gt;54,"Old ",IF(_xlfn.XLOOKUP($A317,'RAWDATA Cars Buyers DB'!$A:$A,'RAWDATA Cars Buyers DB'!K:K)&gt;=31,"Middle Age ",IF(_xlfn.XLOOKUP($A317,'RAWDATA Cars Buyers DB'!$A:$A,'RAWDATA Cars Buyers DB'!K:K)&lt;31,"Adolescent","Invalid")))</f>
        <v xml:space="preserve">Middle Age </v>
      </c>
      <c r="M317" s="8" t="str">
        <f>_xlfn.XLOOKUP($A317,'RAWDATA Cars Buyers DB'!$A:$A,'RAWDATA Cars Buyers DB'!L:L)</f>
        <v>No</v>
      </c>
    </row>
    <row r="318" spans="1:13">
      <c r="A318" s="6">
        <v>83744</v>
      </c>
      <c r="B318" s="10" t="str">
        <f>IF(_xlfn.XLOOKUP($A318,'RAWDATA Cars Buyers DB'!$A:$A,'RAWDATA Cars Buyers DB'!B:B)="S","Single","Married")</f>
        <v>Married</v>
      </c>
      <c r="C318" s="10" t="str">
        <f>IF(_xlfn.XLOOKUP($A318,'RAWDATA Cars Buyers DB'!$A:$A,'RAWDATA Cars Buyers DB'!C:C)="F","Female","Male")</f>
        <v>Female</v>
      </c>
      <c r="D318" s="7">
        <f>_xlfn.XLOOKUP($A318,'RAWDATA Cars Buyers DB'!$A:$A,'RAWDATA Cars Buyers DB'!D:D)</f>
        <v>117808</v>
      </c>
      <c r="E318" s="8">
        <f>_xlfn.XLOOKUP($A318,'RAWDATA Cars Buyers DB'!$A:$A,'RAWDATA Cars Buyers DB'!E:E)</f>
        <v>1</v>
      </c>
      <c r="F318" s="8" t="str">
        <f>_xlfn.XLOOKUP($A318,'RAWDATA Cars Buyers DB'!$A:$A,'RAWDATA Cars Buyers DB'!F:F)</f>
        <v>Bachelors</v>
      </c>
      <c r="G318" s="8" t="str">
        <f>_xlfn.XLOOKUP($A318,'RAWDATA Cars Buyers DB'!$A:$A,'RAWDATA Cars Buyers DB'!G:G)</f>
        <v>Clerical</v>
      </c>
      <c r="H318" s="8" t="str">
        <f>_xlfn.XLOOKUP($A318,'RAWDATA Cars Buyers DB'!$A:$A,'RAWDATA Cars Buyers DB'!H:H)</f>
        <v>Yes</v>
      </c>
      <c r="I318" s="8" t="str">
        <f>_xlfn.XLOOKUP($A318,'RAWDATA Cars Buyers DB'!$A:$A,'RAWDATA Cars Buyers DB'!I:I)</f>
        <v>2–4 Kilometre</v>
      </c>
      <c r="J318" s="8" t="str">
        <f>_xlfn.XLOOKUP($A318,'RAWDATA Cars Buyers DB'!$A:$A,'RAWDATA Cars Buyers DB'!J:J)</f>
        <v>Lower Saxony</v>
      </c>
      <c r="K318" s="8">
        <f>_xlfn.XLOOKUP($A318,'RAWDATA Cars Buyers DB'!$A:$A,'RAWDATA Cars Buyers DB'!K:K)</f>
        <v>42</v>
      </c>
      <c r="L318" s="10" t="str">
        <f>IF(_xlfn.XLOOKUP($A318,'RAWDATA Cars Buyers DB'!$A:$A,'RAWDATA Cars Buyers DB'!K:K)&gt;54,"Old ",IF(_xlfn.XLOOKUP($A318,'RAWDATA Cars Buyers DB'!$A:$A,'RAWDATA Cars Buyers DB'!K:K)&gt;=31,"Middle Age ",IF(_xlfn.XLOOKUP($A318,'RAWDATA Cars Buyers DB'!$A:$A,'RAWDATA Cars Buyers DB'!K:K)&lt;31,"Adolescent","Invalid")))</f>
        <v xml:space="preserve">Middle Age </v>
      </c>
      <c r="M318" s="8" t="str">
        <f>_xlfn.XLOOKUP($A318,'RAWDATA Cars Buyers DB'!$A:$A,'RAWDATA Cars Buyers DB'!L:L)</f>
        <v>Yes</v>
      </c>
    </row>
    <row r="319" spans="1:13">
      <c r="A319" s="6">
        <v>66491</v>
      </c>
      <c r="B319" s="10" t="str">
        <f>IF(_xlfn.XLOOKUP($A319,'RAWDATA Cars Buyers DB'!$A:$A,'RAWDATA Cars Buyers DB'!B:B)="S","Single","Married")</f>
        <v>Married</v>
      </c>
      <c r="C319" s="10" t="str">
        <f>IF(_xlfn.XLOOKUP($A319,'RAWDATA Cars Buyers DB'!$A:$A,'RAWDATA Cars Buyers DB'!C:C)="F","Female","Male")</f>
        <v>Male</v>
      </c>
      <c r="D319" s="7">
        <f>_xlfn.XLOOKUP($A319,'RAWDATA Cars Buyers DB'!$A:$A,'RAWDATA Cars Buyers DB'!D:D)</f>
        <v>86418</v>
      </c>
      <c r="E319" s="8">
        <f>_xlfn.XLOOKUP($A319,'RAWDATA Cars Buyers DB'!$A:$A,'RAWDATA Cars Buyers DB'!E:E)</f>
        <v>4</v>
      </c>
      <c r="F319" s="8" t="str">
        <f>_xlfn.XLOOKUP($A319,'RAWDATA Cars Buyers DB'!$A:$A,'RAWDATA Cars Buyers DB'!F:F)</f>
        <v>Graduate Degree</v>
      </c>
      <c r="G319" s="8" t="str">
        <f>_xlfn.XLOOKUP($A319,'RAWDATA Cars Buyers DB'!$A:$A,'RAWDATA Cars Buyers DB'!G:G)</f>
        <v>Professional</v>
      </c>
      <c r="H319" s="8" t="str">
        <f>_xlfn.XLOOKUP($A319,'RAWDATA Cars Buyers DB'!$A:$A,'RAWDATA Cars Buyers DB'!H:H)</f>
        <v>No</v>
      </c>
      <c r="I319" s="8" t="str">
        <f>_xlfn.XLOOKUP($A319,'RAWDATA Cars Buyers DB'!$A:$A,'RAWDATA Cars Buyers DB'!I:I)</f>
        <v>4–6 Kilometre</v>
      </c>
      <c r="J319" s="8" t="str">
        <f>_xlfn.XLOOKUP($A319,'RAWDATA Cars Buyers DB'!$A:$A,'RAWDATA Cars Buyers DB'!J:J)</f>
        <v>Thuringia</v>
      </c>
      <c r="K319" s="8">
        <f>_xlfn.XLOOKUP($A319,'RAWDATA Cars Buyers DB'!$A:$A,'RAWDATA Cars Buyers DB'!K:K)</f>
        <v>21</v>
      </c>
      <c r="L319" s="10" t="str">
        <f>IF(_xlfn.XLOOKUP($A319,'RAWDATA Cars Buyers DB'!$A:$A,'RAWDATA Cars Buyers DB'!K:K)&gt;54,"Old ",IF(_xlfn.XLOOKUP($A319,'RAWDATA Cars Buyers DB'!$A:$A,'RAWDATA Cars Buyers DB'!K:K)&gt;=31,"Middle Age ",IF(_xlfn.XLOOKUP($A319,'RAWDATA Cars Buyers DB'!$A:$A,'RAWDATA Cars Buyers DB'!K:K)&lt;31,"Adolescent","Invalid")))</f>
        <v>Adolescent</v>
      </c>
      <c r="M319" s="8" t="str">
        <f>_xlfn.XLOOKUP($A319,'RAWDATA Cars Buyers DB'!$A:$A,'RAWDATA Cars Buyers DB'!L:L)</f>
        <v>No</v>
      </c>
    </row>
    <row r="320" spans="1:13">
      <c r="A320" s="6">
        <v>28589</v>
      </c>
      <c r="B320" s="10" t="str">
        <f>IF(_xlfn.XLOOKUP($A320,'RAWDATA Cars Buyers DB'!$A:$A,'RAWDATA Cars Buyers DB'!B:B)="S","Single","Married")</f>
        <v>Single</v>
      </c>
      <c r="C320" s="10" t="str">
        <f>IF(_xlfn.XLOOKUP($A320,'RAWDATA Cars Buyers DB'!$A:$A,'RAWDATA Cars Buyers DB'!C:C)="F","Female","Male")</f>
        <v>Female</v>
      </c>
      <c r="D320" s="7">
        <f>_xlfn.XLOOKUP($A320,'RAWDATA Cars Buyers DB'!$A:$A,'RAWDATA Cars Buyers DB'!D:D)</f>
        <v>80011</v>
      </c>
      <c r="E320" s="8">
        <f>_xlfn.XLOOKUP($A320,'RAWDATA Cars Buyers DB'!$A:$A,'RAWDATA Cars Buyers DB'!E:E)</f>
        <v>1</v>
      </c>
      <c r="F320" s="8" t="str">
        <f>_xlfn.XLOOKUP($A320,'RAWDATA Cars Buyers DB'!$A:$A,'RAWDATA Cars Buyers DB'!F:F)</f>
        <v>Bachelors</v>
      </c>
      <c r="G320" s="8" t="str">
        <f>_xlfn.XLOOKUP($A320,'RAWDATA Cars Buyers DB'!$A:$A,'RAWDATA Cars Buyers DB'!G:G)</f>
        <v>Skilled Manual</v>
      </c>
      <c r="H320" s="8" t="str">
        <f>_xlfn.XLOOKUP($A320,'RAWDATA Cars Buyers DB'!$A:$A,'RAWDATA Cars Buyers DB'!H:H)</f>
        <v>Yes</v>
      </c>
      <c r="I320" s="8" t="str">
        <f>_xlfn.XLOOKUP($A320,'RAWDATA Cars Buyers DB'!$A:$A,'RAWDATA Cars Buyers DB'!I:I)</f>
        <v>6+ Kilometre</v>
      </c>
      <c r="J320" s="8" t="str">
        <f>_xlfn.XLOOKUP($A320,'RAWDATA Cars Buyers DB'!$A:$A,'RAWDATA Cars Buyers DB'!J:J)</f>
        <v>Thuringia</v>
      </c>
      <c r="K320" s="8">
        <f>_xlfn.XLOOKUP($A320,'RAWDATA Cars Buyers DB'!$A:$A,'RAWDATA Cars Buyers DB'!K:K)</f>
        <v>69</v>
      </c>
      <c r="L320" s="10" t="str">
        <f>IF(_xlfn.XLOOKUP($A320,'RAWDATA Cars Buyers DB'!$A:$A,'RAWDATA Cars Buyers DB'!K:K)&gt;54,"Old ",IF(_xlfn.XLOOKUP($A320,'RAWDATA Cars Buyers DB'!$A:$A,'RAWDATA Cars Buyers DB'!K:K)&gt;=31,"Middle Age ",IF(_xlfn.XLOOKUP($A320,'RAWDATA Cars Buyers DB'!$A:$A,'RAWDATA Cars Buyers DB'!K:K)&lt;31,"Adolescent","Invalid")))</f>
        <v xml:space="preserve">Old </v>
      </c>
      <c r="M320" s="8" t="str">
        <f>_xlfn.XLOOKUP($A320,'RAWDATA Cars Buyers DB'!$A:$A,'RAWDATA Cars Buyers DB'!L:L)</f>
        <v>Yes</v>
      </c>
    </row>
    <row r="321" spans="1:13">
      <c r="A321" s="6">
        <v>53484</v>
      </c>
      <c r="B321" s="10" t="str">
        <f>IF(_xlfn.XLOOKUP($A321,'RAWDATA Cars Buyers DB'!$A:$A,'RAWDATA Cars Buyers DB'!B:B)="S","Single","Married")</f>
        <v>Married</v>
      </c>
      <c r="C321" s="10" t="str">
        <f>IF(_xlfn.XLOOKUP($A321,'RAWDATA Cars Buyers DB'!$A:$A,'RAWDATA Cars Buyers DB'!C:C)="F","Female","Male")</f>
        <v>Female</v>
      </c>
      <c r="D321" s="7">
        <f>_xlfn.XLOOKUP($A321,'RAWDATA Cars Buyers DB'!$A:$A,'RAWDATA Cars Buyers DB'!D:D)</f>
        <v>58635</v>
      </c>
      <c r="E321" s="8">
        <f>_xlfn.XLOOKUP($A321,'RAWDATA Cars Buyers DB'!$A:$A,'RAWDATA Cars Buyers DB'!E:E)</f>
        <v>2</v>
      </c>
      <c r="F321" s="8" t="str">
        <f>_xlfn.XLOOKUP($A321,'RAWDATA Cars Buyers DB'!$A:$A,'RAWDATA Cars Buyers DB'!F:F)</f>
        <v>Graduate Degree</v>
      </c>
      <c r="G321" s="8" t="str">
        <f>_xlfn.XLOOKUP($A321,'RAWDATA Cars Buyers DB'!$A:$A,'RAWDATA Cars Buyers DB'!G:G)</f>
        <v>Skilled Manual</v>
      </c>
      <c r="H321" s="8" t="str">
        <f>_xlfn.XLOOKUP($A321,'RAWDATA Cars Buyers DB'!$A:$A,'RAWDATA Cars Buyers DB'!H:H)</f>
        <v>No</v>
      </c>
      <c r="I321" s="8" t="str">
        <f>_xlfn.XLOOKUP($A321,'RAWDATA Cars Buyers DB'!$A:$A,'RAWDATA Cars Buyers DB'!I:I)</f>
        <v>1–2 Kilometre</v>
      </c>
      <c r="J321" s="8" t="str">
        <f>_xlfn.XLOOKUP($A321,'RAWDATA Cars Buyers DB'!$A:$A,'RAWDATA Cars Buyers DB'!J:J)</f>
        <v>Saarland</v>
      </c>
      <c r="K321" s="8">
        <f>_xlfn.XLOOKUP($A321,'RAWDATA Cars Buyers DB'!$A:$A,'RAWDATA Cars Buyers DB'!K:K)</f>
        <v>69</v>
      </c>
      <c r="L321" s="10" t="str">
        <f>IF(_xlfn.XLOOKUP($A321,'RAWDATA Cars Buyers DB'!$A:$A,'RAWDATA Cars Buyers DB'!K:K)&gt;54,"Old ",IF(_xlfn.XLOOKUP($A321,'RAWDATA Cars Buyers DB'!$A:$A,'RAWDATA Cars Buyers DB'!K:K)&gt;=31,"Middle Age ",IF(_xlfn.XLOOKUP($A321,'RAWDATA Cars Buyers DB'!$A:$A,'RAWDATA Cars Buyers DB'!K:K)&lt;31,"Adolescent","Invalid")))</f>
        <v xml:space="preserve">Old </v>
      </c>
      <c r="M321" s="8" t="str">
        <f>_xlfn.XLOOKUP($A321,'RAWDATA Cars Buyers DB'!$A:$A,'RAWDATA Cars Buyers DB'!L:L)</f>
        <v>No</v>
      </c>
    </row>
    <row r="322" spans="1:13">
      <c r="A322" s="6">
        <v>92989</v>
      </c>
      <c r="B322" s="10" t="str">
        <f>IF(_xlfn.XLOOKUP($A322,'RAWDATA Cars Buyers DB'!$A:$A,'RAWDATA Cars Buyers DB'!B:B)="S","Single","Married")</f>
        <v>Married</v>
      </c>
      <c r="C322" s="10" t="str">
        <f>IF(_xlfn.XLOOKUP($A322,'RAWDATA Cars Buyers DB'!$A:$A,'RAWDATA Cars Buyers DB'!C:C)="F","Female","Male")</f>
        <v>Female</v>
      </c>
      <c r="D322" s="7">
        <f>_xlfn.XLOOKUP($A322,'RAWDATA Cars Buyers DB'!$A:$A,'RAWDATA Cars Buyers DB'!D:D)</f>
        <v>76115</v>
      </c>
      <c r="E322" s="8">
        <f>_xlfn.XLOOKUP($A322,'RAWDATA Cars Buyers DB'!$A:$A,'RAWDATA Cars Buyers DB'!E:E)</f>
        <v>2</v>
      </c>
      <c r="F322" s="8" t="str">
        <f>_xlfn.XLOOKUP($A322,'RAWDATA Cars Buyers DB'!$A:$A,'RAWDATA Cars Buyers DB'!F:F)</f>
        <v>High School</v>
      </c>
      <c r="G322" s="8" t="str">
        <f>_xlfn.XLOOKUP($A322,'RAWDATA Cars Buyers DB'!$A:$A,'RAWDATA Cars Buyers DB'!G:G)</f>
        <v>Professional</v>
      </c>
      <c r="H322" s="8" t="str">
        <f>_xlfn.XLOOKUP($A322,'RAWDATA Cars Buyers DB'!$A:$A,'RAWDATA Cars Buyers DB'!H:H)</f>
        <v>No</v>
      </c>
      <c r="I322" s="8" t="str">
        <f>_xlfn.XLOOKUP($A322,'RAWDATA Cars Buyers DB'!$A:$A,'RAWDATA Cars Buyers DB'!I:I)</f>
        <v>4–6 Kilometre</v>
      </c>
      <c r="J322" s="8" t="str">
        <f>_xlfn.XLOOKUP($A322,'RAWDATA Cars Buyers DB'!$A:$A,'RAWDATA Cars Buyers DB'!J:J)</f>
        <v>Bavaria</v>
      </c>
      <c r="K322" s="8">
        <f>_xlfn.XLOOKUP($A322,'RAWDATA Cars Buyers DB'!$A:$A,'RAWDATA Cars Buyers DB'!K:K)</f>
        <v>30</v>
      </c>
      <c r="L322" s="10" t="str">
        <f>IF(_xlfn.XLOOKUP($A322,'RAWDATA Cars Buyers DB'!$A:$A,'RAWDATA Cars Buyers DB'!K:K)&gt;54,"Old ",IF(_xlfn.XLOOKUP($A322,'RAWDATA Cars Buyers DB'!$A:$A,'RAWDATA Cars Buyers DB'!K:K)&gt;=31,"Middle Age ",IF(_xlfn.XLOOKUP($A322,'RAWDATA Cars Buyers DB'!$A:$A,'RAWDATA Cars Buyers DB'!K:K)&lt;31,"Adolescent","Invalid")))</f>
        <v>Adolescent</v>
      </c>
      <c r="M322" s="8" t="str">
        <f>_xlfn.XLOOKUP($A322,'RAWDATA Cars Buyers DB'!$A:$A,'RAWDATA Cars Buyers DB'!L:L)</f>
        <v>No</v>
      </c>
    </row>
    <row r="323" spans="1:13">
      <c r="A323" s="6">
        <v>46212</v>
      </c>
      <c r="B323" s="10" t="str">
        <f>IF(_xlfn.XLOOKUP($A323,'RAWDATA Cars Buyers DB'!$A:$A,'RAWDATA Cars Buyers DB'!B:B)="S","Single","Married")</f>
        <v>Married</v>
      </c>
      <c r="C323" s="10" t="str">
        <f>IF(_xlfn.XLOOKUP($A323,'RAWDATA Cars Buyers DB'!$A:$A,'RAWDATA Cars Buyers DB'!C:C)="F","Female","Male")</f>
        <v>Female</v>
      </c>
      <c r="D323" s="7">
        <f>_xlfn.XLOOKUP($A323,'RAWDATA Cars Buyers DB'!$A:$A,'RAWDATA Cars Buyers DB'!D:D)</f>
        <v>115071</v>
      </c>
      <c r="E323" s="8">
        <f>_xlfn.XLOOKUP($A323,'RAWDATA Cars Buyers DB'!$A:$A,'RAWDATA Cars Buyers DB'!E:E)</f>
        <v>3</v>
      </c>
      <c r="F323" s="8" t="str">
        <f>_xlfn.XLOOKUP($A323,'RAWDATA Cars Buyers DB'!$A:$A,'RAWDATA Cars Buyers DB'!F:F)</f>
        <v>High School</v>
      </c>
      <c r="G323" s="8" t="str">
        <f>_xlfn.XLOOKUP($A323,'RAWDATA Cars Buyers DB'!$A:$A,'RAWDATA Cars Buyers DB'!G:G)</f>
        <v>Skilled Manual</v>
      </c>
      <c r="H323" s="8" t="str">
        <f>_xlfn.XLOOKUP($A323,'RAWDATA Cars Buyers DB'!$A:$A,'RAWDATA Cars Buyers DB'!H:H)</f>
        <v>No</v>
      </c>
      <c r="I323" s="8" t="str">
        <f>_xlfn.XLOOKUP($A323,'RAWDATA Cars Buyers DB'!$A:$A,'RAWDATA Cars Buyers DB'!I:I)</f>
        <v>6+ Kilometre</v>
      </c>
      <c r="J323" s="8" t="str">
        <f>_xlfn.XLOOKUP($A323,'RAWDATA Cars Buyers DB'!$A:$A,'RAWDATA Cars Buyers DB'!J:J)</f>
        <v>Bremen</v>
      </c>
      <c r="K323" s="8">
        <f>_xlfn.XLOOKUP($A323,'RAWDATA Cars Buyers DB'!$A:$A,'RAWDATA Cars Buyers DB'!K:K)</f>
        <v>50</v>
      </c>
      <c r="L323" s="10" t="str">
        <f>IF(_xlfn.XLOOKUP($A323,'RAWDATA Cars Buyers DB'!$A:$A,'RAWDATA Cars Buyers DB'!K:K)&gt;54,"Old ",IF(_xlfn.XLOOKUP($A323,'RAWDATA Cars Buyers DB'!$A:$A,'RAWDATA Cars Buyers DB'!K:K)&gt;=31,"Middle Age ",IF(_xlfn.XLOOKUP($A323,'RAWDATA Cars Buyers DB'!$A:$A,'RAWDATA Cars Buyers DB'!K:K)&lt;31,"Adolescent","Invalid")))</f>
        <v xml:space="preserve">Middle Age </v>
      </c>
      <c r="M323" s="8" t="str">
        <f>_xlfn.XLOOKUP($A323,'RAWDATA Cars Buyers DB'!$A:$A,'RAWDATA Cars Buyers DB'!L:L)</f>
        <v>No</v>
      </c>
    </row>
    <row r="324" spans="1:13">
      <c r="A324" s="6">
        <v>53525</v>
      </c>
      <c r="B324" s="10" t="str">
        <f>IF(_xlfn.XLOOKUP($A324,'RAWDATA Cars Buyers DB'!$A:$A,'RAWDATA Cars Buyers DB'!B:B)="S","Single","Married")</f>
        <v>Single</v>
      </c>
      <c r="C324" s="10" t="str">
        <f>IF(_xlfn.XLOOKUP($A324,'RAWDATA Cars Buyers DB'!$A:$A,'RAWDATA Cars Buyers DB'!C:C)="F","Female","Male")</f>
        <v>Female</v>
      </c>
      <c r="D324" s="7">
        <f>_xlfn.XLOOKUP($A324,'RAWDATA Cars Buyers DB'!$A:$A,'RAWDATA Cars Buyers DB'!D:D)</f>
        <v>98405</v>
      </c>
      <c r="E324" s="8">
        <f>_xlfn.XLOOKUP($A324,'RAWDATA Cars Buyers DB'!$A:$A,'RAWDATA Cars Buyers DB'!E:E)</f>
        <v>5</v>
      </c>
      <c r="F324" s="8" t="str">
        <f>_xlfn.XLOOKUP($A324,'RAWDATA Cars Buyers DB'!$A:$A,'RAWDATA Cars Buyers DB'!F:F)</f>
        <v>Partial College</v>
      </c>
      <c r="G324" s="8" t="str">
        <f>_xlfn.XLOOKUP($A324,'RAWDATA Cars Buyers DB'!$A:$A,'RAWDATA Cars Buyers DB'!G:G)</f>
        <v>Clerical</v>
      </c>
      <c r="H324" s="8" t="str">
        <f>_xlfn.XLOOKUP($A324,'RAWDATA Cars Buyers DB'!$A:$A,'RAWDATA Cars Buyers DB'!H:H)</f>
        <v>Yes</v>
      </c>
      <c r="I324" s="8" t="str">
        <f>_xlfn.XLOOKUP($A324,'RAWDATA Cars Buyers DB'!$A:$A,'RAWDATA Cars Buyers DB'!I:I)</f>
        <v>0–1 Kilometre</v>
      </c>
      <c r="J324" s="8" t="str">
        <f>_xlfn.XLOOKUP($A324,'RAWDATA Cars Buyers DB'!$A:$A,'RAWDATA Cars Buyers DB'!J:J)</f>
        <v>Hesse</v>
      </c>
      <c r="K324" s="8">
        <f>_xlfn.XLOOKUP($A324,'RAWDATA Cars Buyers DB'!$A:$A,'RAWDATA Cars Buyers DB'!K:K)</f>
        <v>52</v>
      </c>
      <c r="L324" s="10" t="str">
        <f>IF(_xlfn.XLOOKUP($A324,'RAWDATA Cars Buyers DB'!$A:$A,'RAWDATA Cars Buyers DB'!K:K)&gt;54,"Old ",IF(_xlfn.XLOOKUP($A324,'RAWDATA Cars Buyers DB'!$A:$A,'RAWDATA Cars Buyers DB'!K:K)&gt;=31,"Middle Age ",IF(_xlfn.XLOOKUP($A324,'RAWDATA Cars Buyers DB'!$A:$A,'RAWDATA Cars Buyers DB'!K:K)&lt;31,"Adolescent","Invalid")))</f>
        <v xml:space="preserve">Middle Age </v>
      </c>
      <c r="M324" s="8" t="str">
        <f>_xlfn.XLOOKUP($A324,'RAWDATA Cars Buyers DB'!$A:$A,'RAWDATA Cars Buyers DB'!L:L)</f>
        <v>Yes</v>
      </c>
    </row>
    <row r="325" spans="1:13">
      <c r="A325" s="6">
        <v>57202</v>
      </c>
      <c r="B325" s="10" t="str">
        <f>IF(_xlfn.XLOOKUP($A325,'RAWDATA Cars Buyers DB'!$A:$A,'RAWDATA Cars Buyers DB'!B:B)="S","Single","Married")</f>
        <v>Single</v>
      </c>
      <c r="C325" s="10" t="str">
        <f>IF(_xlfn.XLOOKUP($A325,'RAWDATA Cars Buyers DB'!$A:$A,'RAWDATA Cars Buyers DB'!C:C)="F","Female","Male")</f>
        <v>Female</v>
      </c>
      <c r="D325" s="7">
        <f>_xlfn.XLOOKUP($A325,'RAWDATA Cars Buyers DB'!$A:$A,'RAWDATA Cars Buyers DB'!D:D)</f>
        <v>92702</v>
      </c>
      <c r="E325" s="8">
        <f>_xlfn.XLOOKUP($A325,'RAWDATA Cars Buyers DB'!$A:$A,'RAWDATA Cars Buyers DB'!E:E)</f>
        <v>1</v>
      </c>
      <c r="F325" s="8" t="str">
        <f>_xlfn.XLOOKUP($A325,'RAWDATA Cars Buyers DB'!$A:$A,'RAWDATA Cars Buyers DB'!F:F)</f>
        <v>Graduate Degree</v>
      </c>
      <c r="G325" s="8" t="str">
        <f>_xlfn.XLOOKUP($A325,'RAWDATA Cars Buyers DB'!$A:$A,'RAWDATA Cars Buyers DB'!G:G)</f>
        <v>Skilled Manual</v>
      </c>
      <c r="H325" s="8" t="str">
        <f>_xlfn.XLOOKUP($A325,'RAWDATA Cars Buyers DB'!$A:$A,'RAWDATA Cars Buyers DB'!H:H)</f>
        <v>Yes</v>
      </c>
      <c r="I325" s="8" t="str">
        <f>_xlfn.XLOOKUP($A325,'RAWDATA Cars Buyers DB'!$A:$A,'RAWDATA Cars Buyers DB'!I:I)</f>
        <v>1–2 Kilometre</v>
      </c>
      <c r="J325" s="8" t="str">
        <f>_xlfn.XLOOKUP($A325,'RAWDATA Cars Buyers DB'!$A:$A,'RAWDATA Cars Buyers DB'!J:J)</f>
        <v>Rhineland-Palatinate</v>
      </c>
      <c r="K325" s="8">
        <f>_xlfn.XLOOKUP($A325,'RAWDATA Cars Buyers DB'!$A:$A,'RAWDATA Cars Buyers DB'!K:K)</f>
        <v>33</v>
      </c>
      <c r="L325" s="10" t="str">
        <f>IF(_xlfn.XLOOKUP($A325,'RAWDATA Cars Buyers DB'!$A:$A,'RAWDATA Cars Buyers DB'!K:K)&gt;54,"Old ",IF(_xlfn.XLOOKUP($A325,'RAWDATA Cars Buyers DB'!$A:$A,'RAWDATA Cars Buyers DB'!K:K)&gt;=31,"Middle Age ",IF(_xlfn.XLOOKUP($A325,'RAWDATA Cars Buyers DB'!$A:$A,'RAWDATA Cars Buyers DB'!K:K)&lt;31,"Adolescent","Invalid")))</f>
        <v xml:space="preserve">Middle Age </v>
      </c>
      <c r="M325" s="8" t="str">
        <f>_xlfn.XLOOKUP($A325,'RAWDATA Cars Buyers DB'!$A:$A,'RAWDATA Cars Buyers DB'!L:L)</f>
        <v>No</v>
      </c>
    </row>
    <row r="326" spans="1:13">
      <c r="A326" s="6">
        <v>42635</v>
      </c>
      <c r="B326" s="10" t="str">
        <f>IF(_xlfn.XLOOKUP($A326,'RAWDATA Cars Buyers DB'!$A:$A,'RAWDATA Cars Buyers DB'!B:B)="S","Single","Married")</f>
        <v>Single</v>
      </c>
      <c r="C326" s="10" t="str">
        <f>IF(_xlfn.XLOOKUP($A326,'RAWDATA Cars Buyers DB'!$A:$A,'RAWDATA Cars Buyers DB'!C:C)="F","Female","Male")</f>
        <v>Female</v>
      </c>
      <c r="D326" s="7">
        <f>_xlfn.XLOOKUP($A326,'RAWDATA Cars Buyers DB'!$A:$A,'RAWDATA Cars Buyers DB'!D:D)</f>
        <v>98518</v>
      </c>
      <c r="E326" s="8">
        <f>_xlfn.XLOOKUP($A326,'RAWDATA Cars Buyers DB'!$A:$A,'RAWDATA Cars Buyers DB'!E:E)</f>
        <v>3</v>
      </c>
      <c r="F326" s="8" t="str">
        <f>_xlfn.XLOOKUP($A326,'RAWDATA Cars Buyers DB'!$A:$A,'RAWDATA Cars Buyers DB'!F:F)</f>
        <v>Partial College</v>
      </c>
      <c r="G326" s="8" t="str">
        <f>_xlfn.XLOOKUP($A326,'RAWDATA Cars Buyers DB'!$A:$A,'RAWDATA Cars Buyers DB'!G:G)</f>
        <v>Skilled Manual</v>
      </c>
      <c r="H326" s="8" t="str">
        <f>_xlfn.XLOOKUP($A326,'RAWDATA Cars Buyers DB'!$A:$A,'RAWDATA Cars Buyers DB'!H:H)</f>
        <v>Yes</v>
      </c>
      <c r="I326" s="8" t="str">
        <f>_xlfn.XLOOKUP($A326,'RAWDATA Cars Buyers DB'!$A:$A,'RAWDATA Cars Buyers DB'!I:I)</f>
        <v>6+ Kilometre</v>
      </c>
      <c r="J326" s="8" t="str">
        <f>_xlfn.XLOOKUP($A326,'RAWDATA Cars Buyers DB'!$A:$A,'RAWDATA Cars Buyers DB'!J:J)</f>
        <v>Thuringia</v>
      </c>
      <c r="K326" s="8">
        <f>_xlfn.XLOOKUP($A326,'RAWDATA Cars Buyers DB'!$A:$A,'RAWDATA Cars Buyers DB'!K:K)</f>
        <v>35</v>
      </c>
      <c r="L326" s="10" t="str">
        <f>IF(_xlfn.XLOOKUP($A326,'RAWDATA Cars Buyers DB'!$A:$A,'RAWDATA Cars Buyers DB'!K:K)&gt;54,"Old ",IF(_xlfn.XLOOKUP($A326,'RAWDATA Cars Buyers DB'!$A:$A,'RAWDATA Cars Buyers DB'!K:K)&gt;=31,"Middle Age ",IF(_xlfn.XLOOKUP($A326,'RAWDATA Cars Buyers DB'!$A:$A,'RAWDATA Cars Buyers DB'!K:K)&lt;31,"Adolescent","Invalid")))</f>
        <v xml:space="preserve">Middle Age </v>
      </c>
      <c r="M326" s="8" t="str">
        <f>_xlfn.XLOOKUP($A326,'RAWDATA Cars Buyers DB'!$A:$A,'RAWDATA Cars Buyers DB'!L:L)</f>
        <v>No</v>
      </c>
    </row>
    <row r="327" spans="1:13">
      <c r="A327" s="6">
        <v>73208</v>
      </c>
      <c r="B327" s="10" t="str">
        <f>IF(_xlfn.XLOOKUP($A327,'RAWDATA Cars Buyers DB'!$A:$A,'RAWDATA Cars Buyers DB'!B:B)="S","Single","Married")</f>
        <v>Married</v>
      </c>
      <c r="C327" s="10" t="str">
        <f>IF(_xlfn.XLOOKUP($A327,'RAWDATA Cars Buyers DB'!$A:$A,'RAWDATA Cars Buyers DB'!C:C)="F","Female","Male")</f>
        <v>Female</v>
      </c>
      <c r="D327" s="7">
        <f>_xlfn.XLOOKUP($A327,'RAWDATA Cars Buyers DB'!$A:$A,'RAWDATA Cars Buyers DB'!D:D)</f>
        <v>92805</v>
      </c>
      <c r="E327" s="8">
        <f>_xlfn.XLOOKUP($A327,'RAWDATA Cars Buyers DB'!$A:$A,'RAWDATA Cars Buyers DB'!E:E)</f>
        <v>1</v>
      </c>
      <c r="F327" s="8" t="str">
        <f>_xlfn.XLOOKUP($A327,'RAWDATA Cars Buyers DB'!$A:$A,'RAWDATA Cars Buyers DB'!F:F)</f>
        <v>Partial College</v>
      </c>
      <c r="G327" s="8" t="str">
        <f>_xlfn.XLOOKUP($A327,'RAWDATA Cars Buyers DB'!$A:$A,'RAWDATA Cars Buyers DB'!G:G)</f>
        <v>Management</v>
      </c>
      <c r="H327" s="8" t="str">
        <f>_xlfn.XLOOKUP($A327,'RAWDATA Cars Buyers DB'!$A:$A,'RAWDATA Cars Buyers DB'!H:H)</f>
        <v>No</v>
      </c>
      <c r="I327" s="8" t="str">
        <f>_xlfn.XLOOKUP($A327,'RAWDATA Cars Buyers DB'!$A:$A,'RAWDATA Cars Buyers DB'!I:I)</f>
        <v>6+ Kilometre</v>
      </c>
      <c r="J327" s="8" t="str">
        <f>_xlfn.XLOOKUP($A327,'RAWDATA Cars Buyers DB'!$A:$A,'RAWDATA Cars Buyers DB'!J:J)</f>
        <v>Hamburg</v>
      </c>
      <c r="K327" s="8">
        <f>_xlfn.XLOOKUP($A327,'RAWDATA Cars Buyers DB'!$A:$A,'RAWDATA Cars Buyers DB'!K:K)</f>
        <v>30</v>
      </c>
      <c r="L327" s="10" t="str">
        <f>IF(_xlfn.XLOOKUP($A327,'RAWDATA Cars Buyers DB'!$A:$A,'RAWDATA Cars Buyers DB'!K:K)&gt;54,"Old ",IF(_xlfn.XLOOKUP($A327,'RAWDATA Cars Buyers DB'!$A:$A,'RAWDATA Cars Buyers DB'!K:K)&gt;=31,"Middle Age ",IF(_xlfn.XLOOKUP($A327,'RAWDATA Cars Buyers DB'!$A:$A,'RAWDATA Cars Buyers DB'!K:K)&lt;31,"Adolescent","Invalid")))</f>
        <v>Adolescent</v>
      </c>
      <c r="M327" s="8" t="str">
        <f>_xlfn.XLOOKUP($A327,'RAWDATA Cars Buyers DB'!$A:$A,'RAWDATA Cars Buyers DB'!L:L)</f>
        <v>No</v>
      </c>
    </row>
    <row r="328" spans="1:13">
      <c r="A328" s="6">
        <v>43828</v>
      </c>
      <c r="B328" s="10" t="str">
        <f>IF(_xlfn.XLOOKUP($A328,'RAWDATA Cars Buyers DB'!$A:$A,'RAWDATA Cars Buyers DB'!B:B)="S","Single","Married")</f>
        <v>Single</v>
      </c>
      <c r="C328" s="10" t="str">
        <f>IF(_xlfn.XLOOKUP($A328,'RAWDATA Cars Buyers DB'!$A:$A,'RAWDATA Cars Buyers DB'!C:C)="F","Female","Male")</f>
        <v>Male</v>
      </c>
      <c r="D328" s="7">
        <f>_xlfn.XLOOKUP($A328,'RAWDATA Cars Buyers DB'!$A:$A,'RAWDATA Cars Buyers DB'!D:D)</f>
        <v>78954</v>
      </c>
      <c r="E328" s="8">
        <f>_xlfn.XLOOKUP($A328,'RAWDATA Cars Buyers DB'!$A:$A,'RAWDATA Cars Buyers DB'!E:E)</f>
        <v>3</v>
      </c>
      <c r="F328" s="8" t="str">
        <f>_xlfn.XLOOKUP($A328,'RAWDATA Cars Buyers DB'!$A:$A,'RAWDATA Cars Buyers DB'!F:F)</f>
        <v>High School</v>
      </c>
      <c r="G328" s="8" t="str">
        <f>_xlfn.XLOOKUP($A328,'RAWDATA Cars Buyers DB'!$A:$A,'RAWDATA Cars Buyers DB'!G:G)</f>
        <v>Management</v>
      </c>
      <c r="H328" s="8" t="str">
        <f>_xlfn.XLOOKUP($A328,'RAWDATA Cars Buyers DB'!$A:$A,'RAWDATA Cars Buyers DB'!H:H)</f>
        <v>No</v>
      </c>
      <c r="I328" s="8" t="str">
        <f>_xlfn.XLOOKUP($A328,'RAWDATA Cars Buyers DB'!$A:$A,'RAWDATA Cars Buyers DB'!I:I)</f>
        <v>2–4 Kilometre</v>
      </c>
      <c r="J328" s="8" t="str">
        <f>_xlfn.XLOOKUP($A328,'RAWDATA Cars Buyers DB'!$A:$A,'RAWDATA Cars Buyers DB'!J:J)</f>
        <v>Saxony</v>
      </c>
      <c r="K328" s="8">
        <f>_xlfn.XLOOKUP($A328,'RAWDATA Cars Buyers DB'!$A:$A,'RAWDATA Cars Buyers DB'!K:K)</f>
        <v>52</v>
      </c>
      <c r="L328" s="10" t="str">
        <f>IF(_xlfn.XLOOKUP($A328,'RAWDATA Cars Buyers DB'!$A:$A,'RAWDATA Cars Buyers DB'!K:K)&gt;54,"Old ",IF(_xlfn.XLOOKUP($A328,'RAWDATA Cars Buyers DB'!$A:$A,'RAWDATA Cars Buyers DB'!K:K)&gt;=31,"Middle Age ",IF(_xlfn.XLOOKUP($A328,'RAWDATA Cars Buyers DB'!$A:$A,'RAWDATA Cars Buyers DB'!K:K)&lt;31,"Adolescent","Invalid")))</f>
        <v xml:space="preserve">Middle Age </v>
      </c>
      <c r="M328" s="8" t="str">
        <f>_xlfn.XLOOKUP($A328,'RAWDATA Cars Buyers DB'!$A:$A,'RAWDATA Cars Buyers DB'!L:L)</f>
        <v>No</v>
      </c>
    </row>
    <row r="329" spans="1:13">
      <c r="A329" s="6">
        <v>28711</v>
      </c>
      <c r="B329" s="10" t="str">
        <f>IF(_xlfn.XLOOKUP($A329,'RAWDATA Cars Buyers DB'!$A:$A,'RAWDATA Cars Buyers DB'!B:B)="S","Single","Married")</f>
        <v>Married</v>
      </c>
      <c r="C329" s="10" t="str">
        <f>IF(_xlfn.XLOOKUP($A329,'RAWDATA Cars Buyers DB'!$A:$A,'RAWDATA Cars Buyers DB'!C:C)="F","Female","Male")</f>
        <v>Male</v>
      </c>
      <c r="D329" s="7">
        <f>_xlfn.XLOOKUP($A329,'RAWDATA Cars Buyers DB'!$A:$A,'RAWDATA Cars Buyers DB'!D:D)</f>
        <v>48064</v>
      </c>
      <c r="E329" s="8">
        <f>_xlfn.XLOOKUP($A329,'RAWDATA Cars Buyers DB'!$A:$A,'RAWDATA Cars Buyers DB'!E:E)</f>
        <v>2</v>
      </c>
      <c r="F329" s="8" t="str">
        <f>_xlfn.XLOOKUP($A329,'RAWDATA Cars Buyers DB'!$A:$A,'RAWDATA Cars Buyers DB'!F:F)</f>
        <v>Bachelors</v>
      </c>
      <c r="G329" s="8" t="str">
        <f>_xlfn.XLOOKUP($A329,'RAWDATA Cars Buyers DB'!$A:$A,'RAWDATA Cars Buyers DB'!G:G)</f>
        <v>Management</v>
      </c>
      <c r="H329" s="8" t="str">
        <f>_xlfn.XLOOKUP($A329,'RAWDATA Cars Buyers DB'!$A:$A,'RAWDATA Cars Buyers DB'!H:H)</f>
        <v>No</v>
      </c>
      <c r="I329" s="8" t="str">
        <f>_xlfn.XLOOKUP($A329,'RAWDATA Cars Buyers DB'!$A:$A,'RAWDATA Cars Buyers DB'!I:I)</f>
        <v>4–6 Kilometre</v>
      </c>
      <c r="J329" s="8" t="str">
        <f>_xlfn.XLOOKUP($A329,'RAWDATA Cars Buyers DB'!$A:$A,'RAWDATA Cars Buyers DB'!J:J)</f>
        <v>Brandenburg</v>
      </c>
      <c r="K329" s="8">
        <f>_xlfn.XLOOKUP($A329,'RAWDATA Cars Buyers DB'!$A:$A,'RAWDATA Cars Buyers DB'!K:K)</f>
        <v>26</v>
      </c>
      <c r="L329" s="10" t="str">
        <f>IF(_xlfn.XLOOKUP($A329,'RAWDATA Cars Buyers DB'!$A:$A,'RAWDATA Cars Buyers DB'!K:K)&gt;54,"Old ",IF(_xlfn.XLOOKUP($A329,'RAWDATA Cars Buyers DB'!$A:$A,'RAWDATA Cars Buyers DB'!K:K)&gt;=31,"Middle Age ",IF(_xlfn.XLOOKUP($A329,'RAWDATA Cars Buyers DB'!$A:$A,'RAWDATA Cars Buyers DB'!K:K)&lt;31,"Adolescent","Invalid")))</f>
        <v>Adolescent</v>
      </c>
      <c r="M329" s="8" t="str">
        <f>_xlfn.XLOOKUP($A329,'RAWDATA Cars Buyers DB'!$A:$A,'RAWDATA Cars Buyers DB'!L:L)</f>
        <v>No</v>
      </c>
    </row>
    <row r="330" spans="1:13">
      <c r="A330" s="6">
        <v>13420</v>
      </c>
      <c r="B330" s="10" t="str">
        <f>IF(_xlfn.XLOOKUP($A330,'RAWDATA Cars Buyers DB'!$A:$A,'RAWDATA Cars Buyers DB'!B:B)="S","Single","Married")</f>
        <v>Married</v>
      </c>
      <c r="C330" s="10" t="str">
        <f>IF(_xlfn.XLOOKUP($A330,'RAWDATA Cars Buyers DB'!$A:$A,'RAWDATA Cars Buyers DB'!C:C)="F","Female","Male")</f>
        <v>Female</v>
      </c>
      <c r="D330" s="7">
        <f>_xlfn.XLOOKUP($A330,'RAWDATA Cars Buyers DB'!$A:$A,'RAWDATA Cars Buyers DB'!D:D)</f>
        <v>99063</v>
      </c>
      <c r="E330" s="8">
        <f>_xlfn.XLOOKUP($A330,'RAWDATA Cars Buyers DB'!$A:$A,'RAWDATA Cars Buyers DB'!E:E)</f>
        <v>4</v>
      </c>
      <c r="F330" s="8" t="str">
        <f>_xlfn.XLOOKUP($A330,'RAWDATA Cars Buyers DB'!$A:$A,'RAWDATA Cars Buyers DB'!F:F)</f>
        <v>Bachelors</v>
      </c>
      <c r="G330" s="8" t="str">
        <f>_xlfn.XLOOKUP($A330,'RAWDATA Cars Buyers DB'!$A:$A,'RAWDATA Cars Buyers DB'!G:G)</f>
        <v>Skilled Manual</v>
      </c>
      <c r="H330" s="8" t="str">
        <f>_xlfn.XLOOKUP($A330,'RAWDATA Cars Buyers DB'!$A:$A,'RAWDATA Cars Buyers DB'!H:H)</f>
        <v>No</v>
      </c>
      <c r="I330" s="8" t="str">
        <f>_xlfn.XLOOKUP($A330,'RAWDATA Cars Buyers DB'!$A:$A,'RAWDATA Cars Buyers DB'!I:I)</f>
        <v>2–4 Kilometre</v>
      </c>
      <c r="J330" s="8" t="str">
        <f>_xlfn.XLOOKUP($A330,'RAWDATA Cars Buyers DB'!$A:$A,'RAWDATA Cars Buyers DB'!J:J)</f>
        <v>Schleswig-Holstein</v>
      </c>
      <c r="K330" s="8">
        <f>_xlfn.XLOOKUP($A330,'RAWDATA Cars Buyers DB'!$A:$A,'RAWDATA Cars Buyers DB'!K:K)</f>
        <v>50</v>
      </c>
      <c r="L330" s="10" t="str">
        <f>IF(_xlfn.XLOOKUP($A330,'RAWDATA Cars Buyers DB'!$A:$A,'RAWDATA Cars Buyers DB'!K:K)&gt;54,"Old ",IF(_xlfn.XLOOKUP($A330,'RAWDATA Cars Buyers DB'!$A:$A,'RAWDATA Cars Buyers DB'!K:K)&gt;=31,"Middle Age ",IF(_xlfn.XLOOKUP($A330,'RAWDATA Cars Buyers DB'!$A:$A,'RAWDATA Cars Buyers DB'!K:K)&lt;31,"Adolescent","Invalid")))</f>
        <v xml:space="preserve">Middle Age </v>
      </c>
      <c r="M330" s="8" t="str">
        <f>_xlfn.XLOOKUP($A330,'RAWDATA Cars Buyers DB'!$A:$A,'RAWDATA Cars Buyers DB'!L:L)</f>
        <v>No</v>
      </c>
    </row>
    <row r="331" spans="1:13">
      <c r="A331" s="6">
        <v>10301</v>
      </c>
      <c r="B331" s="10" t="str">
        <f>IF(_xlfn.XLOOKUP($A331,'RAWDATA Cars Buyers DB'!$A:$A,'RAWDATA Cars Buyers DB'!B:B)="S","Single","Married")</f>
        <v>Married</v>
      </c>
      <c r="C331" s="10" t="str">
        <f>IF(_xlfn.XLOOKUP($A331,'RAWDATA Cars Buyers DB'!$A:$A,'RAWDATA Cars Buyers DB'!C:C)="F","Female","Male")</f>
        <v>Female</v>
      </c>
      <c r="D331" s="7">
        <f>_xlfn.XLOOKUP($A331,'RAWDATA Cars Buyers DB'!$A:$A,'RAWDATA Cars Buyers DB'!D:D)</f>
        <v>22454</v>
      </c>
      <c r="E331" s="8">
        <f>_xlfn.XLOOKUP($A331,'RAWDATA Cars Buyers DB'!$A:$A,'RAWDATA Cars Buyers DB'!E:E)</f>
        <v>3</v>
      </c>
      <c r="F331" s="8" t="str">
        <f>_xlfn.XLOOKUP($A331,'RAWDATA Cars Buyers DB'!$A:$A,'RAWDATA Cars Buyers DB'!F:F)</f>
        <v>Partial College</v>
      </c>
      <c r="G331" s="8" t="str">
        <f>_xlfn.XLOOKUP($A331,'RAWDATA Cars Buyers DB'!$A:$A,'RAWDATA Cars Buyers DB'!G:G)</f>
        <v>Professional</v>
      </c>
      <c r="H331" s="8" t="str">
        <f>_xlfn.XLOOKUP($A331,'RAWDATA Cars Buyers DB'!$A:$A,'RAWDATA Cars Buyers DB'!H:H)</f>
        <v>Yes</v>
      </c>
      <c r="I331" s="8" t="str">
        <f>_xlfn.XLOOKUP($A331,'RAWDATA Cars Buyers DB'!$A:$A,'RAWDATA Cars Buyers DB'!I:I)</f>
        <v>1–2 Kilometre</v>
      </c>
      <c r="J331" s="8" t="str">
        <f>_xlfn.XLOOKUP($A331,'RAWDATA Cars Buyers DB'!$A:$A,'RAWDATA Cars Buyers DB'!J:J)</f>
        <v>Berlin</v>
      </c>
      <c r="K331" s="8">
        <f>_xlfn.XLOOKUP($A331,'RAWDATA Cars Buyers DB'!$A:$A,'RAWDATA Cars Buyers DB'!K:K)</f>
        <v>67</v>
      </c>
      <c r="L331" s="10" t="str">
        <f>IF(_xlfn.XLOOKUP($A331,'RAWDATA Cars Buyers DB'!$A:$A,'RAWDATA Cars Buyers DB'!K:K)&gt;54,"Old ",IF(_xlfn.XLOOKUP($A331,'RAWDATA Cars Buyers DB'!$A:$A,'RAWDATA Cars Buyers DB'!K:K)&gt;=31,"Middle Age ",IF(_xlfn.XLOOKUP($A331,'RAWDATA Cars Buyers DB'!$A:$A,'RAWDATA Cars Buyers DB'!K:K)&lt;31,"Adolescent","Invalid")))</f>
        <v xml:space="preserve">Old </v>
      </c>
      <c r="M331" s="8" t="str">
        <f>_xlfn.XLOOKUP($A331,'RAWDATA Cars Buyers DB'!$A:$A,'RAWDATA Cars Buyers DB'!L:L)</f>
        <v>Yes</v>
      </c>
    </row>
    <row r="332" spans="1:13">
      <c r="A332" s="6">
        <v>55236</v>
      </c>
      <c r="B332" s="10" t="str">
        <f>IF(_xlfn.XLOOKUP($A332,'RAWDATA Cars Buyers DB'!$A:$A,'RAWDATA Cars Buyers DB'!B:B)="S","Single","Married")</f>
        <v>Married</v>
      </c>
      <c r="C332" s="10" t="str">
        <f>IF(_xlfn.XLOOKUP($A332,'RAWDATA Cars Buyers DB'!$A:$A,'RAWDATA Cars Buyers DB'!C:C)="F","Female","Male")</f>
        <v>Male</v>
      </c>
      <c r="D332" s="7">
        <f>_xlfn.XLOOKUP($A332,'RAWDATA Cars Buyers DB'!$A:$A,'RAWDATA Cars Buyers DB'!D:D)</f>
        <v>40878</v>
      </c>
      <c r="E332" s="8">
        <f>_xlfn.XLOOKUP($A332,'RAWDATA Cars Buyers DB'!$A:$A,'RAWDATA Cars Buyers DB'!E:E)</f>
        <v>1</v>
      </c>
      <c r="F332" s="8" t="str">
        <f>_xlfn.XLOOKUP($A332,'RAWDATA Cars Buyers DB'!$A:$A,'RAWDATA Cars Buyers DB'!F:F)</f>
        <v>High School</v>
      </c>
      <c r="G332" s="8" t="str">
        <f>_xlfn.XLOOKUP($A332,'RAWDATA Cars Buyers DB'!$A:$A,'RAWDATA Cars Buyers DB'!G:G)</f>
        <v>Clerical</v>
      </c>
      <c r="H332" s="8" t="str">
        <f>_xlfn.XLOOKUP($A332,'RAWDATA Cars Buyers DB'!$A:$A,'RAWDATA Cars Buyers DB'!H:H)</f>
        <v>No</v>
      </c>
      <c r="I332" s="8" t="str">
        <f>_xlfn.XLOOKUP($A332,'RAWDATA Cars Buyers DB'!$A:$A,'RAWDATA Cars Buyers DB'!I:I)</f>
        <v>6+ Kilometre</v>
      </c>
      <c r="J332" s="8" t="str">
        <f>_xlfn.XLOOKUP($A332,'RAWDATA Cars Buyers DB'!$A:$A,'RAWDATA Cars Buyers DB'!J:J)</f>
        <v>Baden-Württemberg</v>
      </c>
      <c r="K332" s="8">
        <f>_xlfn.XLOOKUP($A332,'RAWDATA Cars Buyers DB'!$A:$A,'RAWDATA Cars Buyers DB'!K:K)</f>
        <v>65</v>
      </c>
      <c r="L332" s="10" t="str">
        <f>IF(_xlfn.XLOOKUP($A332,'RAWDATA Cars Buyers DB'!$A:$A,'RAWDATA Cars Buyers DB'!K:K)&gt;54,"Old ",IF(_xlfn.XLOOKUP($A332,'RAWDATA Cars Buyers DB'!$A:$A,'RAWDATA Cars Buyers DB'!K:K)&gt;=31,"Middle Age ",IF(_xlfn.XLOOKUP($A332,'RAWDATA Cars Buyers DB'!$A:$A,'RAWDATA Cars Buyers DB'!K:K)&lt;31,"Adolescent","Invalid")))</f>
        <v xml:space="preserve">Old </v>
      </c>
      <c r="M332" s="8" t="str">
        <f>_xlfn.XLOOKUP($A332,'RAWDATA Cars Buyers DB'!$A:$A,'RAWDATA Cars Buyers DB'!L:L)</f>
        <v>Yes</v>
      </c>
    </row>
    <row r="333" spans="1:13">
      <c r="A333" s="6">
        <v>76235</v>
      </c>
      <c r="B333" s="10" t="str">
        <f>IF(_xlfn.XLOOKUP($A333,'RAWDATA Cars Buyers DB'!$A:$A,'RAWDATA Cars Buyers DB'!B:B)="S","Single","Married")</f>
        <v>Single</v>
      </c>
      <c r="C333" s="10" t="str">
        <f>IF(_xlfn.XLOOKUP($A333,'RAWDATA Cars Buyers DB'!$A:$A,'RAWDATA Cars Buyers DB'!C:C)="F","Female","Male")</f>
        <v>Male</v>
      </c>
      <c r="D333" s="7">
        <f>_xlfn.XLOOKUP($A333,'RAWDATA Cars Buyers DB'!$A:$A,'RAWDATA Cars Buyers DB'!D:D)</f>
        <v>71098</v>
      </c>
      <c r="E333" s="8">
        <f>_xlfn.XLOOKUP($A333,'RAWDATA Cars Buyers DB'!$A:$A,'RAWDATA Cars Buyers DB'!E:E)</f>
        <v>1</v>
      </c>
      <c r="F333" s="8" t="str">
        <f>_xlfn.XLOOKUP($A333,'RAWDATA Cars Buyers DB'!$A:$A,'RAWDATA Cars Buyers DB'!F:F)</f>
        <v>Graduate Degree</v>
      </c>
      <c r="G333" s="8" t="str">
        <f>_xlfn.XLOOKUP($A333,'RAWDATA Cars Buyers DB'!$A:$A,'RAWDATA Cars Buyers DB'!G:G)</f>
        <v>Skilled Manual</v>
      </c>
      <c r="H333" s="8" t="str">
        <f>_xlfn.XLOOKUP($A333,'RAWDATA Cars Buyers DB'!$A:$A,'RAWDATA Cars Buyers DB'!H:H)</f>
        <v>Yes</v>
      </c>
      <c r="I333" s="8" t="str">
        <f>_xlfn.XLOOKUP($A333,'RAWDATA Cars Buyers DB'!$A:$A,'RAWDATA Cars Buyers DB'!I:I)</f>
        <v>2–4 Kilometre</v>
      </c>
      <c r="J333" s="8" t="str">
        <f>_xlfn.XLOOKUP($A333,'RAWDATA Cars Buyers DB'!$A:$A,'RAWDATA Cars Buyers DB'!J:J)</f>
        <v>Saxony-Anhalt</v>
      </c>
      <c r="K333" s="8">
        <f>_xlfn.XLOOKUP($A333,'RAWDATA Cars Buyers DB'!$A:$A,'RAWDATA Cars Buyers DB'!K:K)</f>
        <v>66</v>
      </c>
      <c r="L333" s="10" t="str">
        <f>IF(_xlfn.XLOOKUP($A333,'RAWDATA Cars Buyers DB'!$A:$A,'RAWDATA Cars Buyers DB'!K:K)&gt;54,"Old ",IF(_xlfn.XLOOKUP($A333,'RAWDATA Cars Buyers DB'!$A:$A,'RAWDATA Cars Buyers DB'!K:K)&gt;=31,"Middle Age ",IF(_xlfn.XLOOKUP($A333,'RAWDATA Cars Buyers DB'!$A:$A,'RAWDATA Cars Buyers DB'!K:K)&lt;31,"Adolescent","Invalid")))</f>
        <v xml:space="preserve">Old </v>
      </c>
      <c r="M333" s="8" t="str">
        <f>_xlfn.XLOOKUP($A333,'RAWDATA Cars Buyers DB'!$A:$A,'RAWDATA Cars Buyers DB'!L:L)</f>
        <v>No</v>
      </c>
    </row>
    <row r="334" spans="1:13">
      <c r="A334" s="6">
        <v>64240</v>
      </c>
      <c r="B334" s="10" t="str">
        <f>IF(_xlfn.XLOOKUP($A334,'RAWDATA Cars Buyers DB'!$A:$A,'RAWDATA Cars Buyers DB'!B:B)="S","Single","Married")</f>
        <v>Single</v>
      </c>
      <c r="C334" s="10" t="str">
        <f>IF(_xlfn.XLOOKUP($A334,'RAWDATA Cars Buyers DB'!$A:$A,'RAWDATA Cars Buyers DB'!C:C)="F","Female","Male")</f>
        <v>Male</v>
      </c>
      <c r="D334" s="7">
        <f>_xlfn.XLOOKUP($A334,'RAWDATA Cars Buyers DB'!$A:$A,'RAWDATA Cars Buyers DB'!D:D)</f>
        <v>82154</v>
      </c>
      <c r="E334" s="8">
        <f>_xlfn.XLOOKUP($A334,'RAWDATA Cars Buyers DB'!$A:$A,'RAWDATA Cars Buyers DB'!E:E)</f>
        <v>5</v>
      </c>
      <c r="F334" s="8" t="str">
        <f>_xlfn.XLOOKUP($A334,'RAWDATA Cars Buyers DB'!$A:$A,'RAWDATA Cars Buyers DB'!F:F)</f>
        <v>Bachelors</v>
      </c>
      <c r="G334" s="8" t="str">
        <f>_xlfn.XLOOKUP($A334,'RAWDATA Cars Buyers DB'!$A:$A,'RAWDATA Cars Buyers DB'!G:G)</f>
        <v>Professional</v>
      </c>
      <c r="H334" s="8" t="str">
        <f>_xlfn.XLOOKUP($A334,'RAWDATA Cars Buyers DB'!$A:$A,'RAWDATA Cars Buyers DB'!H:H)</f>
        <v>No</v>
      </c>
      <c r="I334" s="8" t="str">
        <f>_xlfn.XLOOKUP($A334,'RAWDATA Cars Buyers DB'!$A:$A,'RAWDATA Cars Buyers DB'!I:I)</f>
        <v>4–6 Kilometre</v>
      </c>
      <c r="J334" s="8" t="str">
        <f>_xlfn.XLOOKUP($A334,'RAWDATA Cars Buyers DB'!$A:$A,'RAWDATA Cars Buyers DB'!J:J)</f>
        <v>Mecklenburg-Vorpommern</v>
      </c>
      <c r="K334" s="8">
        <f>_xlfn.XLOOKUP($A334,'RAWDATA Cars Buyers DB'!$A:$A,'RAWDATA Cars Buyers DB'!K:K)</f>
        <v>33</v>
      </c>
      <c r="L334" s="10" t="str">
        <f>IF(_xlfn.XLOOKUP($A334,'RAWDATA Cars Buyers DB'!$A:$A,'RAWDATA Cars Buyers DB'!K:K)&gt;54,"Old ",IF(_xlfn.XLOOKUP($A334,'RAWDATA Cars Buyers DB'!$A:$A,'RAWDATA Cars Buyers DB'!K:K)&gt;=31,"Middle Age ",IF(_xlfn.XLOOKUP($A334,'RAWDATA Cars Buyers DB'!$A:$A,'RAWDATA Cars Buyers DB'!K:K)&lt;31,"Adolescent","Invalid")))</f>
        <v xml:space="preserve">Middle Age </v>
      </c>
      <c r="M334" s="8" t="str">
        <f>_xlfn.XLOOKUP($A334,'RAWDATA Cars Buyers DB'!$A:$A,'RAWDATA Cars Buyers DB'!L:L)</f>
        <v>Yes</v>
      </c>
    </row>
    <row r="335" spans="1:13">
      <c r="A335" s="6">
        <v>75726</v>
      </c>
      <c r="B335" s="10" t="str">
        <f>IF(_xlfn.XLOOKUP($A335,'RAWDATA Cars Buyers DB'!$A:$A,'RAWDATA Cars Buyers DB'!B:B)="S","Single","Married")</f>
        <v>Married</v>
      </c>
      <c r="C335" s="10" t="str">
        <f>IF(_xlfn.XLOOKUP($A335,'RAWDATA Cars Buyers DB'!$A:$A,'RAWDATA Cars Buyers DB'!C:C)="F","Female","Male")</f>
        <v>Female</v>
      </c>
      <c r="D335" s="7">
        <f>_xlfn.XLOOKUP($A335,'RAWDATA Cars Buyers DB'!$A:$A,'RAWDATA Cars Buyers DB'!D:D)</f>
        <v>32991</v>
      </c>
      <c r="E335" s="8">
        <f>_xlfn.XLOOKUP($A335,'RAWDATA Cars Buyers DB'!$A:$A,'RAWDATA Cars Buyers DB'!E:E)</f>
        <v>2</v>
      </c>
      <c r="F335" s="8" t="str">
        <f>_xlfn.XLOOKUP($A335,'RAWDATA Cars Buyers DB'!$A:$A,'RAWDATA Cars Buyers DB'!F:F)</f>
        <v>Partial College</v>
      </c>
      <c r="G335" s="8" t="str">
        <f>_xlfn.XLOOKUP($A335,'RAWDATA Cars Buyers DB'!$A:$A,'RAWDATA Cars Buyers DB'!G:G)</f>
        <v>Skilled Manual</v>
      </c>
      <c r="H335" s="8" t="str">
        <f>_xlfn.XLOOKUP($A335,'RAWDATA Cars Buyers DB'!$A:$A,'RAWDATA Cars Buyers DB'!H:H)</f>
        <v>Yes</v>
      </c>
      <c r="I335" s="8" t="str">
        <f>_xlfn.XLOOKUP($A335,'RAWDATA Cars Buyers DB'!$A:$A,'RAWDATA Cars Buyers DB'!I:I)</f>
        <v>1–2 Kilometre</v>
      </c>
      <c r="J335" s="8" t="str">
        <f>_xlfn.XLOOKUP($A335,'RAWDATA Cars Buyers DB'!$A:$A,'RAWDATA Cars Buyers DB'!J:J)</f>
        <v>Berlin</v>
      </c>
      <c r="K335" s="8">
        <f>_xlfn.XLOOKUP($A335,'RAWDATA Cars Buyers DB'!$A:$A,'RAWDATA Cars Buyers DB'!K:K)</f>
        <v>47</v>
      </c>
      <c r="L335" s="10" t="str">
        <f>IF(_xlfn.XLOOKUP($A335,'RAWDATA Cars Buyers DB'!$A:$A,'RAWDATA Cars Buyers DB'!K:K)&gt;54,"Old ",IF(_xlfn.XLOOKUP($A335,'RAWDATA Cars Buyers DB'!$A:$A,'RAWDATA Cars Buyers DB'!K:K)&gt;=31,"Middle Age ",IF(_xlfn.XLOOKUP($A335,'RAWDATA Cars Buyers DB'!$A:$A,'RAWDATA Cars Buyers DB'!K:K)&lt;31,"Adolescent","Invalid")))</f>
        <v xml:space="preserve">Middle Age </v>
      </c>
      <c r="M335" s="8" t="str">
        <f>_xlfn.XLOOKUP($A335,'RAWDATA Cars Buyers DB'!$A:$A,'RAWDATA Cars Buyers DB'!L:L)</f>
        <v>No</v>
      </c>
    </row>
    <row r="336" spans="1:13">
      <c r="A336" s="6">
        <v>20492</v>
      </c>
      <c r="B336" s="10" t="str">
        <f>IF(_xlfn.XLOOKUP($A336,'RAWDATA Cars Buyers DB'!$A:$A,'RAWDATA Cars Buyers DB'!B:B)="S","Single","Married")</f>
        <v>Single</v>
      </c>
      <c r="C336" s="10" t="str">
        <f>IF(_xlfn.XLOOKUP($A336,'RAWDATA Cars Buyers DB'!$A:$A,'RAWDATA Cars Buyers DB'!C:C)="F","Female","Male")</f>
        <v>Male</v>
      </c>
      <c r="D336" s="7">
        <f>_xlfn.XLOOKUP($A336,'RAWDATA Cars Buyers DB'!$A:$A,'RAWDATA Cars Buyers DB'!D:D)</f>
        <v>88344</v>
      </c>
      <c r="E336" s="8">
        <f>_xlfn.XLOOKUP($A336,'RAWDATA Cars Buyers DB'!$A:$A,'RAWDATA Cars Buyers DB'!E:E)</f>
        <v>1</v>
      </c>
      <c r="F336" s="8" t="str">
        <f>_xlfn.XLOOKUP($A336,'RAWDATA Cars Buyers DB'!$A:$A,'RAWDATA Cars Buyers DB'!F:F)</f>
        <v>Bachelors</v>
      </c>
      <c r="G336" s="8" t="str">
        <f>_xlfn.XLOOKUP($A336,'RAWDATA Cars Buyers DB'!$A:$A,'RAWDATA Cars Buyers DB'!G:G)</f>
        <v>Clerical</v>
      </c>
      <c r="H336" s="8" t="str">
        <f>_xlfn.XLOOKUP($A336,'RAWDATA Cars Buyers DB'!$A:$A,'RAWDATA Cars Buyers DB'!H:H)</f>
        <v>Yes</v>
      </c>
      <c r="I336" s="8" t="str">
        <f>_xlfn.XLOOKUP($A336,'RAWDATA Cars Buyers DB'!$A:$A,'RAWDATA Cars Buyers DB'!I:I)</f>
        <v>0–1 Kilometre</v>
      </c>
      <c r="J336" s="8" t="str">
        <f>_xlfn.XLOOKUP($A336,'RAWDATA Cars Buyers DB'!$A:$A,'RAWDATA Cars Buyers DB'!J:J)</f>
        <v>Saxony-Anhalt</v>
      </c>
      <c r="K336" s="8">
        <f>_xlfn.XLOOKUP($A336,'RAWDATA Cars Buyers DB'!$A:$A,'RAWDATA Cars Buyers DB'!K:K)</f>
        <v>62</v>
      </c>
      <c r="L336" s="10" t="str">
        <f>IF(_xlfn.XLOOKUP($A336,'RAWDATA Cars Buyers DB'!$A:$A,'RAWDATA Cars Buyers DB'!K:K)&gt;54,"Old ",IF(_xlfn.XLOOKUP($A336,'RAWDATA Cars Buyers DB'!$A:$A,'RAWDATA Cars Buyers DB'!K:K)&gt;=31,"Middle Age ",IF(_xlfn.XLOOKUP($A336,'RAWDATA Cars Buyers DB'!$A:$A,'RAWDATA Cars Buyers DB'!K:K)&lt;31,"Adolescent","Invalid")))</f>
        <v xml:space="preserve">Old </v>
      </c>
      <c r="M336" s="8" t="str">
        <f>_xlfn.XLOOKUP($A336,'RAWDATA Cars Buyers DB'!$A:$A,'RAWDATA Cars Buyers DB'!L:L)</f>
        <v>No</v>
      </c>
    </row>
    <row r="337" spans="1:13">
      <c r="A337" s="6">
        <v>16102</v>
      </c>
      <c r="B337" s="10" t="str">
        <f>IF(_xlfn.XLOOKUP($A337,'RAWDATA Cars Buyers DB'!$A:$A,'RAWDATA Cars Buyers DB'!B:B)="S","Single","Married")</f>
        <v>Single</v>
      </c>
      <c r="C337" s="10" t="str">
        <f>IF(_xlfn.XLOOKUP($A337,'RAWDATA Cars Buyers DB'!$A:$A,'RAWDATA Cars Buyers DB'!C:C)="F","Female","Male")</f>
        <v>Female</v>
      </c>
      <c r="D337" s="7">
        <f>_xlfn.XLOOKUP($A337,'RAWDATA Cars Buyers DB'!$A:$A,'RAWDATA Cars Buyers DB'!D:D)</f>
        <v>56593</v>
      </c>
      <c r="E337" s="8">
        <f>_xlfn.XLOOKUP($A337,'RAWDATA Cars Buyers DB'!$A:$A,'RAWDATA Cars Buyers DB'!E:E)</f>
        <v>0</v>
      </c>
      <c r="F337" s="8" t="str">
        <f>_xlfn.XLOOKUP($A337,'RAWDATA Cars Buyers DB'!$A:$A,'RAWDATA Cars Buyers DB'!F:F)</f>
        <v>Bachelors</v>
      </c>
      <c r="G337" s="8" t="str">
        <f>_xlfn.XLOOKUP($A337,'RAWDATA Cars Buyers DB'!$A:$A,'RAWDATA Cars Buyers DB'!G:G)</f>
        <v>Skilled Manual</v>
      </c>
      <c r="H337" s="8" t="str">
        <f>_xlfn.XLOOKUP($A337,'RAWDATA Cars Buyers DB'!$A:$A,'RAWDATA Cars Buyers DB'!H:H)</f>
        <v>No</v>
      </c>
      <c r="I337" s="8" t="str">
        <f>_xlfn.XLOOKUP($A337,'RAWDATA Cars Buyers DB'!$A:$A,'RAWDATA Cars Buyers DB'!I:I)</f>
        <v>2–4 Kilometre</v>
      </c>
      <c r="J337" s="8" t="str">
        <f>_xlfn.XLOOKUP($A337,'RAWDATA Cars Buyers DB'!$A:$A,'RAWDATA Cars Buyers DB'!J:J)</f>
        <v>Brandenburg</v>
      </c>
      <c r="K337" s="8">
        <f>_xlfn.XLOOKUP($A337,'RAWDATA Cars Buyers DB'!$A:$A,'RAWDATA Cars Buyers DB'!K:K)</f>
        <v>35</v>
      </c>
      <c r="L337" s="10" t="str">
        <f>IF(_xlfn.XLOOKUP($A337,'RAWDATA Cars Buyers DB'!$A:$A,'RAWDATA Cars Buyers DB'!K:K)&gt;54,"Old ",IF(_xlfn.XLOOKUP($A337,'RAWDATA Cars Buyers DB'!$A:$A,'RAWDATA Cars Buyers DB'!K:K)&gt;=31,"Middle Age ",IF(_xlfn.XLOOKUP($A337,'RAWDATA Cars Buyers DB'!$A:$A,'RAWDATA Cars Buyers DB'!K:K)&lt;31,"Adolescent","Invalid")))</f>
        <v xml:space="preserve">Middle Age </v>
      </c>
      <c r="M337" s="8" t="str">
        <f>_xlfn.XLOOKUP($A337,'RAWDATA Cars Buyers DB'!$A:$A,'RAWDATA Cars Buyers DB'!L:L)</f>
        <v>No</v>
      </c>
    </row>
    <row r="338" spans="1:13">
      <c r="A338" s="6">
        <v>60336</v>
      </c>
      <c r="B338" s="10" t="str">
        <f>IF(_xlfn.XLOOKUP($A338,'RAWDATA Cars Buyers DB'!$A:$A,'RAWDATA Cars Buyers DB'!B:B)="S","Single","Married")</f>
        <v>Single</v>
      </c>
      <c r="C338" s="10" t="str">
        <f>IF(_xlfn.XLOOKUP($A338,'RAWDATA Cars Buyers DB'!$A:$A,'RAWDATA Cars Buyers DB'!C:C)="F","Female","Male")</f>
        <v>Female</v>
      </c>
      <c r="D338" s="7">
        <f>_xlfn.XLOOKUP($A338,'RAWDATA Cars Buyers DB'!$A:$A,'RAWDATA Cars Buyers DB'!D:D)</f>
        <v>56304</v>
      </c>
      <c r="E338" s="8">
        <f>_xlfn.XLOOKUP($A338,'RAWDATA Cars Buyers DB'!$A:$A,'RAWDATA Cars Buyers DB'!E:E)</f>
        <v>4</v>
      </c>
      <c r="F338" s="8" t="str">
        <f>_xlfn.XLOOKUP($A338,'RAWDATA Cars Buyers DB'!$A:$A,'RAWDATA Cars Buyers DB'!F:F)</f>
        <v>Graduate Degree</v>
      </c>
      <c r="G338" s="8" t="str">
        <f>_xlfn.XLOOKUP($A338,'RAWDATA Cars Buyers DB'!$A:$A,'RAWDATA Cars Buyers DB'!G:G)</f>
        <v>Clerical</v>
      </c>
      <c r="H338" s="8" t="str">
        <f>_xlfn.XLOOKUP($A338,'RAWDATA Cars Buyers DB'!$A:$A,'RAWDATA Cars Buyers DB'!H:H)</f>
        <v>No</v>
      </c>
      <c r="I338" s="8" t="str">
        <f>_xlfn.XLOOKUP($A338,'RAWDATA Cars Buyers DB'!$A:$A,'RAWDATA Cars Buyers DB'!I:I)</f>
        <v>1–2 Kilometre</v>
      </c>
      <c r="J338" s="8" t="str">
        <f>_xlfn.XLOOKUP($A338,'RAWDATA Cars Buyers DB'!$A:$A,'RAWDATA Cars Buyers DB'!J:J)</f>
        <v>Berlin</v>
      </c>
      <c r="K338" s="8">
        <f>_xlfn.XLOOKUP($A338,'RAWDATA Cars Buyers DB'!$A:$A,'RAWDATA Cars Buyers DB'!K:K)</f>
        <v>38</v>
      </c>
      <c r="L338" s="10" t="str">
        <f>IF(_xlfn.XLOOKUP($A338,'RAWDATA Cars Buyers DB'!$A:$A,'RAWDATA Cars Buyers DB'!K:K)&gt;54,"Old ",IF(_xlfn.XLOOKUP($A338,'RAWDATA Cars Buyers DB'!$A:$A,'RAWDATA Cars Buyers DB'!K:K)&gt;=31,"Middle Age ",IF(_xlfn.XLOOKUP($A338,'RAWDATA Cars Buyers DB'!$A:$A,'RAWDATA Cars Buyers DB'!K:K)&lt;31,"Adolescent","Invalid")))</f>
        <v xml:space="preserve">Middle Age </v>
      </c>
      <c r="M338" s="8" t="str">
        <f>_xlfn.XLOOKUP($A338,'RAWDATA Cars Buyers DB'!$A:$A,'RAWDATA Cars Buyers DB'!L:L)</f>
        <v>Yes</v>
      </c>
    </row>
    <row r="339" spans="1:13">
      <c r="A339" s="6">
        <v>95314</v>
      </c>
      <c r="B339" s="10" t="str">
        <f>IF(_xlfn.XLOOKUP($A339,'RAWDATA Cars Buyers DB'!$A:$A,'RAWDATA Cars Buyers DB'!B:B)="S","Single","Married")</f>
        <v>Single</v>
      </c>
      <c r="C339" s="10" t="str">
        <f>IF(_xlfn.XLOOKUP($A339,'RAWDATA Cars Buyers DB'!$A:$A,'RAWDATA Cars Buyers DB'!C:C)="F","Female","Male")</f>
        <v>Male</v>
      </c>
      <c r="D339" s="7">
        <f>_xlfn.XLOOKUP($A339,'RAWDATA Cars Buyers DB'!$A:$A,'RAWDATA Cars Buyers DB'!D:D)</f>
        <v>50386</v>
      </c>
      <c r="E339" s="8">
        <f>_xlfn.XLOOKUP($A339,'RAWDATA Cars Buyers DB'!$A:$A,'RAWDATA Cars Buyers DB'!E:E)</f>
        <v>3</v>
      </c>
      <c r="F339" s="8" t="str">
        <f>_xlfn.XLOOKUP($A339,'RAWDATA Cars Buyers DB'!$A:$A,'RAWDATA Cars Buyers DB'!F:F)</f>
        <v>High School</v>
      </c>
      <c r="G339" s="8" t="str">
        <f>_xlfn.XLOOKUP($A339,'RAWDATA Cars Buyers DB'!$A:$A,'RAWDATA Cars Buyers DB'!G:G)</f>
        <v>Skilled Manual</v>
      </c>
      <c r="H339" s="8" t="str">
        <f>_xlfn.XLOOKUP($A339,'RAWDATA Cars Buyers DB'!$A:$A,'RAWDATA Cars Buyers DB'!H:H)</f>
        <v>Yes</v>
      </c>
      <c r="I339" s="8" t="str">
        <f>_xlfn.XLOOKUP($A339,'RAWDATA Cars Buyers DB'!$A:$A,'RAWDATA Cars Buyers DB'!I:I)</f>
        <v>0–1 Kilometre</v>
      </c>
      <c r="J339" s="8" t="str">
        <f>_xlfn.XLOOKUP($A339,'RAWDATA Cars Buyers DB'!$A:$A,'RAWDATA Cars Buyers DB'!J:J)</f>
        <v>Saarland</v>
      </c>
      <c r="K339" s="8">
        <f>_xlfn.XLOOKUP($A339,'RAWDATA Cars Buyers DB'!$A:$A,'RAWDATA Cars Buyers DB'!K:K)</f>
        <v>36</v>
      </c>
      <c r="L339" s="10" t="str">
        <f>IF(_xlfn.XLOOKUP($A339,'RAWDATA Cars Buyers DB'!$A:$A,'RAWDATA Cars Buyers DB'!K:K)&gt;54,"Old ",IF(_xlfn.XLOOKUP($A339,'RAWDATA Cars Buyers DB'!$A:$A,'RAWDATA Cars Buyers DB'!K:K)&gt;=31,"Middle Age ",IF(_xlfn.XLOOKUP($A339,'RAWDATA Cars Buyers DB'!$A:$A,'RAWDATA Cars Buyers DB'!K:K)&lt;31,"Adolescent","Invalid")))</f>
        <v xml:space="preserve">Middle Age </v>
      </c>
      <c r="M339" s="8" t="str">
        <f>_xlfn.XLOOKUP($A339,'RAWDATA Cars Buyers DB'!$A:$A,'RAWDATA Cars Buyers DB'!L:L)</f>
        <v>Yes</v>
      </c>
    </row>
    <row r="340" spans="1:13">
      <c r="A340" s="6">
        <v>36641</v>
      </c>
      <c r="B340" s="10" t="str">
        <f>IF(_xlfn.XLOOKUP($A340,'RAWDATA Cars Buyers DB'!$A:$A,'RAWDATA Cars Buyers DB'!B:B)="S","Single","Married")</f>
        <v>Single</v>
      </c>
      <c r="C340" s="10" t="str">
        <f>IF(_xlfn.XLOOKUP($A340,'RAWDATA Cars Buyers DB'!$A:$A,'RAWDATA Cars Buyers DB'!C:C)="F","Female","Male")</f>
        <v>Female</v>
      </c>
      <c r="D340" s="7">
        <f>_xlfn.XLOOKUP($A340,'RAWDATA Cars Buyers DB'!$A:$A,'RAWDATA Cars Buyers DB'!D:D)</f>
        <v>75220</v>
      </c>
      <c r="E340" s="8">
        <f>_xlfn.XLOOKUP($A340,'RAWDATA Cars Buyers DB'!$A:$A,'RAWDATA Cars Buyers DB'!E:E)</f>
        <v>5</v>
      </c>
      <c r="F340" s="8" t="str">
        <f>_xlfn.XLOOKUP($A340,'RAWDATA Cars Buyers DB'!$A:$A,'RAWDATA Cars Buyers DB'!F:F)</f>
        <v>Graduate Degree</v>
      </c>
      <c r="G340" s="8" t="str">
        <f>_xlfn.XLOOKUP($A340,'RAWDATA Cars Buyers DB'!$A:$A,'RAWDATA Cars Buyers DB'!G:G)</f>
        <v>Clerical</v>
      </c>
      <c r="H340" s="8" t="str">
        <f>_xlfn.XLOOKUP($A340,'RAWDATA Cars Buyers DB'!$A:$A,'RAWDATA Cars Buyers DB'!H:H)</f>
        <v>No</v>
      </c>
      <c r="I340" s="8" t="str">
        <f>_xlfn.XLOOKUP($A340,'RAWDATA Cars Buyers DB'!$A:$A,'RAWDATA Cars Buyers DB'!I:I)</f>
        <v>2–4 Kilometre</v>
      </c>
      <c r="J340" s="8" t="str">
        <f>_xlfn.XLOOKUP($A340,'RAWDATA Cars Buyers DB'!$A:$A,'RAWDATA Cars Buyers DB'!J:J)</f>
        <v>Bavaria</v>
      </c>
      <c r="K340" s="8">
        <f>_xlfn.XLOOKUP($A340,'RAWDATA Cars Buyers DB'!$A:$A,'RAWDATA Cars Buyers DB'!K:K)</f>
        <v>45</v>
      </c>
      <c r="L340" s="10" t="str">
        <f>IF(_xlfn.XLOOKUP($A340,'RAWDATA Cars Buyers DB'!$A:$A,'RAWDATA Cars Buyers DB'!K:K)&gt;54,"Old ",IF(_xlfn.XLOOKUP($A340,'RAWDATA Cars Buyers DB'!$A:$A,'RAWDATA Cars Buyers DB'!K:K)&gt;=31,"Middle Age ",IF(_xlfn.XLOOKUP($A340,'RAWDATA Cars Buyers DB'!$A:$A,'RAWDATA Cars Buyers DB'!K:K)&lt;31,"Adolescent","Invalid")))</f>
        <v xml:space="preserve">Middle Age </v>
      </c>
      <c r="M340" s="8" t="str">
        <f>_xlfn.XLOOKUP($A340,'RAWDATA Cars Buyers DB'!$A:$A,'RAWDATA Cars Buyers DB'!L:L)</f>
        <v>No</v>
      </c>
    </row>
    <row r="341" spans="1:13">
      <c r="A341" s="6">
        <v>44584</v>
      </c>
      <c r="B341" s="10" t="str">
        <f>IF(_xlfn.XLOOKUP($A341,'RAWDATA Cars Buyers DB'!$A:$A,'RAWDATA Cars Buyers DB'!B:B)="S","Single","Married")</f>
        <v>Single</v>
      </c>
      <c r="C341" s="10" t="str">
        <f>IF(_xlfn.XLOOKUP($A341,'RAWDATA Cars Buyers DB'!$A:$A,'RAWDATA Cars Buyers DB'!C:C)="F","Female","Male")</f>
        <v>Female</v>
      </c>
      <c r="D341" s="7">
        <f>_xlfn.XLOOKUP($A341,'RAWDATA Cars Buyers DB'!$A:$A,'RAWDATA Cars Buyers DB'!D:D)</f>
        <v>89338</v>
      </c>
      <c r="E341" s="8">
        <f>_xlfn.XLOOKUP($A341,'RAWDATA Cars Buyers DB'!$A:$A,'RAWDATA Cars Buyers DB'!E:E)</f>
        <v>4</v>
      </c>
      <c r="F341" s="8" t="str">
        <f>_xlfn.XLOOKUP($A341,'RAWDATA Cars Buyers DB'!$A:$A,'RAWDATA Cars Buyers DB'!F:F)</f>
        <v>High School</v>
      </c>
      <c r="G341" s="8" t="str">
        <f>_xlfn.XLOOKUP($A341,'RAWDATA Cars Buyers DB'!$A:$A,'RAWDATA Cars Buyers DB'!G:G)</f>
        <v>Skilled Manual</v>
      </c>
      <c r="H341" s="8" t="str">
        <f>_xlfn.XLOOKUP($A341,'RAWDATA Cars Buyers DB'!$A:$A,'RAWDATA Cars Buyers DB'!H:H)</f>
        <v>No</v>
      </c>
      <c r="I341" s="8" t="str">
        <f>_xlfn.XLOOKUP($A341,'RAWDATA Cars Buyers DB'!$A:$A,'RAWDATA Cars Buyers DB'!I:I)</f>
        <v>1–2 Kilometre</v>
      </c>
      <c r="J341" s="8" t="str">
        <f>_xlfn.XLOOKUP($A341,'RAWDATA Cars Buyers DB'!$A:$A,'RAWDATA Cars Buyers DB'!J:J)</f>
        <v>Bremen</v>
      </c>
      <c r="K341" s="8">
        <f>_xlfn.XLOOKUP($A341,'RAWDATA Cars Buyers DB'!$A:$A,'RAWDATA Cars Buyers DB'!K:K)</f>
        <v>25</v>
      </c>
      <c r="L341" s="10" t="str">
        <f>IF(_xlfn.XLOOKUP($A341,'RAWDATA Cars Buyers DB'!$A:$A,'RAWDATA Cars Buyers DB'!K:K)&gt;54,"Old ",IF(_xlfn.XLOOKUP($A341,'RAWDATA Cars Buyers DB'!$A:$A,'RAWDATA Cars Buyers DB'!K:K)&gt;=31,"Middle Age ",IF(_xlfn.XLOOKUP($A341,'RAWDATA Cars Buyers DB'!$A:$A,'RAWDATA Cars Buyers DB'!K:K)&lt;31,"Adolescent","Invalid")))</f>
        <v>Adolescent</v>
      </c>
      <c r="M341" s="8" t="str">
        <f>_xlfn.XLOOKUP($A341,'RAWDATA Cars Buyers DB'!$A:$A,'RAWDATA Cars Buyers DB'!L:L)</f>
        <v>No</v>
      </c>
    </row>
    <row r="342" spans="1:13">
      <c r="A342" s="6">
        <v>42745</v>
      </c>
      <c r="B342" s="10" t="str">
        <f>IF(_xlfn.XLOOKUP($A342,'RAWDATA Cars Buyers DB'!$A:$A,'RAWDATA Cars Buyers DB'!B:B)="S","Single","Married")</f>
        <v>Single</v>
      </c>
      <c r="C342" s="10" t="str">
        <f>IF(_xlfn.XLOOKUP($A342,'RAWDATA Cars Buyers DB'!$A:$A,'RAWDATA Cars Buyers DB'!C:C)="F","Female","Male")</f>
        <v>Female</v>
      </c>
      <c r="D342" s="7">
        <f>_xlfn.XLOOKUP($A342,'RAWDATA Cars Buyers DB'!$A:$A,'RAWDATA Cars Buyers DB'!D:D)</f>
        <v>114289</v>
      </c>
      <c r="E342" s="8">
        <f>_xlfn.XLOOKUP($A342,'RAWDATA Cars Buyers DB'!$A:$A,'RAWDATA Cars Buyers DB'!E:E)</f>
        <v>2</v>
      </c>
      <c r="F342" s="8" t="str">
        <f>_xlfn.XLOOKUP($A342,'RAWDATA Cars Buyers DB'!$A:$A,'RAWDATA Cars Buyers DB'!F:F)</f>
        <v>Bachelors</v>
      </c>
      <c r="G342" s="8" t="str">
        <f>_xlfn.XLOOKUP($A342,'RAWDATA Cars Buyers DB'!$A:$A,'RAWDATA Cars Buyers DB'!G:G)</f>
        <v>Clerical</v>
      </c>
      <c r="H342" s="8" t="str">
        <f>_xlfn.XLOOKUP($A342,'RAWDATA Cars Buyers DB'!$A:$A,'RAWDATA Cars Buyers DB'!H:H)</f>
        <v>Yes</v>
      </c>
      <c r="I342" s="8" t="str">
        <f>_xlfn.XLOOKUP($A342,'RAWDATA Cars Buyers DB'!$A:$A,'RAWDATA Cars Buyers DB'!I:I)</f>
        <v>1–2 Kilometre</v>
      </c>
      <c r="J342" s="8" t="str">
        <f>_xlfn.XLOOKUP($A342,'RAWDATA Cars Buyers DB'!$A:$A,'RAWDATA Cars Buyers DB'!J:J)</f>
        <v>Brandenburg</v>
      </c>
      <c r="K342" s="8">
        <f>_xlfn.XLOOKUP($A342,'RAWDATA Cars Buyers DB'!$A:$A,'RAWDATA Cars Buyers DB'!K:K)</f>
        <v>62</v>
      </c>
      <c r="L342" s="10" t="str">
        <f>IF(_xlfn.XLOOKUP($A342,'RAWDATA Cars Buyers DB'!$A:$A,'RAWDATA Cars Buyers DB'!K:K)&gt;54,"Old ",IF(_xlfn.XLOOKUP($A342,'RAWDATA Cars Buyers DB'!$A:$A,'RAWDATA Cars Buyers DB'!K:K)&gt;=31,"Middle Age ",IF(_xlfn.XLOOKUP($A342,'RAWDATA Cars Buyers DB'!$A:$A,'RAWDATA Cars Buyers DB'!K:K)&lt;31,"Adolescent","Invalid")))</f>
        <v xml:space="preserve">Old </v>
      </c>
      <c r="M342" s="8" t="str">
        <f>_xlfn.XLOOKUP($A342,'RAWDATA Cars Buyers DB'!$A:$A,'RAWDATA Cars Buyers DB'!L:L)</f>
        <v>No</v>
      </c>
    </row>
    <row r="343" spans="1:13">
      <c r="A343" s="6">
        <v>33093</v>
      </c>
      <c r="B343" s="10" t="str">
        <f>IF(_xlfn.XLOOKUP($A343,'RAWDATA Cars Buyers DB'!$A:$A,'RAWDATA Cars Buyers DB'!B:B)="S","Single","Married")</f>
        <v>Married</v>
      </c>
      <c r="C343" s="10" t="str">
        <f>IF(_xlfn.XLOOKUP($A343,'RAWDATA Cars Buyers DB'!$A:$A,'RAWDATA Cars Buyers DB'!C:C)="F","Female","Male")</f>
        <v>Female</v>
      </c>
      <c r="D343" s="7">
        <f>_xlfn.XLOOKUP($A343,'RAWDATA Cars Buyers DB'!$A:$A,'RAWDATA Cars Buyers DB'!D:D)</f>
        <v>41083</v>
      </c>
      <c r="E343" s="8">
        <f>_xlfn.XLOOKUP($A343,'RAWDATA Cars Buyers DB'!$A:$A,'RAWDATA Cars Buyers DB'!E:E)</f>
        <v>5</v>
      </c>
      <c r="F343" s="8" t="str">
        <f>_xlfn.XLOOKUP($A343,'RAWDATA Cars Buyers DB'!$A:$A,'RAWDATA Cars Buyers DB'!F:F)</f>
        <v>Partial College</v>
      </c>
      <c r="G343" s="8" t="str">
        <f>_xlfn.XLOOKUP($A343,'RAWDATA Cars Buyers DB'!$A:$A,'RAWDATA Cars Buyers DB'!G:G)</f>
        <v>Management</v>
      </c>
      <c r="H343" s="8" t="str">
        <f>_xlfn.XLOOKUP($A343,'RAWDATA Cars Buyers DB'!$A:$A,'RAWDATA Cars Buyers DB'!H:H)</f>
        <v>Yes</v>
      </c>
      <c r="I343" s="8" t="str">
        <f>_xlfn.XLOOKUP($A343,'RAWDATA Cars Buyers DB'!$A:$A,'RAWDATA Cars Buyers DB'!I:I)</f>
        <v>2–4 Kilometre</v>
      </c>
      <c r="J343" s="8" t="str">
        <f>_xlfn.XLOOKUP($A343,'RAWDATA Cars Buyers DB'!$A:$A,'RAWDATA Cars Buyers DB'!J:J)</f>
        <v>Hamburg</v>
      </c>
      <c r="K343" s="8">
        <f>_xlfn.XLOOKUP($A343,'RAWDATA Cars Buyers DB'!$A:$A,'RAWDATA Cars Buyers DB'!K:K)</f>
        <v>68</v>
      </c>
      <c r="L343" s="10" t="str">
        <f>IF(_xlfn.XLOOKUP($A343,'RAWDATA Cars Buyers DB'!$A:$A,'RAWDATA Cars Buyers DB'!K:K)&gt;54,"Old ",IF(_xlfn.XLOOKUP($A343,'RAWDATA Cars Buyers DB'!$A:$A,'RAWDATA Cars Buyers DB'!K:K)&gt;=31,"Middle Age ",IF(_xlfn.XLOOKUP($A343,'RAWDATA Cars Buyers DB'!$A:$A,'RAWDATA Cars Buyers DB'!K:K)&lt;31,"Adolescent","Invalid")))</f>
        <v xml:space="preserve">Old </v>
      </c>
      <c r="M343" s="8" t="str">
        <f>_xlfn.XLOOKUP($A343,'RAWDATA Cars Buyers DB'!$A:$A,'RAWDATA Cars Buyers DB'!L:L)</f>
        <v>Yes</v>
      </c>
    </row>
    <row r="344" spans="1:13">
      <c r="A344" s="6">
        <v>76105</v>
      </c>
      <c r="B344" s="10" t="str">
        <f>IF(_xlfn.XLOOKUP($A344,'RAWDATA Cars Buyers DB'!$A:$A,'RAWDATA Cars Buyers DB'!B:B)="S","Single","Married")</f>
        <v>Married</v>
      </c>
      <c r="C344" s="10" t="str">
        <f>IF(_xlfn.XLOOKUP($A344,'RAWDATA Cars Buyers DB'!$A:$A,'RAWDATA Cars Buyers DB'!C:C)="F","Female","Male")</f>
        <v>Male</v>
      </c>
      <c r="D344" s="7">
        <f>_xlfn.XLOOKUP($A344,'RAWDATA Cars Buyers DB'!$A:$A,'RAWDATA Cars Buyers DB'!D:D)</f>
        <v>38354</v>
      </c>
      <c r="E344" s="8">
        <f>_xlfn.XLOOKUP($A344,'RAWDATA Cars Buyers DB'!$A:$A,'RAWDATA Cars Buyers DB'!E:E)</f>
        <v>3</v>
      </c>
      <c r="F344" s="8" t="str">
        <f>_xlfn.XLOOKUP($A344,'RAWDATA Cars Buyers DB'!$A:$A,'RAWDATA Cars Buyers DB'!F:F)</f>
        <v>Graduate Degree</v>
      </c>
      <c r="G344" s="8" t="str">
        <f>_xlfn.XLOOKUP($A344,'RAWDATA Cars Buyers DB'!$A:$A,'RAWDATA Cars Buyers DB'!G:G)</f>
        <v>Skilled Manual</v>
      </c>
      <c r="H344" s="8" t="str">
        <f>_xlfn.XLOOKUP($A344,'RAWDATA Cars Buyers DB'!$A:$A,'RAWDATA Cars Buyers DB'!H:H)</f>
        <v>Yes</v>
      </c>
      <c r="I344" s="8" t="str">
        <f>_xlfn.XLOOKUP($A344,'RAWDATA Cars Buyers DB'!$A:$A,'RAWDATA Cars Buyers DB'!I:I)</f>
        <v>1–2 Kilometre</v>
      </c>
      <c r="J344" s="8" t="str">
        <f>_xlfn.XLOOKUP($A344,'RAWDATA Cars Buyers DB'!$A:$A,'RAWDATA Cars Buyers DB'!J:J)</f>
        <v>Baden-Württemberg</v>
      </c>
      <c r="K344" s="8">
        <f>_xlfn.XLOOKUP($A344,'RAWDATA Cars Buyers DB'!$A:$A,'RAWDATA Cars Buyers DB'!K:K)</f>
        <v>28</v>
      </c>
      <c r="L344" s="10" t="str">
        <f>IF(_xlfn.XLOOKUP($A344,'RAWDATA Cars Buyers DB'!$A:$A,'RAWDATA Cars Buyers DB'!K:K)&gt;54,"Old ",IF(_xlfn.XLOOKUP($A344,'RAWDATA Cars Buyers DB'!$A:$A,'RAWDATA Cars Buyers DB'!K:K)&gt;=31,"Middle Age ",IF(_xlfn.XLOOKUP($A344,'RAWDATA Cars Buyers DB'!$A:$A,'RAWDATA Cars Buyers DB'!K:K)&lt;31,"Adolescent","Invalid")))</f>
        <v>Adolescent</v>
      </c>
      <c r="M344" s="8" t="str">
        <f>_xlfn.XLOOKUP($A344,'RAWDATA Cars Buyers DB'!$A:$A,'RAWDATA Cars Buyers DB'!L:L)</f>
        <v>Yes</v>
      </c>
    </row>
    <row r="345" spans="1:13">
      <c r="A345" s="6">
        <v>61885</v>
      </c>
      <c r="B345" s="10" t="str">
        <f>IF(_xlfn.XLOOKUP($A345,'RAWDATA Cars Buyers DB'!$A:$A,'RAWDATA Cars Buyers DB'!B:B)="S","Single","Married")</f>
        <v>Single</v>
      </c>
      <c r="C345" s="10" t="str">
        <f>IF(_xlfn.XLOOKUP($A345,'RAWDATA Cars Buyers DB'!$A:$A,'RAWDATA Cars Buyers DB'!C:C)="F","Female","Male")</f>
        <v>Male</v>
      </c>
      <c r="D345" s="7">
        <f>_xlfn.XLOOKUP($A345,'RAWDATA Cars Buyers DB'!$A:$A,'RAWDATA Cars Buyers DB'!D:D)</f>
        <v>42190</v>
      </c>
      <c r="E345" s="8">
        <f>_xlfn.XLOOKUP($A345,'RAWDATA Cars Buyers DB'!$A:$A,'RAWDATA Cars Buyers DB'!E:E)</f>
        <v>3</v>
      </c>
      <c r="F345" s="8" t="str">
        <f>_xlfn.XLOOKUP($A345,'RAWDATA Cars Buyers DB'!$A:$A,'RAWDATA Cars Buyers DB'!F:F)</f>
        <v>High School</v>
      </c>
      <c r="G345" s="8" t="str">
        <f>_xlfn.XLOOKUP($A345,'RAWDATA Cars Buyers DB'!$A:$A,'RAWDATA Cars Buyers DB'!G:G)</f>
        <v>Skilled Manual</v>
      </c>
      <c r="H345" s="8" t="str">
        <f>_xlfn.XLOOKUP($A345,'RAWDATA Cars Buyers DB'!$A:$A,'RAWDATA Cars Buyers DB'!H:H)</f>
        <v>Yes</v>
      </c>
      <c r="I345" s="8" t="str">
        <f>_xlfn.XLOOKUP($A345,'RAWDATA Cars Buyers DB'!$A:$A,'RAWDATA Cars Buyers DB'!I:I)</f>
        <v>6+ Kilometre</v>
      </c>
      <c r="J345" s="8" t="str">
        <f>_xlfn.XLOOKUP($A345,'RAWDATA Cars Buyers DB'!$A:$A,'RAWDATA Cars Buyers DB'!J:J)</f>
        <v>Bavaria</v>
      </c>
      <c r="K345" s="8">
        <f>_xlfn.XLOOKUP($A345,'RAWDATA Cars Buyers DB'!$A:$A,'RAWDATA Cars Buyers DB'!K:K)</f>
        <v>69</v>
      </c>
      <c r="L345" s="10" t="str">
        <f>IF(_xlfn.XLOOKUP($A345,'RAWDATA Cars Buyers DB'!$A:$A,'RAWDATA Cars Buyers DB'!K:K)&gt;54,"Old ",IF(_xlfn.XLOOKUP($A345,'RAWDATA Cars Buyers DB'!$A:$A,'RAWDATA Cars Buyers DB'!K:K)&gt;=31,"Middle Age ",IF(_xlfn.XLOOKUP($A345,'RAWDATA Cars Buyers DB'!$A:$A,'RAWDATA Cars Buyers DB'!K:K)&lt;31,"Adolescent","Invalid")))</f>
        <v xml:space="preserve">Old </v>
      </c>
      <c r="M345" s="8" t="str">
        <f>_xlfn.XLOOKUP($A345,'RAWDATA Cars Buyers DB'!$A:$A,'RAWDATA Cars Buyers DB'!L:L)</f>
        <v>Yes</v>
      </c>
    </row>
    <row r="346" spans="1:13">
      <c r="A346" s="6">
        <v>46631</v>
      </c>
      <c r="B346" s="10" t="str">
        <f>IF(_xlfn.XLOOKUP($A346,'RAWDATA Cars Buyers DB'!$A:$A,'RAWDATA Cars Buyers DB'!B:B)="S","Single","Married")</f>
        <v>Married</v>
      </c>
      <c r="C346" s="10" t="str">
        <f>IF(_xlfn.XLOOKUP($A346,'RAWDATA Cars Buyers DB'!$A:$A,'RAWDATA Cars Buyers DB'!C:C)="F","Female","Male")</f>
        <v>Female</v>
      </c>
      <c r="D346" s="7">
        <f>_xlfn.XLOOKUP($A346,'RAWDATA Cars Buyers DB'!$A:$A,'RAWDATA Cars Buyers DB'!D:D)</f>
        <v>26142</v>
      </c>
      <c r="E346" s="8">
        <f>_xlfn.XLOOKUP($A346,'RAWDATA Cars Buyers DB'!$A:$A,'RAWDATA Cars Buyers DB'!E:E)</f>
        <v>0</v>
      </c>
      <c r="F346" s="8" t="str">
        <f>_xlfn.XLOOKUP($A346,'RAWDATA Cars Buyers DB'!$A:$A,'RAWDATA Cars Buyers DB'!F:F)</f>
        <v>Bachelors</v>
      </c>
      <c r="G346" s="8" t="str">
        <f>_xlfn.XLOOKUP($A346,'RAWDATA Cars Buyers DB'!$A:$A,'RAWDATA Cars Buyers DB'!G:G)</f>
        <v>Professional</v>
      </c>
      <c r="H346" s="8" t="str">
        <f>_xlfn.XLOOKUP($A346,'RAWDATA Cars Buyers DB'!$A:$A,'RAWDATA Cars Buyers DB'!H:H)</f>
        <v>No</v>
      </c>
      <c r="I346" s="8" t="str">
        <f>_xlfn.XLOOKUP($A346,'RAWDATA Cars Buyers DB'!$A:$A,'RAWDATA Cars Buyers DB'!I:I)</f>
        <v>2–4 Kilometre</v>
      </c>
      <c r="J346" s="8" t="str">
        <f>_xlfn.XLOOKUP($A346,'RAWDATA Cars Buyers DB'!$A:$A,'RAWDATA Cars Buyers DB'!J:J)</f>
        <v>Mecklenburg-Vorpommern</v>
      </c>
      <c r="K346" s="8">
        <f>_xlfn.XLOOKUP($A346,'RAWDATA Cars Buyers DB'!$A:$A,'RAWDATA Cars Buyers DB'!K:K)</f>
        <v>36</v>
      </c>
      <c r="L346" s="10" t="str">
        <f>IF(_xlfn.XLOOKUP($A346,'RAWDATA Cars Buyers DB'!$A:$A,'RAWDATA Cars Buyers DB'!K:K)&gt;54,"Old ",IF(_xlfn.XLOOKUP($A346,'RAWDATA Cars Buyers DB'!$A:$A,'RAWDATA Cars Buyers DB'!K:K)&gt;=31,"Middle Age ",IF(_xlfn.XLOOKUP($A346,'RAWDATA Cars Buyers DB'!$A:$A,'RAWDATA Cars Buyers DB'!K:K)&lt;31,"Adolescent","Invalid")))</f>
        <v xml:space="preserve">Middle Age </v>
      </c>
      <c r="M346" s="8" t="str">
        <f>_xlfn.XLOOKUP($A346,'RAWDATA Cars Buyers DB'!$A:$A,'RAWDATA Cars Buyers DB'!L:L)</f>
        <v>No</v>
      </c>
    </row>
    <row r="347" spans="1:13">
      <c r="A347" s="6">
        <v>82991</v>
      </c>
      <c r="B347" s="10" t="str">
        <f>IF(_xlfn.XLOOKUP($A347,'RAWDATA Cars Buyers DB'!$A:$A,'RAWDATA Cars Buyers DB'!B:B)="S","Single","Married")</f>
        <v>Single</v>
      </c>
      <c r="C347" s="10" t="str">
        <f>IF(_xlfn.XLOOKUP($A347,'RAWDATA Cars Buyers DB'!$A:$A,'RAWDATA Cars Buyers DB'!C:C)="F","Female","Male")</f>
        <v>Female</v>
      </c>
      <c r="D347" s="7">
        <f>_xlfn.XLOOKUP($A347,'RAWDATA Cars Buyers DB'!$A:$A,'RAWDATA Cars Buyers DB'!D:D)</f>
        <v>48398</v>
      </c>
      <c r="E347" s="8">
        <f>_xlfn.XLOOKUP($A347,'RAWDATA Cars Buyers DB'!$A:$A,'RAWDATA Cars Buyers DB'!E:E)</f>
        <v>2</v>
      </c>
      <c r="F347" s="8" t="str">
        <f>_xlfn.XLOOKUP($A347,'RAWDATA Cars Buyers DB'!$A:$A,'RAWDATA Cars Buyers DB'!F:F)</f>
        <v>High School</v>
      </c>
      <c r="G347" s="8" t="str">
        <f>_xlfn.XLOOKUP($A347,'RAWDATA Cars Buyers DB'!$A:$A,'RAWDATA Cars Buyers DB'!G:G)</f>
        <v>Professional</v>
      </c>
      <c r="H347" s="8" t="str">
        <f>_xlfn.XLOOKUP($A347,'RAWDATA Cars Buyers DB'!$A:$A,'RAWDATA Cars Buyers DB'!H:H)</f>
        <v>Yes</v>
      </c>
      <c r="I347" s="8" t="str">
        <f>_xlfn.XLOOKUP($A347,'RAWDATA Cars Buyers DB'!$A:$A,'RAWDATA Cars Buyers DB'!I:I)</f>
        <v>1–2 Kilometre</v>
      </c>
      <c r="J347" s="8" t="str">
        <f>_xlfn.XLOOKUP($A347,'RAWDATA Cars Buyers DB'!$A:$A,'RAWDATA Cars Buyers DB'!J:J)</f>
        <v>Brandenburg</v>
      </c>
      <c r="K347" s="8">
        <f>_xlfn.XLOOKUP($A347,'RAWDATA Cars Buyers DB'!$A:$A,'RAWDATA Cars Buyers DB'!K:K)</f>
        <v>50</v>
      </c>
      <c r="L347" s="10" t="str">
        <f>IF(_xlfn.XLOOKUP($A347,'RAWDATA Cars Buyers DB'!$A:$A,'RAWDATA Cars Buyers DB'!K:K)&gt;54,"Old ",IF(_xlfn.XLOOKUP($A347,'RAWDATA Cars Buyers DB'!$A:$A,'RAWDATA Cars Buyers DB'!K:K)&gt;=31,"Middle Age ",IF(_xlfn.XLOOKUP($A347,'RAWDATA Cars Buyers DB'!$A:$A,'RAWDATA Cars Buyers DB'!K:K)&lt;31,"Adolescent","Invalid")))</f>
        <v xml:space="preserve">Middle Age </v>
      </c>
      <c r="M347" s="8" t="str">
        <f>_xlfn.XLOOKUP($A347,'RAWDATA Cars Buyers DB'!$A:$A,'RAWDATA Cars Buyers DB'!L:L)</f>
        <v>Yes</v>
      </c>
    </row>
    <row r="348" spans="1:13">
      <c r="A348" s="6">
        <v>14014</v>
      </c>
      <c r="B348" s="10" t="str">
        <f>IF(_xlfn.XLOOKUP($A348,'RAWDATA Cars Buyers DB'!$A:$A,'RAWDATA Cars Buyers DB'!B:B)="S","Single","Married")</f>
        <v>Married</v>
      </c>
      <c r="C348" s="10" t="str">
        <f>IF(_xlfn.XLOOKUP($A348,'RAWDATA Cars Buyers DB'!$A:$A,'RAWDATA Cars Buyers DB'!C:C)="F","Female","Male")</f>
        <v>Male</v>
      </c>
      <c r="D348" s="7">
        <f>_xlfn.XLOOKUP($A348,'RAWDATA Cars Buyers DB'!$A:$A,'RAWDATA Cars Buyers DB'!D:D)</f>
        <v>71971</v>
      </c>
      <c r="E348" s="8">
        <f>_xlfn.XLOOKUP($A348,'RAWDATA Cars Buyers DB'!$A:$A,'RAWDATA Cars Buyers DB'!E:E)</f>
        <v>5</v>
      </c>
      <c r="F348" s="8" t="str">
        <f>_xlfn.XLOOKUP($A348,'RAWDATA Cars Buyers DB'!$A:$A,'RAWDATA Cars Buyers DB'!F:F)</f>
        <v>High School</v>
      </c>
      <c r="G348" s="8" t="str">
        <f>_xlfn.XLOOKUP($A348,'RAWDATA Cars Buyers DB'!$A:$A,'RAWDATA Cars Buyers DB'!G:G)</f>
        <v>Clerical</v>
      </c>
      <c r="H348" s="8" t="str">
        <f>_xlfn.XLOOKUP($A348,'RAWDATA Cars Buyers DB'!$A:$A,'RAWDATA Cars Buyers DB'!H:H)</f>
        <v>Yes</v>
      </c>
      <c r="I348" s="8" t="str">
        <f>_xlfn.XLOOKUP($A348,'RAWDATA Cars Buyers DB'!$A:$A,'RAWDATA Cars Buyers DB'!I:I)</f>
        <v>0–1 Kilometre</v>
      </c>
      <c r="J348" s="8" t="str">
        <f>_xlfn.XLOOKUP($A348,'RAWDATA Cars Buyers DB'!$A:$A,'RAWDATA Cars Buyers DB'!J:J)</f>
        <v>Saarland</v>
      </c>
      <c r="K348" s="8">
        <f>_xlfn.XLOOKUP($A348,'RAWDATA Cars Buyers DB'!$A:$A,'RAWDATA Cars Buyers DB'!K:K)</f>
        <v>31</v>
      </c>
      <c r="L348" s="10" t="str">
        <f>IF(_xlfn.XLOOKUP($A348,'RAWDATA Cars Buyers DB'!$A:$A,'RAWDATA Cars Buyers DB'!K:K)&gt;54,"Old ",IF(_xlfn.XLOOKUP($A348,'RAWDATA Cars Buyers DB'!$A:$A,'RAWDATA Cars Buyers DB'!K:K)&gt;=31,"Middle Age ",IF(_xlfn.XLOOKUP($A348,'RAWDATA Cars Buyers DB'!$A:$A,'RAWDATA Cars Buyers DB'!K:K)&lt;31,"Adolescent","Invalid")))</f>
        <v xml:space="preserve">Middle Age </v>
      </c>
      <c r="M348" s="8" t="str">
        <f>_xlfn.XLOOKUP($A348,'RAWDATA Cars Buyers DB'!$A:$A,'RAWDATA Cars Buyers DB'!L:L)</f>
        <v>Yes</v>
      </c>
    </row>
    <row r="349" spans="1:13">
      <c r="A349" s="6">
        <v>21093</v>
      </c>
      <c r="B349" s="10" t="str">
        <f>IF(_xlfn.XLOOKUP($A349,'RAWDATA Cars Buyers DB'!$A:$A,'RAWDATA Cars Buyers DB'!B:B)="S","Single","Married")</f>
        <v>Married</v>
      </c>
      <c r="C349" s="10" t="str">
        <f>IF(_xlfn.XLOOKUP($A349,'RAWDATA Cars Buyers DB'!$A:$A,'RAWDATA Cars Buyers DB'!C:C)="F","Female","Male")</f>
        <v>Female</v>
      </c>
      <c r="D349" s="7">
        <f>_xlfn.XLOOKUP($A349,'RAWDATA Cars Buyers DB'!$A:$A,'RAWDATA Cars Buyers DB'!D:D)</f>
        <v>61862</v>
      </c>
      <c r="E349" s="8">
        <f>_xlfn.XLOOKUP($A349,'RAWDATA Cars Buyers DB'!$A:$A,'RAWDATA Cars Buyers DB'!E:E)</f>
        <v>5</v>
      </c>
      <c r="F349" s="8" t="str">
        <f>_xlfn.XLOOKUP($A349,'RAWDATA Cars Buyers DB'!$A:$A,'RAWDATA Cars Buyers DB'!F:F)</f>
        <v>High School</v>
      </c>
      <c r="G349" s="8" t="str">
        <f>_xlfn.XLOOKUP($A349,'RAWDATA Cars Buyers DB'!$A:$A,'RAWDATA Cars Buyers DB'!G:G)</f>
        <v>Skilled Manual</v>
      </c>
      <c r="H349" s="8" t="str">
        <f>_xlfn.XLOOKUP($A349,'RAWDATA Cars Buyers DB'!$A:$A,'RAWDATA Cars Buyers DB'!H:H)</f>
        <v>Yes</v>
      </c>
      <c r="I349" s="8" t="str">
        <f>_xlfn.XLOOKUP($A349,'RAWDATA Cars Buyers DB'!$A:$A,'RAWDATA Cars Buyers DB'!I:I)</f>
        <v>0–1 Kilometre</v>
      </c>
      <c r="J349" s="8" t="str">
        <f>_xlfn.XLOOKUP($A349,'RAWDATA Cars Buyers DB'!$A:$A,'RAWDATA Cars Buyers DB'!J:J)</f>
        <v>Lower Saxony</v>
      </c>
      <c r="K349" s="8">
        <f>_xlfn.XLOOKUP($A349,'RAWDATA Cars Buyers DB'!$A:$A,'RAWDATA Cars Buyers DB'!K:K)</f>
        <v>42</v>
      </c>
      <c r="L349" s="10" t="str">
        <f>IF(_xlfn.XLOOKUP($A349,'RAWDATA Cars Buyers DB'!$A:$A,'RAWDATA Cars Buyers DB'!K:K)&gt;54,"Old ",IF(_xlfn.XLOOKUP($A349,'RAWDATA Cars Buyers DB'!$A:$A,'RAWDATA Cars Buyers DB'!K:K)&gt;=31,"Middle Age ",IF(_xlfn.XLOOKUP($A349,'RAWDATA Cars Buyers DB'!$A:$A,'RAWDATA Cars Buyers DB'!K:K)&lt;31,"Adolescent","Invalid")))</f>
        <v xml:space="preserve">Middle Age </v>
      </c>
      <c r="M349" s="8" t="str">
        <f>_xlfn.XLOOKUP($A349,'RAWDATA Cars Buyers DB'!$A:$A,'RAWDATA Cars Buyers DB'!L:L)</f>
        <v>Yes</v>
      </c>
    </row>
    <row r="350" spans="1:13">
      <c r="A350" s="6">
        <v>28070</v>
      </c>
      <c r="B350" s="10" t="str">
        <f>IF(_xlfn.XLOOKUP($A350,'RAWDATA Cars Buyers DB'!$A:$A,'RAWDATA Cars Buyers DB'!B:B)="S","Single","Married")</f>
        <v>Married</v>
      </c>
      <c r="C350" s="10" t="str">
        <f>IF(_xlfn.XLOOKUP($A350,'RAWDATA Cars Buyers DB'!$A:$A,'RAWDATA Cars Buyers DB'!C:C)="F","Female","Male")</f>
        <v>Male</v>
      </c>
      <c r="D350" s="7">
        <f>_xlfn.XLOOKUP($A350,'RAWDATA Cars Buyers DB'!$A:$A,'RAWDATA Cars Buyers DB'!D:D)</f>
        <v>118668</v>
      </c>
      <c r="E350" s="8">
        <f>_xlfn.XLOOKUP($A350,'RAWDATA Cars Buyers DB'!$A:$A,'RAWDATA Cars Buyers DB'!E:E)</f>
        <v>1</v>
      </c>
      <c r="F350" s="8" t="str">
        <f>_xlfn.XLOOKUP($A350,'RAWDATA Cars Buyers DB'!$A:$A,'RAWDATA Cars Buyers DB'!F:F)</f>
        <v>Bachelors</v>
      </c>
      <c r="G350" s="8" t="str">
        <f>_xlfn.XLOOKUP($A350,'RAWDATA Cars Buyers DB'!$A:$A,'RAWDATA Cars Buyers DB'!G:G)</f>
        <v>Clerical</v>
      </c>
      <c r="H350" s="8" t="str">
        <f>_xlfn.XLOOKUP($A350,'RAWDATA Cars Buyers DB'!$A:$A,'RAWDATA Cars Buyers DB'!H:H)</f>
        <v>No</v>
      </c>
      <c r="I350" s="8" t="str">
        <f>_xlfn.XLOOKUP($A350,'RAWDATA Cars Buyers DB'!$A:$A,'RAWDATA Cars Buyers DB'!I:I)</f>
        <v>6+ Kilometre</v>
      </c>
      <c r="J350" s="8" t="str">
        <f>_xlfn.XLOOKUP($A350,'RAWDATA Cars Buyers DB'!$A:$A,'RAWDATA Cars Buyers DB'!J:J)</f>
        <v>Hamburg</v>
      </c>
      <c r="K350" s="8">
        <f>_xlfn.XLOOKUP($A350,'RAWDATA Cars Buyers DB'!$A:$A,'RAWDATA Cars Buyers DB'!K:K)</f>
        <v>24</v>
      </c>
      <c r="L350" s="10" t="str">
        <f>IF(_xlfn.XLOOKUP($A350,'RAWDATA Cars Buyers DB'!$A:$A,'RAWDATA Cars Buyers DB'!K:K)&gt;54,"Old ",IF(_xlfn.XLOOKUP($A350,'RAWDATA Cars Buyers DB'!$A:$A,'RAWDATA Cars Buyers DB'!K:K)&gt;=31,"Middle Age ",IF(_xlfn.XLOOKUP($A350,'RAWDATA Cars Buyers DB'!$A:$A,'RAWDATA Cars Buyers DB'!K:K)&lt;31,"Adolescent","Invalid")))</f>
        <v>Adolescent</v>
      </c>
      <c r="M350" s="8" t="str">
        <f>_xlfn.XLOOKUP($A350,'RAWDATA Cars Buyers DB'!$A:$A,'RAWDATA Cars Buyers DB'!L:L)</f>
        <v>Yes</v>
      </c>
    </row>
    <row r="351" spans="1:13">
      <c r="A351" s="6">
        <v>45777</v>
      </c>
      <c r="B351" s="10" t="str">
        <f>IF(_xlfn.XLOOKUP($A351,'RAWDATA Cars Buyers DB'!$A:$A,'RAWDATA Cars Buyers DB'!B:B)="S","Single","Married")</f>
        <v>Married</v>
      </c>
      <c r="C351" s="10" t="str">
        <f>IF(_xlfn.XLOOKUP($A351,'RAWDATA Cars Buyers DB'!$A:$A,'RAWDATA Cars Buyers DB'!C:C)="F","Female","Male")</f>
        <v>Female</v>
      </c>
      <c r="D351" s="7">
        <f>_xlfn.XLOOKUP($A351,'RAWDATA Cars Buyers DB'!$A:$A,'RAWDATA Cars Buyers DB'!D:D)</f>
        <v>73410</v>
      </c>
      <c r="E351" s="8">
        <f>_xlfn.XLOOKUP($A351,'RAWDATA Cars Buyers DB'!$A:$A,'RAWDATA Cars Buyers DB'!E:E)</f>
        <v>0</v>
      </c>
      <c r="F351" s="8" t="str">
        <f>_xlfn.XLOOKUP($A351,'RAWDATA Cars Buyers DB'!$A:$A,'RAWDATA Cars Buyers DB'!F:F)</f>
        <v>Partial College</v>
      </c>
      <c r="G351" s="8" t="str">
        <f>_xlfn.XLOOKUP($A351,'RAWDATA Cars Buyers DB'!$A:$A,'RAWDATA Cars Buyers DB'!G:G)</f>
        <v>Management</v>
      </c>
      <c r="H351" s="8" t="str">
        <f>_xlfn.XLOOKUP($A351,'RAWDATA Cars Buyers DB'!$A:$A,'RAWDATA Cars Buyers DB'!H:H)</f>
        <v>Yes</v>
      </c>
      <c r="I351" s="8" t="str">
        <f>_xlfn.XLOOKUP($A351,'RAWDATA Cars Buyers DB'!$A:$A,'RAWDATA Cars Buyers DB'!I:I)</f>
        <v>2–4 Kilometre</v>
      </c>
      <c r="J351" s="8" t="str">
        <f>_xlfn.XLOOKUP($A351,'RAWDATA Cars Buyers DB'!$A:$A,'RAWDATA Cars Buyers DB'!J:J)</f>
        <v>Hesse</v>
      </c>
      <c r="K351" s="8">
        <f>_xlfn.XLOOKUP($A351,'RAWDATA Cars Buyers DB'!$A:$A,'RAWDATA Cars Buyers DB'!K:K)</f>
        <v>62</v>
      </c>
      <c r="L351" s="10" t="str">
        <f>IF(_xlfn.XLOOKUP($A351,'RAWDATA Cars Buyers DB'!$A:$A,'RAWDATA Cars Buyers DB'!K:K)&gt;54,"Old ",IF(_xlfn.XLOOKUP($A351,'RAWDATA Cars Buyers DB'!$A:$A,'RAWDATA Cars Buyers DB'!K:K)&gt;=31,"Middle Age ",IF(_xlfn.XLOOKUP($A351,'RAWDATA Cars Buyers DB'!$A:$A,'RAWDATA Cars Buyers DB'!K:K)&lt;31,"Adolescent","Invalid")))</f>
        <v xml:space="preserve">Old </v>
      </c>
      <c r="M351" s="8" t="str">
        <f>_xlfn.XLOOKUP($A351,'RAWDATA Cars Buyers DB'!$A:$A,'RAWDATA Cars Buyers DB'!L:L)</f>
        <v>No</v>
      </c>
    </row>
    <row r="352" spans="1:13">
      <c r="A352" s="6">
        <v>66958</v>
      </c>
      <c r="B352" s="10" t="str">
        <f>IF(_xlfn.XLOOKUP($A352,'RAWDATA Cars Buyers DB'!$A:$A,'RAWDATA Cars Buyers DB'!B:B)="S","Single","Married")</f>
        <v>Single</v>
      </c>
      <c r="C352" s="10" t="str">
        <f>IF(_xlfn.XLOOKUP($A352,'RAWDATA Cars Buyers DB'!$A:$A,'RAWDATA Cars Buyers DB'!C:C)="F","Female","Male")</f>
        <v>Female</v>
      </c>
      <c r="D352" s="7">
        <f>_xlfn.XLOOKUP($A352,'RAWDATA Cars Buyers DB'!$A:$A,'RAWDATA Cars Buyers DB'!D:D)</f>
        <v>39503</v>
      </c>
      <c r="E352" s="8">
        <f>_xlfn.XLOOKUP($A352,'RAWDATA Cars Buyers DB'!$A:$A,'RAWDATA Cars Buyers DB'!E:E)</f>
        <v>0</v>
      </c>
      <c r="F352" s="8" t="str">
        <f>_xlfn.XLOOKUP($A352,'RAWDATA Cars Buyers DB'!$A:$A,'RAWDATA Cars Buyers DB'!F:F)</f>
        <v>Partial College</v>
      </c>
      <c r="G352" s="8" t="str">
        <f>_xlfn.XLOOKUP($A352,'RAWDATA Cars Buyers DB'!$A:$A,'RAWDATA Cars Buyers DB'!G:G)</f>
        <v>Professional</v>
      </c>
      <c r="H352" s="8" t="str">
        <f>_xlfn.XLOOKUP($A352,'RAWDATA Cars Buyers DB'!$A:$A,'RAWDATA Cars Buyers DB'!H:H)</f>
        <v>No</v>
      </c>
      <c r="I352" s="8" t="str">
        <f>_xlfn.XLOOKUP($A352,'RAWDATA Cars Buyers DB'!$A:$A,'RAWDATA Cars Buyers DB'!I:I)</f>
        <v>1–2 Kilometre</v>
      </c>
      <c r="J352" s="8" t="str">
        <f>_xlfn.XLOOKUP($A352,'RAWDATA Cars Buyers DB'!$A:$A,'RAWDATA Cars Buyers DB'!J:J)</f>
        <v>Saarland</v>
      </c>
      <c r="K352" s="8">
        <f>_xlfn.XLOOKUP($A352,'RAWDATA Cars Buyers DB'!$A:$A,'RAWDATA Cars Buyers DB'!K:K)</f>
        <v>55</v>
      </c>
      <c r="L352" s="10" t="str">
        <f>IF(_xlfn.XLOOKUP($A352,'RAWDATA Cars Buyers DB'!$A:$A,'RAWDATA Cars Buyers DB'!K:K)&gt;54,"Old ",IF(_xlfn.XLOOKUP($A352,'RAWDATA Cars Buyers DB'!$A:$A,'RAWDATA Cars Buyers DB'!K:K)&gt;=31,"Middle Age ",IF(_xlfn.XLOOKUP($A352,'RAWDATA Cars Buyers DB'!$A:$A,'RAWDATA Cars Buyers DB'!K:K)&lt;31,"Adolescent","Invalid")))</f>
        <v xml:space="preserve">Old </v>
      </c>
      <c r="M352" s="8" t="str">
        <f>_xlfn.XLOOKUP($A352,'RAWDATA Cars Buyers DB'!$A:$A,'RAWDATA Cars Buyers DB'!L:L)</f>
        <v>No</v>
      </c>
    </row>
    <row r="353" spans="1:13">
      <c r="A353" s="6">
        <v>92074</v>
      </c>
      <c r="B353" s="10" t="str">
        <f>IF(_xlfn.XLOOKUP($A353,'RAWDATA Cars Buyers DB'!$A:$A,'RAWDATA Cars Buyers DB'!B:B)="S","Single","Married")</f>
        <v>Single</v>
      </c>
      <c r="C353" s="10" t="str">
        <f>IF(_xlfn.XLOOKUP($A353,'RAWDATA Cars Buyers DB'!$A:$A,'RAWDATA Cars Buyers DB'!C:C)="F","Female","Male")</f>
        <v>Male</v>
      </c>
      <c r="D353" s="7">
        <f>_xlfn.XLOOKUP($A353,'RAWDATA Cars Buyers DB'!$A:$A,'RAWDATA Cars Buyers DB'!D:D)</f>
        <v>68456</v>
      </c>
      <c r="E353" s="8">
        <f>_xlfn.XLOOKUP($A353,'RAWDATA Cars Buyers DB'!$A:$A,'RAWDATA Cars Buyers DB'!E:E)</f>
        <v>5</v>
      </c>
      <c r="F353" s="8" t="str">
        <f>_xlfn.XLOOKUP($A353,'RAWDATA Cars Buyers DB'!$A:$A,'RAWDATA Cars Buyers DB'!F:F)</f>
        <v>Partial College</v>
      </c>
      <c r="G353" s="8" t="str">
        <f>_xlfn.XLOOKUP($A353,'RAWDATA Cars Buyers DB'!$A:$A,'RAWDATA Cars Buyers DB'!G:G)</f>
        <v>Clerical</v>
      </c>
      <c r="H353" s="8" t="str">
        <f>_xlfn.XLOOKUP($A353,'RAWDATA Cars Buyers DB'!$A:$A,'RAWDATA Cars Buyers DB'!H:H)</f>
        <v>Yes</v>
      </c>
      <c r="I353" s="8" t="str">
        <f>_xlfn.XLOOKUP($A353,'RAWDATA Cars Buyers DB'!$A:$A,'RAWDATA Cars Buyers DB'!I:I)</f>
        <v>1–2 Kilometre</v>
      </c>
      <c r="J353" s="8" t="str">
        <f>_xlfn.XLOOKUP($A353,'RAWDATA Cars Buyers DB'!$A:$A,'RAWDATA Cars Buyers DB'!J:J)</f>
        <v>Mecklenburg-Vorpommern</v>
      </c>
      <c r="K353" s="8">
        <f>_xlfn.XLOOKUP($A353,'RAWDATA Cars Buyers DB'!$A:$A,'RAWDATA Cars Buyers DB'!K:K)</f>
        <v>55</v>
      </c>
      <c r="L353" s="10" t="str">
        <f>IF(_xlfn.XLOOKUP($A353,'RAWDATA Cars Buyers DB'!$A:$A,'RAWDATA Cars Buyers DB'!K:K)&gt;54,"Old ",IF(_xlfn.XLOOKUP($A353,'RAWDATA Cars Buyers DB'!$A:$A,'RAWDATA Cars Buyers DB'!K:K)&gt;=31,"Middle Age ",IF(_xlfn.XLOOKUP($A353,'RAWDATA Cars Buyers DB'!$A:$A,'RAWDATA Cars Buyers DB'!K:K)&lt;31,"Adolescent","Invalid")))</f>
        <v xml:space="preserve">Old </v>
      </c>
      <c r="M353" s="8" t="str">
        <f>_xlfn.XLOOKUP($A353,'RAWDATA Cars Buyers DB'!$A:$A,'RAWDATA Cars Buyers DB'!L:L)</f>
        <v>Yes</v>
      </c>
    </row>
    <row r="354" spans="1:13">
      <c r="A354" s="6">
        <v>20729</v>
      </c>
      <c r="B354" s="10" t="str">
        <f>IF(_xlfn.XLOOKUP($A354,'RAWDATA Cars Buyers DB'!$A:$A,'RAWDATA Cars Buyers DB'!B:B)="S","Single","Married")</f>
        <v>Single</v>
      </c>
      <c r="C354" s="10" t="str">
        <f>IF(_xlfn.XLOOKUP($A354,'RAWDATA Cars Buyers DB'!$A:$A,'RAWDATA Cars Buyers DB'!C:C)="F","Female","Male")</f>
        <v>Male</v>
      </c>
      <c r="D354" s="7">
        <f>_xlfn.XLOOKUP($A354,'RAWDATA Cars Buyers DB'!$A:$A,'RAWDATA Cars Buyers DB'!D:D)</f>
        <v>102035</v>
      </c>
      <c r="E354" s="8">
        <f>_xlfn.XLOOKUP($A354,'RAWDATA Cars Buyers DB'!$A:$A,'RAWDATA Cars Buyers DB'!E:E)</f>
        <v>5</v>
      </c>
      <c r="F354" s="8" t="str">
        <f>_xlfn.XLOOKUP($A354,'RAWDATA Cars Buyers DB'!$A:$A,'RAWDATA Cars Buyers DB'!F:F)</f>
        <v>High School</v>
      </c>
      <c r="G354" s="8" t="str">
        <f>_xlfn.XLOOKUP($A354,'RAWDATA Cars Buyers DB'!$A:$A,'RAWDATA Cars Buyers DB'!G:G)</f>
        <v>Clerical</v>
      </c>
      <c r="H354" s="8" t="str">
        <f>_xlfn.XLOOKUP($A354,'RAWDATA Cars Buyers DB'!$A:$A,'RAWDATA Cars Buyers DB'!H:H)</f>
        <v>Yes</v>
      </c>
      <c r="I354" s="8" t="str">
        <f>_xlfn.XLOOKUP($A354,'RAWDATA Cars Buyers DB'!$A:$A,'RAWDATA Cars Buyers DB'!I:I)</f>
        <v>0–1 Kilometre</v>
      </c>
      <c r="J354" s="8" t="str">
        <f>_xlfn.XLOOKUP($A354,'RAWDATA Cars Buyers DB'!$A:$A,'RAWDATA Cars Buyers DB'!J:J)</f>
        <v>Hesse</v>
      </c>
      <c r="K354" s="8">
        <f>_xlfn.XLOOKUP($A354,'RAWDATA Cars Buyers DB'!$A:$A,'RAWDATA Cars Buyers DB'!K:K)</f>
        <v>22</v>
      </c>
      <c r="L354" s="10" t="str">
        <f>IF(_xlfn.XLOOKUP($A354,'RAWDATA Cars Buyers DB'!$A:$A,'RAWDATA Cars Buyers DB'!K:K)&gt;54,"Old ",IF(_xlfn.XLOOKUP($A354,'RAWDATA Cars Buyers DB'!$A:$A,'RAWDATA Cars Buyers DB'!K:K)&gt;=31,"Middle Age ",IF(_xlfn.XLOOKUP($A354,'RAWDATA Cars Buyers DB'!$A:$A,'RAWDATA Cars Buyers DB'!K:K)&lt;31,"Adolescent","Invalid")))</f>
        <v>Adolescent</v>
      </c>
      <c r="M354" s="8" t="str">
        <f>_xlfn.XLOOKUP($A354,'RAWDATA Cars Buyers DB'!$A:$A,'RAWDATA Cars Buyers DB'!L:L)</f>
        <v>Yes</v>
      </c>
    </row>
    <row r="355" spans="1:13">
      <c r="A355" s="6">
        <v>55017</v>
      </c>
      <c r="B355" s="10" t="str">
        <f>IF(_xlfn.XLOOKUP($A355,'RAWDATA Cars Buyers DB'!$A:$A,'RAWDATA Cars Buyers DB'!B:B)="S","Single","Married")</f>
        <v>Single</v>
      </c>
      <c r="C355" s="10" t="str">
        <f>IF(_xlfn.XLOOKUP($A355,'RAWDATA Cars Buyers DB'!$A:$A,'RAWDATA Cars Buyers DB'!C:C)="F","Female","Male")</f>
        <v>Male</v>
      </c>
      <c r="D355" s="7">
        <f>_xlfn.XLOOKUP($A355,'RAWDATA Cars Buyers DB'!$A:$A,'RAWDATA Cars Buyers DB'!D:D)</f>
        <v>28016</v>
      </c>
      <c r="E355" s="8">
        <f>_xlfn.XLOOKUP($A355,'RAWDATA Cars Buyers DB'!$A:$A,'RAWDATA Cars Buyers DB'!E:E)</f>
        <v>4</v>
      </c>
      <c r="F355" s="8" t="str">
        <f>_xlfn.XLOOKUP($A355,'RAWDATA Cars Buyers DB'!$A:$A,'RAWDATA Cars Buyers DB'!F:F)</f>
        <v>Bachelors</v>
      </c>
      <c r="G355" s="8" t="str">
        <f>_xlfn.XLOOKUP($A355,'RAWDATA Cars Buyers DB'!$A:$A,'RAWDATA Cars Buyers DB'!G:G)</f>
        <v>Professional</v>
      </c>
      <c r="H355" s="8" t="str">
        <f>_xlfn.XLOOKUP($A355,'RAWDATA Cars Buyers DB'!$A:$A,'RAWDATA Cars Buyers DB'!H:H)</f>
        <v>No</v>
      </c>
      <c r="I355" s="8" t="str">
        <f>_xlfn.XLOOKUP($A355,'RAWDATA Cars Buyers DB'!$A:$A,'RAWDATA Cars Buyers DB'!I:I)</f>
        <v>6+ Kilometre</v>
      </c>
      <c r="J355" s="8" t="str">
        <f>_xlfn.XLOOKUP($A355,'RAWDATA Cars Buyers DB'!$A:$A,'RAWDATA Cars Buyers DB'!J:J)</f>
        <v>Saarland</v>
      </c>
      <c r="K355" s="8">
        <f>_xlfn.XLOOKUP($A355,'RAWDATA Cars Buyers DB'!$A:$A,'RAWDATA Cars Buyers DB'!K:K)</f>
        <v>43</v>
      </c>
      <c r="L355" s="10" t="str">
        <f>IF(_xlfn.XLOOKUP($A355,'RAWDATA Cars Buyers DB'!$A:$A,'RAWDATA Cars Buyers DB'!K:K)&gt;54,"Old ",IF(_xlfn.XLOOKUP($A355,'RAWDATA Cars Buyers DB'!$A:$A,'RAWDATA Cars Buyers DB'!K:K)&gt;=31,"Middle Age ",IF(_xlfn.XLOOKUP($A355,'RAWDATA Cars Buyers DB'!$A:$A,'RAWDATA Cars Buyers DB'!K:K)&lt;31,"Adolescent","Invalid")))</f>
        <v xml:space="preserve">Middle Age </v>
      </c>
      <c r="M355" s="8" t="str">
        <f>_xlfn.XLOOKUP($A355,'RAWDATA Cars Buyers DB'!$A:$A,'RAWDATA Cars Buyers DB'!L:L)</f>
        <v>Yes</v>
      </c>
    </row>
    <row r="356" spans="1:13">
      <c r="A356" s="6">
        <v>76320</v>
      </c>
      <c r="B356" s="10" t="str">
        <f>IF(_xlfn.XLOOKUP($A356,'RAWDATA Cars Buyers DB'!$A:$A,'RAWDATA Cars Buyers DB'!B:B)="S","Single","Married")</f>
        <v>Married</v>
      </c>
      <c r="C356" s="10" t="str">
        <f>IF(_xlfn.XLOOKUP($A356,'RAWDATA Cars Buyers DB'!$A:$A,'RAWDATA Cars Buyers DB'!C:C)="F","Female","Male")</f>
        <v>Male</v>
      </c>
      <c r="D356" s="7">
        <f>_xlfn.XLOOKUP($A356,'RAWDATA Cars Buyers DB'!$A:$A,'RAWDATA Cars Buyers DB'!D:D)</f>
        <v>22384</v>
      </c>
      <c r="E356" s="8">
        <f>_xlfn.XLOOKUP($A356,'RAWDATA Cars Buyers DB'!$A:$A,'RAWDATA Cars Buyers DB'!E:E)</f>
        <v>4</v>
      </c>
      <c r="F356" s="8" t="str">
        <f>_xlfn.XLOOKUP($A356,'RAWDATA Cars Buyers DB'!$A:$A,'RAWDATA Cars Buyers DB'!F:F)</f>
        <v>High School</v>
      </c>
      <c r="G356" s="8" t="str">
        <f>_xlfn.XLOOKUP($A356,'RAWDATA Cars Buyers DB'!$A:$A,'RAWDATA Cars Buyers DB'!G:G)</f>
        <v>Skilled Manual</v>
      </c>
      <c r="H356" s="8" t="str">
        <f>_xlfn.XLOOKUP($A356,'RAWDATA Cars Buyers DB'!$A:$A,'RAWDATA Cars Buyers DB'!H:H)</f>
        <v>Yes</v>
      </c>
      <c r="I356" s="8" t="str">
        <f>_xlfn.XLOOKUP($A356,'RAWDATA Cars Buyers DB'!$A:$A,'RAWDATA Cars Buyers DB'!I:I)</f>
        <v>0–1 Kilometre</v>
      </c>
      <c r="J356" s="8" t="str">
        <f>_xlfn.XLOOKUP($A356,'RAWDATA Cars Buyers DB'!$A:$A,'RAWDATA Cars Buyers DB'!J:J)</f>
        <v>Bremen</v>
      </c>
      <c r="K356" s="8">
        <f>_xlfn.XLOOKUP($A356,'RAWDATA Cars Buyers DB'!$A:$A,'RAWDATA Cars Buyers DB'!K:K)</f>
        <v>36</v>
      </c>
      <c r="L356" s="10" t="str">
        <f>IF(_xlfn.XLOOKUP($A356,'RAWDATA Cars Buyers DB'!$A:$A,'RAWDATA Cars Buyers DB'!K:K)&gt;54,"Old ",IF(_xlfn.XLOOKUP($A356,'RAWDATA Cars Buyers DB'!$A:$A,'RAWDATA Cars Buyers DB'!K:K)&gt;=31,"Middle Age ",IF(_xlfn.XLOOKUP($A356,'RAWDATA Cars Buyers DB'!$A:$A,'RAWDATA Cars Buyers DB'!K:K)&lt;31,"Adolescent","Invalid")))</f>
        <v xml:space="preserve">Middle Age </v>
      </c>
      <c r="M356" s="8" t="str">
        <f>_xlfn.XLOOKUP($A356,'RAWDATA Cars Buyers DB'!$A:$A,'RAWDATA Cars Buyers DB'!L:L)</f>
        <v>Yes</v>
      </c>
    </row>
    <row r="357" spans="1:13">
      <c r="A357" s="6">
        <v>37751</v>
      </c>
      <c r="B357" s="10" t="str">
        <f>IF(_xlfn.XLOOKUP($A357,'RAWDATA Cars Buyers DB'!$A:$A,'RAWDATA Cars Buyers DB'!B:B)="S","Single","Married")</f>
        <v>Married</v>
      </c>
      <c r="C357" s="10" t="str">
        <f>IF(_xlfn.XLOOKUP($A357,'RAWDATA Cars Buyers DB'!$A:$A,'RAWDATA Cars Buyers DB'!C:C)="F","Female","Male")</f>
        <v>Female</v>
      </c>
      <c r="D357" s="7">
        <f>_xlfn.XLOOKUP($A357,'RAWDATA Cars Buyers DB'!$A:$A,'RAWDATA Cars Buyers DB'!D:D)</f>
        <v>82320</v>
      </c>
      <c r="E357" s="8">
        <f>_xlfn.XLOOKUP($A357,'RAWDATA Cars Buyers DB'!$A:$A,'RAWDATA Cars Buyers DB'!E:E)</f>
        <v>4</v>
      </c>
      <c r="F357" s="8" t="str">
        <f>_xlfn.XLOOKUP($A357,'RAWDATA Cars Buyers DB'!$A:$A,'RAWDATA Cars Buyers DB'!F:F)</f>
        <v>Partial College</v>
      </c>
      <c r="G357" s="8" t="str">
        <f>_xlfn.XLOOKUP($A357,'RAWDATA Cars Buyers DB'!$A:$A,'RAWDATA Cars Buyers DB'!G:G)</f>
        <v>Clerical</v>
      </c>
      <c r="H357" s="8" t="str">
        <f>_xlfn.XLOOKUP($A357,'RAWDATA Cars Buyers DB'!$A:$A,'RAWDATA Cars Buyers DB'!H:H)</f>
        <v>Yes</v>
      </c>
      <c r="I357" s="8" t="str">
        <f>_xlfn.XLOOKUP($A357,'RAWDATA Cars Buyers DB'!$A:$A,'RAWDATA Cars Buyers DB'!I:I)</f>
        <v>0–1 Kilometre</v>
      </c>
      <c r="J357" s="8" t="str">
        <f>_xlfn.XLOOKUP($A357,'RAWDATA Cars Buyers DB'!$A:$A,'RAWDATA Cars Buyers DB'!J:J)</f>
        <v>Rhineland-Palatinate</v>
      </c>
      <c r="K357" s="8">
        <f>_xlfn.XLOOKUP($A357,'RAWDATA Cars Buyers DB'!$A:$A,'RAWDATA Cars Buyers DB'!K:K)</f>
        <v>58</v>
      </c>
      <c r="L357" s="10" t="str">
        <f>IF(_xlfn.XLOOKUP($A357,'RAWDATA Cars Buyers DB'!$A:$A,'RAWDATA Cars Buyers DB'!K:K)&gt;54,"Old ",IF(_xlfn.XLOOKUP($A357,'RAWDATA Cars Buyers DB'!$A:$A,'RAWDATA Cars Buyers DB'!K:K)&gt;=31,"Middle Age ",IF(_xlfn.XLOOKUP($A357,'RAWDATA Cars Buyers DB'!$A:$A,'RAWDATA Cars Buyers DB'!K:K)&lt;31,"Adolescent","Invalid")))</f>
        <v xml:space="preserve">Old </v>
      </c>
      <c r="M357" s="8" t="str">
        <f>_xlfn.XLOOKUP($A357,'RAWDATA Cars Buyers DB'!$A:$A,'RAWDATA Cars Buyers DB'!L:L)</f>
        <v>Yes</v>
      </c>
    </row>
    <row r="358" spans="1:13">
      <c r="A358" s="6">
        <v>88069</v>
      </c>
      <c r="B358" s="10" t="str">
        <f>IF(_xlfn.XLOOKUP($A358,'RAWDATA Cars Buyers DB'!$A:$A,'RAWDATA Cars Buyers DB'!B:B)="S","Single","Married")</f>
        <v>Single</v>
      </c>
      <c r="C358" s="10" t="str">
        <f>IF(_xlfn.XLOOKUP($A358,'RAWDATA Cars Buyers DB'!$A:$A,'RAWDATA Cars Buyers DB'!C:C)="F","Female","Male")</f>
        <v>Male</v>
      </c>
      <c r="D358" s="7">
        <f>_xlfn.XLOOKUP($A358,'RAWDATA Cars Buyers DB'!$A:$A,'RAWDATA Cars Buyers DB'!D:D)</f>
        <v>35072</v>
      </c>
      <c r="E358" s="8">
        <f>_xlfn.XLOOKUP($A358,'RAWDATA Cars Buyers DB'!$A:$A,'RAWDATA Cars Buyers DB'!E:E)</f>
        <v>0</v>
      </c>
      <c r="F358" s="8" t="str">
        <f>_xlfn.XLOOKUP($A358,'RAWDATA Cars Buyers DB'!$A:$A,'RAWDATA Cars Buyers DB'!F:F)</f>
        <v>Partial College</v>
      </c>
      <c r="G358" s="8" t="str">
        <f>_xlfn.XLOOKUP($A358,'RAWDATA Cars Buyers DB'!$A:$A,'RAWDATA Cars Buyers DB'!G:G)</f>
        <v>Professional</v>
      </c>
      <c r="H358" s="8" t="str">
        <f>_xlfn.XLOOKUP($A358,'RAWDATA Cars Buyers DB'!$A:$A,'RAWDATA Cars Buyers DB'!H:H)</f>
        <v>No</v>
      </c>
      <c r="I358" s="8" t="str">
        <f>_xlfn.XLOOKUP($A358,'RAWDATA Cars Buyers DB'!$A:$A,'RAWDATA Cars Buyers DB'!I:I)</f>
        <v>6+ Kilometre</v>
      </c>
      <c r="J358" s="8" t="str">
        <f>_xlfn.XLOOKUP($A358,'RAWDATA Cars Buyers DB'!$A:$A,'RAWDATA Cars Buyers DB'!J:J)</f>
        <v>North Rhine-Westphalia</v>
      </c>
      <c r="K358" s="8">
        <f>_xlfn.XLOOKUP($A358,'RAWDATA Cars Buyers DB'!$A:$A,'RAWDATA Cars Buyers DB'!K:K)</f>
        <v>45</v>
      </c>
      <c r="L358" s="10" t="str">
        <f>IF(_xlfn.XLOOKUP($A358,'RAWDATA Cars Buyers DB'!$A:$A,'RAWDATA Cars Buyers DB'!K:K)&gt;54,"Old ",IF(_xlfn.XLOOKUP($A358,'RAWDATA Cars Buyers DB'!$A:$A,'RAWDATA Cars Buyers DB'!K:K)&gt;=31,"Middle Age ",IF(_xlfn.XLOOKUP($A358,'RAWDATA Cars Buyers DB'!$A:$A,'RAWDATA Cars Buyers DB'!K:K)&lt;31,"Adolescent","Invalid")))</f>
        <v xml:space="preserve">Middle Age </v>
      </c>
      <c r="M358" s="8" t="str">
        <f>_xlfn.XLOOKUP($A358,'RAWDATA Cars Buyers DB'!$A:$A,'RAWDATA Cars Buyers DB'!L:L)</f>
        <v>No</v>
      </c>
    </row>
    <row r="359" spans="1:13">
      <c r="A359" s="6">
        <v>64748</v>
      </c>
      <c r="B359" s="10" t="str">
        <f>IF(_xlfn.XLOOKUP($A359,'RAWDATA Cars Buyers DB'!$A:$A,'RAWDATA Cars Buyers DB'!B:B)="S","Single","Married")</f>
        <v>Married</v>
      </c>
      <c r="C359" s="10" t="str">
        <f>IF(_xlfn.XLOOKUP($A359,'RAWDATA Cars Buyers DB'!$A:$A,'RAWDATA Cars Buyers DB'!C:C)="F","Female","Male")</f>
        <v>Female</v>
      </c>
      <c r="D359" s="7">
        <f>_xlfn.XLOOKUP($A359,'RAWDATA Cars Buyers DB'!$A:$A,'RAWDATA Cars Buyers DB'!D:D)</f>
        <v>100018</v>
      </c>
      <c r="E359" s="8">
        <f>_xlfn.XLOOKUP($A359,'RAWDATA Cars Buyers DB'!$A:$A,'RAWDATA Cars Buyers DB'!E:E)</f>
        <v>1</v>
      </c>
      <c r="F359" s="8" t="str">
        <f>_xlfn.XLOOKUP($A359,'RAWDATA Cars Buyers DB'!$A:$A,'RAWDATA Cars Buyers DB'!F:F)</f>
        <v>Bachelors</v>
      </c>
      <c r="G359" s="8" t="str">
        <f>_xlfn.XLOOKUP($A359,'RAWDATA Cars Buyers DB'!$A:$A,'RAWDATA Cars Buyers DB'!G:G)</f>
        <v>Skilled Manual</v>
      </c>
      <c r="H359" s="8" t="str">
        <f>_xlfn.XLOOKUP($A359,'RAWDATA Cars Buyers DB'!$A:$A,'RAWDATA Cars Buyers DB'!H:H)</f>
        <v>Yes</v>
      </c>
      <c r="I359" s="8" t="str">
        <f>_xlfn.XLOOKUP($A359,'RAWDATA Cars Buyers DB'!$A:$A,'RAWDATA Cars Buyers DB'!I:I)</f>
        <v>2–4 Kilometre</v>
      </c>
      <c r="J359" s="8" t="str">
        <f>_xlfn.XLOOKUP($A359,'RAWDATA Cars Buyers DB'!$A:$A,'RAWDATA Cars Buyers DB'!J:J)</f>
        <v>Saarland</v>
      </c>
      <c r="K359" s="8">
        <f>_xlfn.XLOOKUP($A359,'RAWDATA Cars Buyers DB'!$A:$A,'RAWDATA Cars Buyers DB'!K:K)</f>
        <v>23</v>
      </c>
      <c r="L359" s="10" t="str">
        <f>IF(_xlfn.XLOOKUP($A359,'RAWDATA Cars Buyers DB'!$A:$A,'RAWDATA Cars Buyers DB'!K:K)&gt;54,"Old ",IF(_xlfn.XLOOKUP($A359,'RAWDATA Cars Buyers DB'!$A:$A,'RAWDATA Cars Buyers DB'!K:K)&gt;=31,"Middle Age ",IF(_xlfn.XLOOKUP($A359,'RAWDATA Cars Buyers DB'!$A:$A,'RAWDATA Cars Buyers DB'!K:K)&lt;31,"Adolescent","Invalid")))</f>
        <v>Adolescent</v>
      </c>
      <c r="M359" s="8" t="str">
        <f>_xlfn.XLOOKUP($A359,'RAWDATA Cars Buyers DB'!$A:$A,'RAWDATA Cars Buyers DB'!L:L)</f>
        <v>Yes</v>
      </c>
    </row>
    <row r="360" spans="1:13">
      <c r="A360" s="6">
        <v>15801</v>
      </c>
      <c r="B360" s="10" t="str">
        <f>IF(_xlfn.XLOOKUP($A360,'RAWDATA Cars Buyers DB'!$A:$A,'RAWDATA Cars Buyers DB'!B:B)="S","Single","Married")</f>
        <v>Married</v>
      </c>
      <c r="C360" s="10" t="str">
        <f>IF(_xlfn.XLOOKUP($A360,'RAWDATA Cars Buyers DB'!$A:$A,'RAWDATA Cars Buyers DB'!C:C)="F","Female","Male")</f>
        <v>Male</v>
      </c>
      <c r="D360" s="7">
        <f>_xlfn.XLOOKUP($A360,'RAWDATA Cars Buyers DB'!$A:$A,'RAWDATA Cars Buyers DB'!D:D)</f>
        <v>60510</v>
      </c>
      <c r="E360" s="8">
        <f>_xlfn.XLOOKUP($A360,'RAWDATA Cars Buyers DB'!$A:$A,'RAWDATA Cars Buyers DB'!E:E)</f>
        <v>3</v>
      </c>
      <c r="F360" s="8" t="str">
        <f>_xlfn.XLOOKUP($A360,'RAWDATA Cars Buyers DB'!$A:$A,'RAWDATA Cars Buyers DB'!F:F)</f>
        <v>High School</v>
      </c>
      <c r="G360" s="8" t="str">
        <f>_xlfn.XLOOKUP($A360,'RAWDATA Cars Buyers DB'!$A:$A,'RAWDATA Cars Buyers DB'!G:G)</f>
        <v>Management</v>
      </c>
      <c r="H360" s="8" t="str">
        <f>_xlfn.XLOOKUP($A360,'RAWDATA Cars Buyers DB'!$A:$A,'RAWDATA Cars Buyers DB'!H:H)</f>
        <v>Yes</v>
      </c>
      <c r="I360" s="8" t="str">
        <f>_xlfn.XLOOKUP($A360,'RAWDATA Cars Buyers DB'!$A:$A,'RAWDATA Cars Buyers DB'!I:I)</f>
        <v>1–2 Kilometre</v>
      </c>
      <c r="J360" s="8" t="str">
        <f>_xlfn.XLOOKUP($A360,'RAWDATA Cars Buyers DB'!$A:$A,'RAWDATA Cars Buyers DB'!J:J)</f>
        <v>Berlin</v>
      </c>
      <c r="K360" s="8">
        <f>_xlfn.XLOOKUP($A360,'RAWDATA Cars Buyers DB'!$A:$A,'RAWDATA Cars Buyers DB'!K:K)</f>
        <v>64</v>
      </c>
      <c r="L360" s="10" t="str">
        <f>IF(_xlfn.XLOOKUP($A360,'RAWDATA Cars Buyers DB'!$A:$A,'RAWDATA Cars Buyers DB'!K:K)&gt;54,"Old ",IF(_xlfn.XLOOKUP($A360,'RAWDATA Cars Buyers DB'!$A:$A,'RAWDATA Cars Buyers DB'!K:K)&gt;=31,"Middle Age ",IF(_xlfn.XLOOKUP($A360,'RAWDATA Cars Buyers DB'!$A:$A,'RAWDATA Cars Buyers DB'!K:K)&lt;31,"Adolescent","Invalid")))</f>
        <v xml:space="preserve">Old </v>
      </c>
      <c r="M360" s="8" t="str">
        <f>_xlfn.XLOOKUP($A360,'RAWDATA Cars Buyers DB'!$A:$A,'RAWDATA Cars Buyers DB'!L:L)</f>
        <v>Yes</v>
      </c>
    </row>
    <row r="361" spans="1:13">
      <c r="A361" s="6">
        <v>29190</v>
      </c>
      <c r="B361" s="10" t="str">
        <f>IF(_xlfn.XLOOKUP($A361,'RAWDATA Cars Buyers DB'!$A:$A,'RAWDATA Cars Buyers DB'!B:B)="S","Single","Married")</f>
        <v>Married</v>
      </c>
      <c r="C361" s="10" t="str">
        <f>IF(_xlfn.XLOOKUP($A361,'RAWDATA Cars Buyers DB'!$A:$A,'RAWDATA Cars Buyers DB'!C:C)="F","Female","Male")</f>
        <v>Male</v>
      </c>
      <c r="D361" s="7">
        <f>_xlfn.XLOOKUP($A361,'RAWDATA Cars Buyers DB'!$A:$A,'RAWDATA Cars Buyers DB'!D:D)</f>
        <v>68933</v>
      </c>
      <c r="E361" s="8">
        <f>_xlfn.XLOOKUP($A361,'RAWDATA Cars Buyers DB'!$A:$A,'RAWDATA Cars Buyers DB'!E:E)</f>
        <v>4</v>
      </c>
      <c r="F361" s="8" t="str">
        <f>_xlfn.XLOOKUP($A361,'RAWDATA Cars Buyers DB'!$A:$A,'RAWDATA Cars Buyers DB'!F:F)</f>
        <v>Graduate Degree</v>
      </c>
      <c r="G361" s="8" t="str">
        <f>_xlfn.XLOOKUP($A361,'RAWDATA Cars Buyers DB'!$A:$A,'RAWDATA Cars Buyers DB'!G:G)</f>
        <v>Professional</v>
      </c>
      <c r="H361" s="8" t="str">
        <f>_xlfn.XLOOKUP($A361,'RAWDATA Cars Buyers DB'!$A:$A,'RAWDATA Cars Buyers DB'!H:H)</f>
        <v>Yes</v>
      </c>
      <c r="I361" s="8" t="str">
        <f>_xlfn.XLOOKUP($A361,'RAWDATA Cars Buyers DB'!$A:$A,'RAWDATA Cars Buyers DB'!I:I)</f>
        <v>2–4 Kilometre</v>
      </c>
      <c r="J361" s="8" t="str">
        <f>_xlfn.XLOOKUP($A361,'RAWDATA Cars Buyers DB'!$A:$A,'RAWDATA Cars Buyers DB'!J:J)</f>
        <v>Saxony</v>
      </c>
      <c r="K361" s="8">
        <f>_xlfn.XLOOKUP($A361,'RAWDATA Cars Buyers DB'!$A:$A,'RAWDATA Cars Buyers DB'!K:K)</f>
        <v>31</v>
      </c>
      <c r="L361" s="10" t="str">
        <f>IF(_xlfn.XLOOKUP($A361,'RAWDATA Cars Buyers DB'!$A:$A,'RAWDATA Cars Buyers DB'!K:K)&gt;54,"Old ",IF(_xlfn.XLOOKUP($A361,'RAWDATA Cars Buyers DB'!$A:$A,'RAWDATA Cars Buyers DB'!K:K)&gt;=31,"Middle Age ",IF(_xlfn.XLOOKUP($A361,'RAWDATA Cars Buyers DB'!$A:$A,'RAWDATA Cars Buyers DB'!K:K)&lt;31,"Adolescent","Invalid")))</f>
        <v xml:space="preserve">Middle Age </v>
      </c>
      <c r="M361" s="8" t="str">
        <f>_xlfn.XLOOKUP($A361,'RAWDATA Cars Buyers DB'!$A:$A,'RAWDATA Cars Buyers DB'!L:L)</f>
        <v>Yes</v>
      </c>
    </row>
    <row r="362" spans="1:13">
      <c r="A362" s="6">
        <v>59689</v>
      </c>
      <c r="B362" s="10" t="str">
        <f>IF(_xlfn.XLOOKUP($A362,'RAWDATA Cars Buyers DB'!$A:$A,'RAWDATA Cars Buyers DB'!B:B)="S","Single","Married")</f>
        <v>Married</v>
      </c>
      <c r="C362" s="10" t="str">
        <f>IF(_xlfn.XLOOKUP($A362,'RAWDATA Cars Buyers DB'!$A:$A,'RAWDATA Cars Buyers DB'!C:C)="F","Female","Male")</f>
        <v>Female</v>
      </c>
      <c r="D362" s="7">
        <f>_xlfn.XLOOKUP($A362,'RAWDATA Cars Buyers DB'!$A:$A,'RAWDATA Cars Buyers DB'!D:D)</f>
        <v>41826</v>
      </c>
      <c r="E362" s="8">
        <f>_xlfn.XLOOKUP($A362,'RAWDATA Cars Buyers DB'!$A:$A,'RAWDATA Cars Buyers DB'!E:E)</f>
        <v>1</v>
      </c>
      <c r="F362" s="8" t="str">
        <f>_xlfn.XLOOKUP($A362,'RAWDATA Cars Buyers DB'!$A:$A,'RAWDATA Cars Buyers DB'!F:F)</f>
        <v>Graduate Degree</v>
      </c>
      <c r="G362" s="8" t="str">
        <f>_xlfn.XLOOKUP($A362,'RAWDATA Cars Buyers DB'!$A:$A,'RAWDATA Cars Buyers DB'!G:G)</f>
        <v>Clerical</v>
      </c>
      <c r="H362" s="8" t="str">
        <f>_xlfn.XLOOKUP($A362,'RAWDATA Cars Buyers DB'!$A:$A,'RAWDATA Cars Buyers DB'!H:H)</f>
        <v>Yes</v>
      </c>
      <c r="I362" s="8" t="str">
        <f>_xlfn.XLOOKUP($A362,'RAWDATA Cars Buyers DB'!$A:$A,'RAWDATA Cars Buyers DB'!I:I)</f>
        <v>4–6 Kilometre</v>
      </c>
      <c r="J362" s="8" t="str">
        <f>_xlfn.XLOOKUP($A362,'RAWDATA Cars Buyers DB'!$A:$A,'RAWDATA Cars Buyers DB'!J:J)</f>
        <v>Saxony</v>
      </c>
      <c r="K362" s="8">
        <f>_xlfn.XLOOKUP($A362,'RAWDATA Cars Buyers DB'!$A:$A,'RAWDATA Cars Buyers DB'!K:K)</f>
        <v>20</v>
      </c>
      <c r="L362" s="10" t="str">
        <f>IF(_xlfn.XLOOKUP($A362,'RAWDATA Cars Buyers DB'!$A:$A,'RAWDATA Cars Buyers DB'!K:K)&gt;54,"Old ",IF(_xlfn.XLOOKUP($A362,'RAWDATA Cars Buyers DB'!$A:$A,'RAWDATA Cars Buyers DB'!K:K)&gt;=31,"Middle Age ",IF(_xlfn.XLOOKUP($A362,'RAWDATA Cars Buyers DB'!$A:$A,'RAWDATA Cars Buyers DB'!K:K)&lt;31,"Adolescent","Invalid")))</f>
        <v>Adolescent</v>
      </c>
      <c r="M362" s="8" t="str">
        <f>_xlfn.XLOOKUP($A362,'RAWDATA Cars Buyers DB'!$A:$A,'RAWDATA Cars Buyers DB'!L:L)</f>
        <v>No</v>
      </c>
    </row>
    <row r="363" spans="1:13">
      <c r="A363" s="6">
        <v>60993</v>
      </c>
      <c r="B363" s="10" t="str">
        <f>IF(_xlfn.XLOOKUP($A363,'RAWDATA Cars Buyers DB'!$A:$A,'RAWDATA Cars Buyers DB'!B:B)="S","Single","Married")</f>
        <v>Single</v>
      </c>
      <c r="C363" s="10" t="str">
        <f>IF(_xlfn.XLOOKUP($A363,'RAWDATA Cars Buyers DB'!$A:$A,'RAWDATA Cars Buyers DB'!C:C)="F","Female","Male")</f>
        <v>Male</v>
      </c>
      <c r="D363" s="7">
        <f>_xlfn.XLOOKUP($A363,'RAWDATA Cars Buyers DB'!$A:$A,'RAWDATA Cars Buyers DB'!D:D)</f>
        <v>88026</v>
      </c>
      <c r="E363" s="8">
        <f>_xlfn.XLOOKUP($A363,'RAWDATA Cars Buyers DB'!$A:$A,'RAWDATA Cars Buyers DB'!E:E)</f>
        <v>2</v>
      </c>
      <c r="F363" s="8" t="str">
        <f>_xlfn.XLOOKUP($A363,'RAWDATA Cars Buyers DB'!$A:$A,'RAWDATA Cars Buyers DB'!F:F)</f>
        <v>Partial College</v>
      </c>
      <c r="G363" s="8" t="str">
        <f>_xlfn.XLOOKUP($A363,'RAWDATA Cars Buyers DB'!$A:$A,'RAWDATA Cars Buyers DB'!G:G)</f>
        <v>Management</v>
      </c>
      <c r="H363" s="8" t="str">
        <f>_xlfn.XLOOKUP($A363,'RAWDATA Cars Buyers DB'!$A:$A,'RAWDATA Cars Buyers DB'!H:H)</f>
        <v>No</v>
      </c>
      <c r="I363" s="8" t="str">
        <f>_xlfn.XLOOKUP($A363,'RAWDATA Cars Buyers DB'!$A:$A,'RAWDATA Cars Buyers DB'!I:I)</f>
        <v>4–6 Kilometre</v>
      </c>
      <c r="J363" s="8" t="str">
        <f>_xlfn.XLOOKUP($A363,'RAWDATA Cars Buyers DB'!$A:$A,'RAWDATA Cars Buyers DB'!J:J)</f>
        <v>Hesse</v>
      </c>
      <c r="K363" s="8">
        <f>_xlfn.XLOOKUP($A363,'RAWDATA Cars Buyers DB'!$A:$A,'RAWDATA Cars Buyers DB'!K:K)</f>
        <v>40</v>
      </c>
      <c r="L363" s="10" t="str">
        <f>IF(_xlfn.XLOOKUP($A363,'RAWDATA Cars Buyers DB'!$A:$A,'RAWDATA Cars Buyers DB'!K:K)&gt;54,"Old ",IF(_xlfn.XLOOKUP($A363,'RAWDATA Cars Buyers DB'!$A:$A,'RAWDATA Cars Buyers DB'!K:K)&gt;=31,"Middle Age ",IF(_xlfn.XLOOKUP($A363,'RAWDATA Cars Buyers DB'!$A:$A,'RAWDATA Cars Buyers DB'!K:K)&lt;31,"Adolescent","Invalid")))</f>
        <v xml:space="preserve">Middle Age </v>
      </c>
      <c r="M363" s="8" t="str">
        <f>_xlfn.XLOOKUP($A363,'RAWDATA Cars Buyers DB'!$A:$A,'RAWDATA Cars Buyers DB'!L:L)</f>
        <v>No</v>
      </c>
    </row>
    <row r="364" spans="1:13">
      <c r="A364" s="6">
        <v>39592</v>
      </c>
      <c r="B364" s="10" t="str">
        <f>IF(_xlfn.XLOOKUP($A364,'RAWDATA Cars Buyers DB'!$A:$A,'RAWDATA Cars Buyers DB'!B:B)="S","Single","Married")</f>
        <v>Single</v>
      </c>
      <c r="C364" s="10" t="str">
        <f>IF(_xlfn.XLOOKUP($A364,'RAWDATA Cars Buyers DB'!$A:$A,'RAWDATA Cars Buyers DB'!C:C)="F","Female","Male")</f>
        <v>Male</v>
      </c>
      <c r="D364" s="7">
        <f>_xlfn.XLOOKUP($A364,'RAWDATA Cars Buyers DB'!$A:$A,'RAWDATA Cars Buyers DB'!D:D)</f>
        <v>45518</v>
      </c>
      <c r="E364" s="8">
        <f>_xlfn.XLOOKUP($A364,'RAWDATA Cars Buyers DB'!$A:$A,'RAWDATA Cars Buyers DB'!E:E)</f>
        <v>4</v>
      </c>
      <c r="F364" s="8" t="str">
        <f>_xlfn.XLOOKUP($A364,'RAWDATA Cars Buyers DB'!$A:$A,'RAWDATA Cars Buyers DB'!F:F)</f>
        <v>Bachelors</v>
      </c>
      <c r="G364" s="8" t="str">
        <f>_xlfn.XLOOKUP($A364,'RAWDATA Cars Buyers DB'!$A:$A,'RAWDATA Cars Buyers DB'!G:G)</f>
        <v>Skilled Manual</v>
      </c>
      <c r="H364" s="8" t="str">
        <f>_xlfn.XLOOKUP($A364,'RAWDATA Cars Buyers DB'!$A:$A,'RAWDATA Cars Buyers DB'!H:H)</f>
        <v>Yes</v>
      </c>
      <c r="I364" s="8" t="str">
        <f>_xlfn.XLOOKUP($A364,'RAWDATA Cars Buyers DB'!$A:$A,'RAWDATA Cars Buyers DB'!I:I)</f>
        <v>4–6 Kilometre</v>
      </c>
      <c r="J364" s="8" t="str">
        <f>_xlfn.XLOOKUP($A364,'RAWDATA Cars Buyers DB'!$A:$A,'RAWDATA Cars Buyers DB'!J:J)</f>
        <v>Berlin</v>
      </c>
      <c r="K364" s="8">
        <f>_xlfn.XLOOKUP($A364,'RAWDATA Cars Buyers DB'!$A:$A,'RAWDATA Cars Buyers DB'!K:K)</f>
        <v>38</v>
      </c>
      <c r="L364" s="10" t="str">
        <f>IF(_xlfn.XLOOKUP($A364,'RAWDATA Cars Buyers DB'!$A:$A,'RAWDATA Cars Buyers DB'!K:K)&gt;54,"Old ",IF(_xlfn.XLOOKUP($A364,'RAWDATA Cars Buyers DB'!$A:$A,'RAWDATA Cars Buyers DB'!K:K)&gt;=31,"Middle Age ",IF(_xlfn.XLOOKUP($A364,'RAWDATA Cars Buyers DB'!$A:$A,'RAWDATA Cars Buyers DB'!K:K)&lt;31,"Adolescent","Invalid")))</f>
        <v xml:space="preserve">Middle Age </v>
      </c>
      <c r="M364" s="8" t="str">
        <f>_xlfn.XLOOKUP($A364,'RAWDATA Cars Buyers DB'!$A:$A,'RAWDATA Cars Buyers DB'!L:L)</f>
        <v>No</v>
      </c>
    </row>
    <row r="365" spans="1:13">
      <c r="A365" s="6">
        <v>20647</v>
      </c>
      <c r="B365" s="10" t="str">
        <f>IF(_xlfn.XLOOKUP($A365,'RAWDATA Cars Buyers DB'!$A:$A,'RAWDATA Cars Buyers DB'!B:B)="S","Single","Married")</f>
        <v>Married</v>
      </c>
      <c r="C365" s="10" t="str">
        <f>IF(_xlfn.XLOOKUP($A365,'RAWDATA Cars Buyers DB'!$A:$A,'RAWDATA Cars Buyers DB'!C:C)="F","Female","Male")</f>
        <v>Male</v>
      </c>
      <c r="D365" s="7">
        <f>_xlfn.XLOOKUP($A365,'RAWDATA Cars Buyers DB'!$A:$A,'RAWDATA Cars Buyers DB'!D:D)</f>
        <v>44045</v>
      </c>
      <c r="E365" s="8">
        <f>_xlfn.XLOOKUP($A365,'RAWDATA Cars Buyers DB'!$A:$A,'RAWDATA Cars Buyers DB'!E:E)</f>
        <v>3</v>
      </c>
      <c r="F365" s="8" t="str">
        <f>_xlfn.XLOOKUP($A365,'RAWDATA Cars Buyers DB'!$A:$A,'RAWDATA Cars Buyers DB'!F:F)</f>
        <v>High School</v>
      </c>
      <c r="G365" s="8" t="str">
        <f>_xlfn.XLOOKUP($A365,'RAWDATA Cars Buyers DB'!$A:$A,'RAWDATA Cars Buyers DB'!G:G)</f>
        <v>Skilled Manual</v>
      </c>
      <c r="H365" s="8" t="str">
        <f>_xlfn.XLOOKUP($A365,'RAWDATA Cars Buyers DB'!$A:$A,'RAWDATA Cars Buyers DB'!H:H)</f>
        <v>No</v>
      </c>
      <c r="I365" s="8" t="str">
        <f>_xlfn.XLOOKUP($A365,'RAWDATA Cars Buyers DB'!$A:$A,'RAWDATA Cars Buyers DB'!I:I)</f>
        <v>6+ Kilometre</v>
      </c>
      <c r="J365" s="8" t="str">
        <f>_xlfn.XLOOKUP($A365,'RAWDATA Cars Buyers DB'!$A:$A,'RAWDATA Cars Buyers DB'!J:J)</f>
        <v>Lower Saxony</v>
      </c>
      <c r="K365" s="8">
        <f>_xlfn.XLOOKUP($A365,'RAWDATA Cars Buyers DB'!$A:$A,'RAWDATA Cars Buyers DB'!K:K)</f>
        <v>40</v>
      </c>
      <c r="L365" s="10" t="str">
        <f>IF(_xlfn.XLOOKUP($A365,'RAWDATA Cars Buyers DB'!$A:$A,'RAWDATA Cars Buyers DB'!K:K)&gt;54,"Old ",IF(_xlfn.XLOOKUP($A365,'RAWDATA Cars Buyers DB'!$A:$A,'RAWDATA Cars Buyers DB'!K:K)&gt;=31,"Middle Age ",IF(_xlfn.XLOOKUP($A365,'RAWDATA Cars Buyers DB'!$A:$A,'RAWDATA Cars Buyers DB'!K:K)&lt;31,"Adolescent","Invalid")))</f>
        <v xml:space="preserve">Middle Age </v>
      </c>
      <c r="M365" s="8" t="str">
        <f>_xlfn.XLOOKUP($A365,'RAWDATA Cars Buyers DB'!$A:$A,'RAWDATA Cars Buyers DB'!L:L)</f>
        <v>No</v>
      </c>
    </row>
    <row r="366" spans="1:13">
      <c r="A366" s="6">
        <v>18716</v>
      </c>
      <c r="B366" s="10" t="str">
        <f>IF(_xlfn.XLOOKUP($A366,'RAWDATA Cars Buyers DB'!$A:$A,'RAWDATA Cars Buyers DB'!B:B)="S","Single","Married")</f>
        <v>Single</v>
      </c>
      <c r="C366" s="10" t="str">
        <f>IF(_xlfn.XLOOKUP($A366,'RAWDATA Cars Buyers DB'!$A:$A,'RAWDATA Cars Buyers DB'!C:C)="F","Female","Male")</f>
        <v>Male</v>
      </c>
      <c r="D366" s="7">
        <f>_xlfn.XLOOKUP($A366,'RAWDATA Cars Buyers DB'!$A:$A,'RAWDATA Cars Buyers DB'!D:D)</f>
        <v>70876</v>
      </c>
      <c r="E366" s="8">
        <f>_xlfn.XLOOKUP($A366,'RAWDATA Cars Buyers DB'!$A:$A,'RAWDATA Cars Buyers DB'!E:E)</f>
        <v>2</v>
      </c>
      <c r="F366" s="8" t="str">
        <f>_xlfn.XLOOKUP($A366,'RAWDATA Cars Buyers DB'!$A:$A,'RAWDATA Cars Buyers DB'!F:F)</f>
        <v>High School</v>
      </c>
      <c r="G366" s="8" t="str">
        <f>_xlfn.XLOOKUP($A366,'RAWDATA Cars Buyers DB'!$A:$A,'RAWDATA Cars Buyers DB'!G:G)</f>
        <v>Professional</v>
      </c>
      <c r="H366" s="8" t="str">
        <f>_xlfn.XLOOKUP($A366,'RAWDATA Cars Buyers DB'!$A:$A,'RAWDATA Cars Buyers DB'!H:H)</f>
        <v>Yes</v>
      </c>
      <c r="I366" s="8" t="str">
        <f>_xlfn.XLOOKUP($A366,'RAWDATA Cars Buyers DB'!$A:$A,'RAWDATA Cars Buyers DB'!I:I)</f>
        <v>0–1 Kilometre</v>
      </c>
      <c r="J366" s="8" t="str">
        <f>_xlfn.XLOOKUP($A366,'RAWDATA Cars Buyers DB'!$A:$A,'RAWDATA Cars Buyers DB'!J:J)</f>
        <v>North Rhine-Westphalia</v>
      </c>
      <c r="K366" s="8">
        <f>_xlfn.XLOOKUP($A366,'RAWDATA Cars Buyers DB'!$A:$A,'RAWDATA Cars Buyers DB'!K:K)</f>
        <v>37</v>
      </c>
      <c r="L366" s="10" t="str">
        <f>IF(_xlfn.XLOOKUP($A366,'RAWDATA Cars Buyers DB'!$A:$A,'RAWDATA Cars Buyers DB'!K:K)&gt;54,"Old ",IF(_xlfn.XLOOKUP($A366,'RAWDATA Cars Buyers DB'!$A:$A,'RAWDATA Cars Buyers DB'!K:K)&gt;=31,"Middle Age ",IF(_xlfn.XLOOKUP($A366,'RAWDATA Cars Buyers DB'!$A:$A,'RAWDATA Cars Buyers DB'!K:K)&lt;31,"Adolescent","Invalid")))</f>
        <v xml:space="preserve">Middle Age </v>
      </c>
      <c r="M366" s="8" t="str">
        <f>_xlfn.XLOOKUP($A366,'RAWDATA Cars Buyers DB'!$A:$A,'RAWDATA Cars Buyers DB'!L:L)</f>
        <v>No</v>
      </c>
    </row>
    <row r="367" spans="1:13">
      <c r="A367" s="6">
        <v>98891</v>
      </c>
      <c r="B367" s="10" t="str">
        <f>IF(_xlfn.XLOOKUP($A367,'RAWDATA Cars Buyers DB'!$A:$A,'RAWDATA Cars Buyers DB'!B:B)="S","Single","Married")</f>
        <v>Single</v>
      </c>
      <c r="C367" s="10" t="str">
        <f>IF(_xlfn.XLOOKUP($A367,'RAWDATA Cars Buyers DB'!$A:$A,'RAWDATA Cars Buyers DB'!C:C)="F","Female","Male")</f>
        <v>Female</v>
      </c>
      <c r="D367" s="7">
        <f>_xlfn.XLOOKUP($A367,'RAWDATA Cars Buyers DB'!$A:$A,'RAWDATA Cars Buyers DB'!D:D)</f>
        <v>112446</v>
      </c>
      <c r="E367" s="8">
        <f>_xlfn.XLOOKUP($A367,'RAWDATA Cars Buyers DB'!$A:$A,'RAWDATA Cars Buyers DB'!E:E)</f>
        <v>2</v>
      </c>
      <c r="F367" s="8" t="str">
        <f>_xlfn.XLOOKUP($A367,'RAWDATA Cars Buyers DB'!$A:$A,'RAWDATA Cars Buyers DB'!F:F)</f>
        <v>Partial College</v>
      </c>
      <c r="G367" s="8" t="str">
        <f>_xlfn.XLOOKUP($A367,'RAWDATA Cars Buyers DB'!$A:$A,'RAWDATA Cars Buyers DB'!G:G)</f>
        <v>Professional</v>
      </c>
      <c r="H367" s="8" t="str">
        <f>_xlfn.XLOOKUP($A367,'RAWDATA Cars Buyers DB'!$A:$A,'RAWDATA Cars Buyers DB'!H:H)</f>
        <v>No</v>
      </c>
      <c r="I367" s="8" t="str">
        <f>_xlfn.XLOOKUP($A367,'RAWDATA Cars Buyers DB'!$A:$A,'RAWDATA Cars Buyers DB'!I:I)</f>
        <v>2–4 Kilometre</v>
      </c>
      <c r="J367" s="8" t="str">
        <f>_xlfn.XLOOKUP($A367,'RAWDATA Cars Buyers DB'!$A:$A,'RAWDATA Cars Buyers DB'!J:J)</f>
        <v>Berlin</v>
      </c>
      <c r="K367" s="8">
        <f>_xlfn.XLOOKUP($A367,'RAWDATA Cars Buyers DB'!$A:$A,'RAWDATA Cars Buyers DB'!K:K)</f>
        <v>62</v>
      </c>
      <c r="L367" s="10" t="str">
        <f>IF(_xlfn.XLOOKUP($A367,'RAWDATA Cars Buyers DB'!$A:$A,'RAWDATA Cars Buyers DB'!K:K)&gt;54,"Old ",IF(_xlfn.XLOOKUP($A367,'RAWDATA Cars Buyers DB'!$A:$A,'RAWDATA Cars Buyers DB'!K:K)&gt;=31,"Middle Age ",IF(_xlfn.XLOOKUP($A367,'RAWDATA Cars Buyers DB'!$A:$A,'RAWDATA Cars Buyers DB'!K:K)&lt;31,"Adolescent","Invalid")))</f>
        <v xml:space="preserve">Old </v>
      </c>
      <c r="M367" s="8" t="str">
        <f>_xlfn.XLOOKUP($A367,'RAWDATA Cars Buyers DB'!$A:$A,'RAWDATA Cars Buyers DB'!L:L)</f>
        <v>Yes</v>
      </c>
    </row>
    <row r="368" spans="1:13">
      <c r="A368" s="6">
        <v>97545</v>
      </c>
      <c r="B368" s="10" t="str">
        <f>IF(_xlfn.XLOOKUP($A368,'RAWDATA Cars Buyers DB'!$A:$A,'RAWDATA Cars Buyers DB'!B:B)="S","Single","Married")</f>
        <v>Married</v>
      </c>
      <c r="C368" s="10" t="str">
        <f>IF(_xlfn.XLOOKUP($A368,'RAWDATA Cars Buyers DB'!$A:$A,'RAWDATA Cars Buyers DB'!C:C)="F","Female","Male")</f>
        <v>Female</v>
      </c>
      <c r="D368" s="7">
        <f>_xlfn.XLOOKUP($A368,'RAWDATA Cars Buyers DB'!$A:$A,'RAWDATA Cars Buyers DB'!D:D)</f>
        <v>110102</v>
      </c>
      <c r="E368" s="8">
        <f>_xlfn.XLOOKUP($A368,'RAWDATA Cars Buyers DB'!$A:$A,'RAWDATA Cars Buyers DB'!E:E)</f>
        <v>3</v>
      </c>
      <c r="F368" s="8" t="str">
        <f>_xlfn.XLOOKUP($A368,'RAWDATA Cars Buyers DB'!$A:$A,'RAWDATA Cars Buyers DB'!F:F)</f>
        <v>Partial College</v>
      </c>
      <c r="G368" s="8" t="str">
        <f>_xlfn.XLOOKUP($A368,'RAWDATA Cars Buyers DB'!$A:$A,'RAWDATA Cars Buyers DB'!G:G)</f>
        <v>Professional</v>
      </c>
      <c r="H368" s="8" t="str">
        <f>_xlfn.XLOOKUP($A368,'RAWDATA Cars Buyers DB'!$A:$A,'RAWDATA Cars Buyers DB'!H:H)</f>
        <v>Yes</v>
      </c>
      <c r="I368" s="8" t="str">
        <f>_xlfn.XLOOKUP($A368,'RAWDATA Cars Buyers DB'!$A:$A,'RAWDATA Cars Buyers DB'!I:I)</f>
        <v>1–2 Kilometre</v>
      </c>
      <c r="J368" s="8" t="str">
        <f>_xlfn.XLOOKUP($A368,'RAWDATA Cars Buyers DB'!$A:$A,'RAWDATA Cars Buyers DB'!J:J)</f>
        <v>North Rhine-Westphalia</v>
      </c>
      <c r="K368" s="8">
        <f>_xlfn.XLOOKUP($A368,'RAWDATA Cars Buyers DB'!$A:$A,'RAWDATA Cars Buyers DB'!K:K)</f>
        <v>22</v>
      </c>
      <c r="L368" s="10" t="str">
        <f>IF(_xlfn.XLOOKUP($A368,'RAWDATA Cars Buyers DB'!$A:$A,'RAWDATA Cars Buyers DB'!K:K)&gt;54,"Old ",IF(_xlfn.XLOOKUP($A368,'RAWDATA Cars Buyers DB'!$A:$A,'RAWDATA Cars Buyers DB'!K:K)&gt;=31,"Middle Age ",IF(_xlfn.XLOOKUP($A368,'RAWDATA Cars Buyers DB'!$A:$A,'RAWDATA Cars Buyers DB'!K:K)&lt;31,"Adolescent","Invalid")))</f>
        <v>Adolescent</v>
      </c>
      <c r="M368" s="8" t="str">
        <f>_xlfn.XLOOKUP($A368,'RAWDATA Cars Buyers DB'!$A:$A,'RAWDATA Cars Buyers DB'!L:L)</f>
        <v>No</v>
      </c>
    </row>
    <row r="369" spans="1:13">
      <c r="A369" s="6">
        <v>99912</v>
      </c>
      <c r="B369" s="10" t="str">
        <f>IF(_xlfn.XLOOKUP($A369,'RAWDATA Cars Buyers DB'!$A:$A,'RAWDATA Cars Buyers DB'!B:B)="S","Single","Married")</f>
        <v>Single</v>
      </c>
      <c r="C369" s="10" t="str">
        <f>IF(_xlfn.XLOOKUP($A369,'RAWDATA Cars Buyers DB'!$A:$A,'RAWDATA Cars Buyers DB'!C:C)="F","Female","Male")</f>
        <v>Male</v>
      </c>
      <c r="D369" s="7">
        <f>_xlfn.XLOOKUP($A369,'RAWDATA Cars Buyers DB'!$A:$A,'RAWDATA Cars Buyers DB'!D:D)</f>
        <v>71919</v>
      </c>
      <c r="E369" s="8">
        <f>_xlfn.XLOOKUP($A369,'RAWDATA Cars Buyers DB'!$A:$A,'RAWDATA Cars Buyers DB'!E:E)</f>
        <v>4</v>
      </c>
      <c r="F369" s="8" t="str">
        <f>_xlfn.XLOOKUP($A369,'RAWDATA Cars Buyers DB'!$A:$A,'RAWDATA Cars Buyers DB'!F:F)</f>
        <v>High School</v>
      </c>
      <c r="G369" s="8" t="str">
        <f>_xlfn.XLOOKUP($A369,'RAWDATA Cars Buyers DB'!$A:$A,'RAWDATA Cars Buyers DB'!G:G)</f>
        <v>Skilled Manual</v>
      </c>
      <c r="H369" s="8" t="str">
        <f>_xlfn.XLOOKUP($A369,'RAWDATA Cars Buyers DB'!$A:$A,'RAWDATA Cars Buyers DB'!H:H)</f>
        <v>No</v>
      </c>
      <c r="I369" s="8" t="str">
        <f>_xlfn.XLOOKUP($A369,'RAWDATA Cars Buyers DB'!$A:$A,'RAWDATA Cars Buyers DB'!I:I)</f>
        <v>4–6 Kilometre</v>
      </c>
      <c r="J369" s="8" t="str">
        <f>_xlfn.XLOOKUP($A369,'RAWDATA Cars Buyers DB'!$A:$A,'RAWDATA Cars Buyers DB'!J:J)</f>
        <v>Berlin</v>
      </c>
      <c r="K369" s="8">
        <f>_xlfn.XLOOKUP($A369,'RAWDATA Cars Buyers DB'!$A:$A,'RAWDATA Cars Buyers DB'!K:K)</f>
        <v>68</v>
      </c>
      <c r="L369" s="10" t="str">
        <f>IF(_xlfn.XLOOKUP($A369,'RAWDATA Cars Buyers DB'!$A:$A,'RAWDATA Cars Buyers DB'!K:K)&gt;54,"Old ",IF(_xlfn.XLOOKUP($A369,'RAWDATA Cars Buyers DB'!$A:$A,'RAWDATA Cars Buyers DB'!K:K)&gt;=31,"Middle Age ",IF(_xlfn.XLOOKUP($A369,'RAWDATA Cars Buyers DB'!$A:$A,'RAWDATA Cars Buyers DB'!K:K)&lt;31,"Adolescent","Invalid")))</f>
        <v xml:space="preserve">Old </v>
      </c>
      <c r="M369" s="8" t="str">
        <f>_xlfn.XLOOKUP($A369,'RAWDATA Cars Buyers DB'!$A:$A,'RAWDATA Cars Buyers DB'!L:L)</f>
        <v>Yes</v>
      </c>
    </row>
    <row r="370" spans="1:13">
      <c r="A370" s="6">
        <v>80316</v>
      </c>
      <c r="B370" s="10" t="str">
        <f>IF(_xlfn.XLOOKUP($A370,'RAWDATA Cars Buyers DB'!$A:$A,'RAWDATA Cars Buyers DB'!B:B)="S","Single","Married")</f>
        <v>Single</v>
      </c>
      <c r="C370" s="10" t="str">
        <f>IF(_xlfn.XLOOKUP($A370,'RAWDATA Cars Buyers DB'!$A:$A,'RAWDATA Cars Buyers DB'!C:C)="F","Female","Male")</f>
        <v>Male</v>
      </c>
      <c r="D370" s="7">
        <f>_xlfn.XLOOKUP($A370,'RAWDATA Cars Buyers DB'!$A:$A,'RAWDATA Cars Buyers DB'!D:D)</f>
        <v>119441</v>
      </c>
      <c r="E370" s="8">
        <f>_xlfn.XLOOKUP($A370,'RAWDATA Cars Buyers DB'!$A:$A,'RAWDATA Cars Buyers DB'!E:E)</f>
        <v>0</v>
      </c>
      <c r="F370" s="8" t="str">
        <f>_xlfn.XLOOKUP($A370,'RAWDATA Cars Buyers DB'!$A:$A,'RAWDATA Cars Buyers DB'!F:F)</f>
        <v>High School</v>
      </c>
      <c r="G370" s="8" t="str">
        <f>_xlfn.XLOOKUP($A370,'RAWDATA Cars Buyers DB'!$A:$A,'RAWDATA Cars Buyers DB'!G:G)</f>
        <v>Management</v>
      </c>
      <c r="H370" s="8" t="str">
        <f>_xlfn.XLOOKUP($A370,'RAWDATA Cars Buyers DB'!$A:$A,'RAWDATA Cars Buyers DB'!H:H)</f>
        <v>Yes</v>
      </c>
      <c r="I370" s="8" t="str">
        <f>_xlfn.XLOOKUP($A370,'RAWDATA Cars Buyers DB'!$A:$A,'RAWDATA Cars Buyers DB'!I:I)</f>
        <v>2–4 Kilometre</v>
      </c>
      <c r="J370" s="8" t="str">
        <f>_xlfn.XLOOKUP($A370,'RAWDATA Cars Buyers DB'!$A:$A,'RAWDATA Cars Buyers DB'!J:J)</f>
        <v>Berlin</v>
      </c>
      <c r="K370" s="8">
        <f>_xlfn.XLOOKUP($A370,'RAWDATA Cars Buyers DB'!$A:$A,'RAWDATA Cars Buyers DB'!K:K)</f>
        <v>63</v>
      </c>
      <c r="L370" s="10" t="str">
        <f>IF(_xlfn.XLOOKUP($A370,'RAWDATA Cars Buyers DB'!$A:$A,'RAWDATA Cars Buyers DB'!K:K)&gt;54,"Old ",IF(_xlfn.XLOOKUP($A370,'RAWDATA Cars Buyers DB'!$A:$A,'RAWDATA Cars Buyers DB'!K:K)&gt;=31,"Middle Age ",IF(_xlfn.XLOOKUP($A370,'RAWDATA Cars Buyers DB'!$A:$A,'RAWDATA Cars Buyers DB'!K:K)&lt;31,"Adolescent","Invalid")))</f>
        <v xml:space="preserve">Old </v>
      </c>
      <c r="M370" s="8" t="str">
        <f>_xlfn.XLOOKUP($A370,'RAWDATA Cars Buyers DB'!$A:$A,'RAWDATA Cars Buyers DB'!L:L)</f>
        <v>Yes</v>
      </c>
    </row>
    <row r="371" spans="1:13">
      <c r="A371" s="6">
        <v>12368</v>
      </c>
      <c r="B371" s="10" t="str">
        <f>IF(_xlfn.XLOOKUP($A371,'RAWDATA Cars Buyers DB'!$A:$A,'RAWDATA Cars Buyers DB'!B:B)="S","Single","Married")</f>
        <v>Married</v>
      </c>
      <c r="C371" s="10" t="str">
        <f>IF(_xlfn.XLOOKUP($A371,'RAWDATA Cars Buyers DB'!$A:$A,'RAWDATA Cars Buyers DB'!C:C)="F","Female","Male")</f>
        <v>Male</v>
      </c>
      <c r="D371" s="7">
        <f>_xlfn.XLOOKUP($A371,'RAWDATA Cars Buyers DB'!$A:$A,'RAWDATA Cars Buyers DB'!D:D)</f>
        <v>47103</v>
      </c>
      <c r="E371" s="8">
        <f>_xlfn.XLOOKUP($A371,'RAWDATA Cars Buyers DB'!$A:$A,'RAWDATA Cars Buyers DB'!E:E)</f>
        <v>3</v>
      </c>
      <c r="F371" s="8" t="str">
        <f>_xlfn.XLOOKUP($A371,'RAWDATA Cars Buyers DB'!$A:$A,'RAWDATA Cars Buyers DB'!F:F)</f>
        <v>Partial College</v>
      </c>
      <c r="G371" s="8" t="str">
        <f>_xlfn.XLOOKUP($A371,'RAWDATA Cars Buyers DB'!$A:$A,'RAWDATA Cars Buyers DB'!G:G)</f>
        <v>Skilled Manual</v>
      </c>
      <c r="H371" s="8" t="str">
        <f>_xlfn.XLOOKUP($A371,'RAWDATA Cars Buyers DB'!$A:$A,'RAWDATA Cars Buyers DB'!H:H)</f>
        <v>No</v>
      </c>
      <c r="I371" s="8" t="str">
        <f>_xlfn.XLOOKUP($A371,'RAWDATA Cars Buyers DB'!$A:$A,'RAWDATA Cars Buyers DB'!I:I)</f>
        <v>4–6 Kilometre</v>
      </c>
      <c r="J371" s="8" t="str">
        <f>_xlfn.XLOOKUP($A371,'RAWDATA Cars Buyers DB'!$A:$A,'RAWDATA Cars Buyers DB'!J:J)</f>
        <v>Schleswig-Holstein</v>
      </c>
      <c r="K371" s="8">
        <f>_xlfn.XLOOKUP($A371,'RAWDATA Cars Buyers DB'!$A:$A,'RAWDATA Cars Buyers DB'!K:K)</f>
        <v>51</v>
      </c>
      <c r="L371" s="10" t="str">
        <f>IF(_xlfn.XLOOKUP($A371,'RAWDATA Cars Buyers DB'!$A:$A,'RAWDATA Cars Buyers DB'!K:K)&gt;54,"Old ",IF(_xlfn.XLOOKUP($A371,'RAWDATA Cars Buyers DB'!$A:$A,'RAWDATA Cars Buyers DB'!K:K)&gt;=31,"Middle Age ",IF(_xlfn.XLOOKUP($A371,'RAWDATA Cars Buyers DB'!$A:$A,'RAWDATA Cars Buyers DB'!K:K)&lt;31,"Adolescent","Invalid")))</f>
        <v xml:space="preserve">Middle Age </v>
      </c>
      <c r="M371" s="8" t="str">
        <f>_xlfn.XLOOKUP($A371,'RAWDATA Cars Buyers DB'!$A:$A,'RAWDATA Cars Buyers DB'!L:L)</f>
        <v>No</v>
      </c>
    </row>
    <row r="372" spans="1:13">
      <c r="A372" s="6">
        <v>87575</v>
      </c>
      <c r="B372" s="10" t="str">
        <f>IF(_xlfn.XLOOKUP($A372,'RAWDATA Cars Buyers DB'!$A:$A,'RAWDATA Cars Buyers DB'!B:B)="S","Single","Married")</f>
        <v>Married</v>
      </c>
      <c r="C372" s="10" t="str">
        <f>IF(_xlfn.XLOOKUP($A372,'RAWDATA Cars Buyers DB'!$A:$A,'RAWDATA Cars Buyers DB'!C:C)="F","Female","Male")</f>
        <v>Female</v>
      </c>
      <c r="D372" s="7">
        <f>_xlfn.XLOOKUP($A372,'RAWDATA Cars Buyers DB'!$A:$A,'RAWDATA Cars Buyers DB'!D:D)</f>
        <v>56188</v>
      </c>
      <c r="E372" s="8">
        <f>_xlfn.XLOOKUP($A372,'RAWDATA Cars Buyers DB'!$A:$A,'RAWDATA Cars Buyers DB'!E:E)</f>
        <v>3</v>
      </c>
      <c r="F372" s="8" t="str">
        <f>_xlfn.XLOOKUP($A372,'RAWDATA Cars Buyers DB'!$A:$A,'RAWDATA Cars Buyers DB'!F:F)</f>
        <v>High School</v>
      </c>
      <c r="G372" s="8" t="str">
        <f>_xlfn.XLOOKUP($A372,'RAWDATA Cars Buyers DB'!$A:$A,'RAWDATA Cars Buyers DB'!G:G)</f>
        <v>Clerical</v>
      </c>
      <c r="H372" s="8" t="str">
        <f>_xlfn.XLOOKUP($A372,'RAWDATA Cars Buyers DB'!$A:$A,'RAWDATA Cars Buyers DB'!H:H)</f>
        <v>No</v>
      </c>
      <c r="I372" s="8" t="str">
        <f>_xlfn.XLOOKUP($A372,'RAWDATA Cars Buyers DB'!$A:$A,'RAWDATA Cars Buyers DB'!I:I)</f>
        <v>4–6 Kilometre</v>
      </c>
      <c r="J372" s="8" t="str">
        <f>_xlfn.XLOOKUP($A372,'RAWDATA Cars Buyers DB'!$A:$A,'RAWDATA Cars Buyers DB'!J:J)</f>
        <v>Hamburg</v>
      </c>
      <c r="K372" s="8">
        <f>_xlfn.XLOOKUP($A372,'RAWDATA Cars Buyers DB'!$A:$A,'RAWDATA Cars Buyers DB'!K:K)</f>
        <v>29</v>
      </c>
      <c r="L372" s="10" t="str">
        <f>IF(_xlfn.XLOOKUP($A372,'RAWDATA Cars Buyers DB'!$A:$A,'RAWDATA Cars Buyers DB'!K:K)&gt;54,"Old ",IF(_xlfn.XLOOKUP($A372,'RAWDATA Cars Buyers DB'!$A:$A,'RAWDATA Cars Buyers DB'!K:K)&gt;=31,"Middle Age ",IF(_xlfn.XLOOKUP($A372,'RAWDATA Cars Buyers DB'!$A:$A,'RAWDATA Cars Buyers DB'!K:K)&lt;31,"Adolescent","Invalid")))</f>
        <v>Adolescent</v>
      </c>
      <c r="M372" s="8" t="str">
        <f>_xlfn.XLOOKUP($A372,'RAWDATA Cars Buyers DB'!$A:$A,'RAWDATA Cars Buyers DB'!L:L)</f>
        <v>Yes</v>
      </c>
    </row>
    <row r="373" spans="1:13">
      <c r="A373" s="6">
        <v>16655</v>
      </c>
      <c r="B373" s="10" t="str">
        <f>IF(_xlfn.XLOOKUP($A373,'RAWDATA Cars Buyers DB'!$A:$A,'RAWDATA Cars Buyers DB'!B:B)="S","Single","Married")</f>
        <v>Married</v>
      </c>
      <c r="C373" s="10" t="str">
        <f>IF(_xlfn.XLOOKUP($A373,'RAWDATA Cars Buyers DB'!$A:$A,'RAWDATA Cars Buyers DB'!C:C)="F","Female","Male")</f>
        <v>Female</v>
      </c>
      <c r="D373" s="7">
        <f>_xlfn.XLOOKUP($A373,'RAWDATA Cars Buyers DB'!$A:$A,'RAWDATA Cars Buyers DB'!D:D)</f>
        <v>25845</v>
      </c>
      <c r="E373" s="8">
        <f>_xlfn.XLOOKUP($A373,'RAWDATA Cars Buyers DB'!$A:$A,'RAWDATA Cars Buyers DB'!E:E)</f>
        <v>3</v>
      </c>
      <c r="F373" s="8" t="str">
        <f>_xlfn.XLOOKUP($A373,'RAWDATA Cars Buyers DB'!$A:$A,'RAWDATA Cars Buyers DB'!F:F)</f>
        <v>Graduate Degree</v>
      </c>
      <c r="G373" s="8" t="str">
        <f>_xlfn.XLOOKUP($A373,'RAWDATA Cars Buyers DB'!$A:$A,'RAWDATA Cars Buyers DB'!G:G)</f>
        <v>Skilled Manual</v>
      </c>
      <c r="H373" s="8" t="str">
        <f>_xlfn.XLOOKUP($A373,'RAWDATA Cars Buyers DB'!$A:$A,'RAWDATA Cars Buyers DB'!H:H)</f>
        <v>Yes</v>
      </c>
      <c r="I373" s="8" t="str">
        <f>_xlfn.XLOOKUP($A373,'RAWDATA Cars Buyers DB'!$A:$A,'RAWDATA Cars Buyers DB'!I:I)</f>
        <v>1–2 Kilometre</v>
      </c>
      <c r="J373" s="8" t="str">
        <f>_xlfn.XLOOKUP($A373,'RAWDATA Cars Buyers DB'!$A:$A,'RAWDATA Cars Buyers DB'!J:J)</f>
        <v>Saxony-Anhalt</v>
      </c>
      <c r="K373" s="8">
        <f>_xlfn.XLOOKUP($A373,'RAWDATA Cars Buyers DB'!$A:$A,'RAWDATA Cars Buyers DB'!K:K)</f>
        <v>59</v>
      </c>
      <c r="L373" s="10" t="str">
        <f>IF(_xlfn.XLOOKUP($A373,'RAWDATA Cars Buyers DB'!$A:$A,'RAWDATA Cars Buyers DB'!K:K)&gt;54,"Old ",IF(_xlfn.XLOOKUP($A373,'RAWDATA Cars Buyers DB'!$A:$A,'RAWDATA Cars Buyers DB'!K:K)&gt;=31,"Middle Age ",IF(_xlfn.XLOOKUP($A373,'RAWDATA Cars Buyers DB'!$A:$A,'RAWDATA Cars Buyers DB'!K:K)&lt;31,"Adolescent","Invalid")))</f>
        <v xml:space="preserve">Old </v>
      </c>
      <c r="M373" s="8" t="str">
        <f>_xlfn.XLOOKUP($A373,'RAWDATA Cars Buyers DB'!$A:$A,'RAWDATA Cars Buyers DB'!L:L)</f>
        <v>No</v>
      </c>
    </row>
    <row r="374" spans="1:13">
      <c r="A374" s="6">
        <v>80031</v>
      </c>
      <c r="B374" s="10" t="str">
        <f>IF(_xlfn.XLOOKUP($A374,'RAWDATA Cars Buyers DB'!$A:$A,'RAWDATA Cars Buyers DB'!B:B)="S","Single","Married")</f>
        <v>Married</v>
      </c>
      <c r="C374" s="10" t="str">
        <f>IF(_xlfn.XLOOKUP($A374,'RAWDATA Cars Buyers DB'!$A:$A,'RAWDATA Cars Buyers DB'!C:C)="F","Female","Male")</f>
        <v>Female</v>
      </c>
      <c r="D374" s="7">
        <f>_xlfn.XLOOKUP($A374,'RAWDATA Cars Buyers DB'!$A:$A,'RAWDATA Cars Buyers DB'!D:D)</f>
        <v>106698</v>
      </c>
      <c r="E374" s="8">
        <f>_xlfn.XLOOKUP($A374,'RAWDATA Cars Buyers DB'!$A:$A,'RAWDATA Cars Buyers DB'!E:E)</f>
        <v>2</v>
      </c>
      <c r="F374" s="8" t="str">
        <f>_xlfn.XLOOKUP($A374,'RAWDATA Cars Buyers DB'!$A:$A,'RAWDATA Cars Buyers DB'!F:F)</f>
        <v>Partial College</v>
      </c>
      <c r="G374" s="8" t="str">
        <f>_xlfn.XLOOKUP($A374,'RAWDATA Cars Buyers DB'!$A:$A,'RAWDATA Cars Buyers DB'!G:G)</f>
        <v>Clerical</v>
      </c>
      <c r="H374" s="8" t="str">
        <f>_xlfn.XLOOKUP($A374,'RAWDATA Cars Buyers DB'!$A:$A,'RAWDATA Cars Buyers DB'!H:H)</f>
        <v>No</v>
      </c>
      <c r="I374" s="8" t="str">
        <f>_xlfn.XLOOKUP($A374,'RAWDATA Cars Buyers DB'!$A:$A,'RAWDATA Cars Buyers DB'!I:I)</f>
        <v>6+ Kilometre</v>
      </c>
      <c r="J374" s="8" t="str">
        <f>_xlfn.XLOOKUP($A374,'RAWDATA Cars Buyers DB'!$A:$A,'RAWDATA Cars Buyers DB'!J:J)</f>
        <v>Baden-Württemberg</v>
      </c>
      <c r="K374" s="8">
        <f>_xlfn.XLOOKUP($A374,'RAWDATA Cars Buyers DB'!$A:$A,'RAWDATA Cars Buyers DB'!K:K)</f>
        <v>34</v>
      </c>
      <c r="L374" s="10" t="str">
        <f>IF(_xlfn.XLOOKUP($A374,'RAWDATA Cars Buyers DB'!$A:$A,'RAWDATA Cars Buyers DB'!K:K)&gt;54,"Old ",IF(_xlfn.XLOOKUP($A374,'RAWDATA Cars Buyers DB'!$A:$A,'RAWDATA Cars Buyers DB'!K:K)&gt;=31,"Middle Age ",IF(_xlfn.XLOOKUP($A374,'RAWDATA Cars Buyers DB'!$A:$A,'RAWDATA Cars Buyers DB'!K:K)&lt;31,"Adolescent","Invalid")))</f>
        <v xml:space="preserve">Middle Age </v>
      </c>
      <c r="M374" s="8" t="str">
        <f>_xlfn.XLOOKUP($A374,'RAWDATA Cars Buyers DB'!$A:$A,'RAWDATA Cars Buyers DB'!L:L)</f>
        <v>Yes</v>
      </c>
    </row>
    <row r="375" spans="1:13">
      <c r="A375" s="6">
        <v>86429</v>
      </c>
      <c r="B375" s="10" t="str">
        <f>IF(_xlfn.XLOOKUP($A375,'RAWDATA Cars Buyers DB'!$A:$A,'RAWDATA Cars Buyers DB'!B:B)="S","Single","Married")</f>
        <v>Married</v>
      </c>
      <c r="C375" s="10" t="str">
        <f>IF(_xlfn.XLOOKUP($A375,'RAWDATA Cars Buyers DB'!$A:$A,'RAWDATA Cars Buyers DB'!C:C)="F","Female","Male")</f>
        <v>Female</v>
      </c>
      <c r="D375" s="7">
        <f>_xlfn.XLOOKUP($A375,'RAWDATA Cars Buyers DB'!$A:$A,'RAWDATA Cars Buyers DB'!D:D)</f>
        <v>56674</v>
      </c>
      <c r="E375" s="8">
        <f>_xlfn.XLOOKUP($A375,'RAWDATA Cars Buyers DB'!$A:$A,'RAWDATA Cars Buyers DB'!E:E)</f>
        <v>1</v>
      </c>
      <c r="F375" s="8" t="str">
        <f>_xlfn.XLOOKUP($A375,'RAWDATA Cars Buyers DB'!$A:$A,'RAWDATA Cars Buyers DB'!F:F)</f>
        <v>High School</v>
      </c>
      <c r="G375" s="8" t="str">
        <f>_xlfn.XLOOKUP($A375,'RAWDATA Cars Buyers DB'!$A:$A,'RAWDATA Cars Buyers DB'!G:G)</f>
        <v>Management</v>
      </c>
      <c r="H375" s="8" t="str">
        <f>_xlfn.XLOOKUP($A375,'RAWDATA Cars Buyers DB'!$A:$A,'RAWDATA Cars Buyers DB'!H:H)</f>
        <v>Yes</v>
      </c>
      <c r="I375" s="8" t="str">
        <f>_xlfn.XLOOKUP($A375,'RAWDATA Cars Buyers DB'!$A:$A,'RAWDATA Cars Buyers DB'!I:I)</f>
        <v>0–1 Kilometre</v>
      </c>
      <c r="J375" s="8" t="str">
        <f>_xlfn.XLOOKUP($A375,'RAWDATA Cars Buyers DB'!$A:$A,'RAWDATA Cars Buyers DB'!J:J)</f>
        <v>Saarland</v>
      </c>
      <c r="K375" s="8">
        <f>_xlfn.XLOOKUP($A375,'RAWDATA Cars Buyers DB'!$A:$A,'RAWDATA Cars Buyers DB'!K:K)</f>
        <v>24</v>
      </c>
      <c r="L375" s="10" t="str">
        <f>IF(_xlfn.XLOOKUP($A375,'RAWDATA Cars Buyers DB'!$A:$A,'RAWDATA Cars Buyers DB'!K:K)&gt;54,"Old ",IF(_xlfn.XLOOKUP($A375,'RAWDATA Cars Buyers DB'!$A:$A,'RAWDATA Cars Buyers DB'!K:K)&gt;=31,"Middle Age ",IF(_xlfn.XLOOKUP($A375,'RAWDATA Cars Buyers DB'!$A:$A,'RAWDATA Cars Buyers DB'!K:K)&lt;31,"Adolescent","Invalid")))</f>
        <v>Adolescent</v>
      </c>
      <c r="M375" s="8" t="str">
        <f>_xlfn.XLOOKUP($A375,'RAWDATA Cars Buyers DB'!$A:$A,'RAWDATA Cars Buyers DB'!L:L)</f>
        <v>No</v>
      </c>
    </row>
    <row r="376" spans="1:13">
      <c r="A376" s="6">
        <v>97922</v>
      </c>
      <c r="B376" s="10" t="str">
        <f>IF(_xlfn.XLOOKUP($A376,'RAWDATA Cars Buyers DB'!$A:$A,'RAWDATA Cars Buyers DB'!B:B)="S","Single","Married")</f>
        <v>Single</v>
      </c>
      <c r="C376" s="10" t="str">
        <f>IF(_xlfn.XLOOKUP($A376,'RAWDATA Cars Buyers DB'!$A:$A,'RAWDATA Cars Buyers DB'!C:C)="F","Female","Male")</f>
        <v>Male</v>
      </c>
      <c r="D376" s="7">
        <f>_xlfn.XLOOKUP($A376,'RAWDATA Cars Buyers DB'!$A:$A,'RAWDATA Cars Buyers DB'!D:D)</f>
        <v>39337</v>
      </c>
      <c r="E376" s="8">
        <f>_xlfn.XLOOKUP($A376,'RAWDATA Cars Buyers DB'!$A:$A,'RAWDATA Cars Buyers DB'!E:E)</f>
        <v>0</v>
      </c>
      <c r="F376" s="8" t="str">
        <f>_xlfn.XLOOKUP($A376,'RAWDATA Cars Buyers DB'!$A:$A,'RAWDATA Cars Buyers DB'!F:F)</f>
        <v>Partial College</v>
      </c>
      <c r="G376" s="8" t="str">
        <f>_xlfn.XLOOKUP($A376,'RAWDATA Cars Buyers DB'!$A:$A,'RAWDATA Cars Buyers DB'!G:G)</f>
        <v>Professional</v>
      </c>
      <c r="H376" s="8" t="str">
        <f>_xlfn.XLOOKUP($A376,'RAWDATA Cars Buyers DB'!$A:$A,'RAWDATA Cars Buyers DB'!H:H)</f>
        <v>Yes</v>
      </c>
      <c r="I376" s="8" t="str">
        <f>_xlfn.XLOOKUP($A376,'RAWDATA Cars Buyers DB'!$A:$A,'RAWDATA Cars Buyers DB'!I:I)</f>
        <v>6+ Kilometre</v>
      </c>
      <c r="J376" s="8" t="str">
        <f>_xlfn.XLOOKUP($A376,'RAWDATA Cars Buyers DB'!$A:$A,'RAWDATA Cars Buyers DB'!J:J)</f>
        <v>Baden-Württemberg</v>
      </c>
      <c r="K376" s="8">
        <f>_xlfn.XLOOKUP($A376,'RAWDATA Cars Buyers DB'!$A:$A,'RAWDATA Cars Buyers DB'!K:K)</f>
        <v>23</v>
      </c>
      <c r="L376" s="10" t="str">
        <f>IF(_xlfn.XLOOKUP($A376,'RAWDATA Cars Buyers DB'!$A:$A,'RAWDATA Cars Buyers DB'!K:K)&gt;54,"Old ",IF(_xlfn.XLOOKUP($A376,'RAWDATA Cars Buyers DB'!$A:$A,'RAWDATA Cars Buyers DB'!K:K)&gt;=31,"Middle Age ",IF(_xlfn.XLOOKUP($A376,'RAWDATA Cars Buyers DB'!$A:$A,'RAWDATA Cars Buyers DB'!K:K)&lt;31,"Adolescent","Invalid")))</f>
        <v>Adolescent</v>
      </c>
      <c r="M376" s="8" t="str">
        <f>_xlfn.XLOOKUP($A376,'RAWDATA Cars Buyers DB'!$A:$A,'RAWDATA Cars Buyers DB'!L:L)</f>
        <v>No</v>
      </c>
    </row>
    <row r="377" spans="1:13">
      <c r="A377" s="6">
        <v>65766</v>
      </c>
      <c r="B377" s="10" t="str">
        <f>IF(_xlfn.XLOOKUP($A377,'RAWDATA Cars Buyers DB'!$A:$A,'RAWDATA Cars Buyers DB'!B:B)="S","Single","Married")</f>
        <v>Married</v>
      </c>
      <c r="C377" s="10" t="str">
        <f>IF(_xlfn.XLOOKUP($A377,'RAWDATA Cars Buyers DB'!$A:$A,'RAWDATA Cars Buyers DB'!C:C)="F","Female","Male")</f>
        <v>Male</v>
      </c>
      <c r="D377" s="7">
        <f>_xlfn.XLOOKUP($A377,'RAWDATA Cars Buyers DB'!$A:$A,'RAWDATA Cars Buyers DB'!D:D)</f>
        <v>42313</v>
      </c>
      <c r="E377" s="8">
        <f>_xlfn.XLOOKUP($A377,'RAWDATA Cars Buyers DB'!$A:$A,'RAWDATA Cars Buyers DB'!E:E)</f>
        <v>4</v>
      </c>
      <c r="F377" s="8" t="str">
        <f>_xlfn.XLOOKUP($A377,'RAWDATA Cars Buyers DB'!$A:$A,'RAWDATA Cars Buyers DB'!F:F)</f>
        <v>Bachelors</v>
      </c>
      <c r="G377" s="8" t="str">
        <f>_xlfn.XLOOKUP($A377,'RAWDATA Cars Buyers DB'!$A:$A,'RAWDATA Cars Buyers DB'!G:G)</f>
        <v>Professional</v>
      </c>
      <c r="H377" s="8" t="str">
        <f>_xlfn.XLOOKUP($A377,'RAWDATA Cars Buyers DB'!$A:$A,'RAWDATA Cars Buyers DB'!H:H)</f>
        <v>Yes</v>
      </c>
      <c r="I377" s="8" t="str">
        <f>_xlfn.XLOOKUP($A377,'RAWDATA Cars Buyers DB'!$A:$A,'RAWDATA Cars Buyers DB'!I:I)</f>
        <v>2–4 Kilometre</v>
      </c>
      <c r="J377" s="8" t="str">
        <f>_xlfn.XLOOKUP($A377,'RAWDATA Cars Buyers DB'!$A:$A,'RAWDATA Cars Buyers DB'!J:J)</f>
        <v>Schleswig-Holstein</v>
      </c>
      <c r="K377" s="8">
        <f>_xlfn.XLOOKUP($A377,'RAWDATA Cars Buyers DB'!$A:$A,'RAWDATA Cars Buyers DB'!K:K)</f>
        <v>47</v>
      </c>
      <c r="L377" s="10" t="str">
        <f>IF(_xlfn.XLOOKUP($A377,'RAWDATA Cars Buyers DB'!$A:$A,'RAWDATA Cars Buyers DB'!K:K)&gt;54,"Old ",IF(_xlfn.XLOOKUP($A377,'RAWDATA Cars Buyers DB'!$A:$A,'RAWDATA Cars Buyers DB'!K:K)&gt;=31,"Middle Age ",IF(_xlfn.XLOOKUP($A377,'RAWDATA Cars Buyers DB'!$A:$A,'RAWDATA Cars Buyers DB'!K:K)&lt;31,"Adolescent","Invalid")))</f>
        <v xml:space="preserve">Middle Age </v>
      </c>
      <c r="M377" s="8" t="str">
        <f>_xlfn.XLOOKUP($A377,'RAWDATA Cars Buyers DB'!$A:$A,'RAWDATA Cars Buyers DB'!L:L)</f>
        <v>No</v>
      </c>
    </row>
    <row r="378" spans="1:13">
      <c r="A378" s="6">
        <v>23403</v>
      </c>
      <c r="B378" s="10" t="str">
        <f>IF(_xlfn.XLOOKUP($A378,'RAWDATA Cars Buyers DB'!$A:$A,'RAWDATA Cars Buyers DB'!B:B)="S","Single","Married")</f>
        <v>Married</v>
      </c>
      <c r="C378" s="10" t="str">
        <f>IF(_xlfn.XLOOKUP($A378,'RAWDATA Cars Buyers DB'!$A:$A,'RAWDATA Cars Buyers DB'!C:C)="F","Female","Male")</f>
        <v>Male</v>
      </c>
      <c r="D378" s="7">
        <f>_xlfn.XLOOKUP($A378,'RAWDATA Cars Buyers DB'!$A:$A,'RAWDATA Cars Buyers DB'!D:D)</f>
        <v>46943</v>
      </c>
      <c r="E378" s="8">
        <f>_xlfn.XLOOKUP($A378,'RAWDATA Cars Buyers DB'!$A:$A,'RAWDATA Cars Buyers DB'!E:E)</f>
        <v>4</v>
      </c>
      <c r="F378" s="8" t="str">
        <f>_xlfn.XLOOKUP($A378,'RAWDATA Cars Buyers DB'!$A:$A,'RAWDATA Cars Buyers DB'!F:F)</f>
        <v>Partial College</v>
      </c>
      <c r="G378" s="8" t="str">
        <f>_xlfn.XLOOKUP($A378,'RAWDATA Cars Buyers DB'!$A:$A,'RAWDATA Cars Buyers DB'!G:G)</f>
        <v>Skilled Manual</v>
      </c>
      <c r="H378" s="8" t="str">
        <f>_xlfn.XLOOKUP($A378,'RAWDATA Cars Buyers DB'!$A:$A,'RAWDATA Cars Buyers DB'!H:H)</f>
        <v>Yes</v>
      </c>
      <c r="I378" s="8" t="str">
        <f>_xlfn.XLOOKUP($A378,'RAWDATA Cars Buyers DB'!$A:$A,'RAWDATA Cars Buyers DB'!I:I)</f>
        <v>6+ Kilometre</v>
      </c>
      <c r="J378" s="8" t="str">
        <f>_xlfn.XLOOKUP($A378,'RAWDATA Cars Buyers DB'!$A:$A,'RAWDATA Cars Buyers DB'!J:J)</f>
        <v>Rhineland-Palatinate</v>
      </c>
      <c r="K378" s="8">
        <f>_xlfn.XLOOKUP($A378,'RAWDATA Cars Buyers DB'!$A:$A,'RAWDATA Cars Buyers DB'!K:K)</f>
        <v>23</v>
      </c>
      <c r="L378" s="10" t="str">
        <f>IF(_xlfn.XLOOKUP($A378,'RAWDATA Cars Buyers DB'!$A:$A,'RAWDATA Cars Buyers DB'!K:K)&gt;54,"Old ",IF(_xlfn.XLOOKUP($A378,'RAWDATA Cars Buyers DB'!$A:$A,'RAWDATA Cars Buyers DB'!K:K)&gt;=31,"Middle Age ",IF(_xlfn.XLOOKUP($A378,'RAWDATA Cars Buyers DB'!$A:$A,'RAWDATA Cars Buyers DB'!K:K)&lt;31,"Adolescent","Invalid")))</f>
        <v>Adolescent</v>
      </c>
      <c r="M378" s="8" t="str">
        <f>_xlfn.XLOOKUP($A378,'RAWDATA Cars Buyers DB'!$A:$A,'RAWDATA Cars Buyers DB'!L:L)</f>
        <v>No</v>
      </c>
    </row>
    <row r="379" spans="1:13">
      <c r="A379" s="6">
        <v>42097</v>
      </c>
      <c r="B379" s="10" t="str">
        <f>IF(_xlfn.XLOOKUP($A379,'RAWDATA Cars Buyers DB'!$A:$A,'RAWDATA Cars Buyers DB'!B:B)="S","Single","Married")</f>
        <v>Single</v>
      </c>
      <c r="C379" s="10" t="str">
        <f>IF(_xlfn.XLOOKUP($A379,'RAWDATA Cars Buyers DB'!$A:$A,'RAWDATA Cars Buyers DB'!C:C)="F","Female","Male")</f>
        <v>Female</v>
      </c>
      <c r="D379" s="7">
        <f>_xlfn.XLOOKUP($A379,'RAWDATA Cars Buyers DB'!$A:$A,'RAWDATA Cars Buyers DB'!D:D)</f>
        <v>97949</v>
      </c>
      <c r="E379" s="8">
        <f>_xlfn.XLOOKUP($A379,'RAWDATA Cars Buyers DB'!$A:$A,'RAWDATA Cars Buyers DB'!E:E)</f>
        <v>1</v>
      </c>
      <c r="F379" s="8" t="str">
        <f>_xlfn.XLOOKUP($A379,'RAWDATA Cars Buyers DB'!$A:$A,'RAWDATA Cars Buyers DB'!F:F)</f>
        <v>Partial College</v>
      </c>
      <c r="G379" s="8" t="str">
        <f>_xlfn.XLOOKUP($A379,'RAWDATA Cars Buyers DB'!$A:$A,'RAWDATA Cars Buyers DB'!G:G)</f>
        <v>Professional</v>
      </c>
      <c r="H379" s="8" t="str">
        <f>_xlfn.XLOOKUP($A379,'RAWDATA Cars Buyers DB'!$A:$A,'RAWDATA Cars Buyers DB'!H:H)</f>
        <v>Yes</v>
      </c>
      <c r="I379" s="8" t="str">
        <f>_xlfn.XLOOKUP($A379,'RAWDATA Cars Buyers DB'!$A:$A,'RAWDATA Cars Buyers DB'!I:I)</f>
        <v>2–4 Kilometre</v>
      </c>
      <c r="J379" s="8" t="str">
        <f>_xlfn.XLOOKUP($A379,'RAWDATA Cars Buyers DB'!$A:$A,'RAWDATA Cars Buyers DB'!J:J)</f>
        <v>Rhineland-Palatinate</v>
      </c>
      <c r="K379" s="8">
        <f>_xlfn.XLOOKUP($A379,'RAWDATA Cars Buyers DB'!$A:$A,'RAWDATA Cars Buyers DB'!K:K)</f>
        <v>34</v>
      </c>
      <c r="L379" s="10" t="str">
        <f>IF(_xlfn.XLOOKUP($A379,'RAWDATA Cars Buyers DB'!$A:$A,'RAWDATA Cars Buyers DB'!K:K)&gt;54,"Old ",IF(_xlfn.XLOOKUP($A379,'RAWDATA Cars Buyers DB'!$A:$A,'RAWDATA Cars Buyers DB'!K:K)&gt;=31,"Middle Age ",IF(_xlfn.XLOOKUP($A379,'RAWDATA Cars Buyers DB'!$A:$A,'RAWDATA Cars Buyers DB'!K:K)&lt;31,"Adolescent","Invalid")))</f>
        <v xml:space="preserve">Middle Age </v>
      </c>
      <c r="M379" s="8" t="str">
        <f>_xlfn.XLOOKUP($A379,'RAWDATA Cars Buyers DB'!$A:$A,'RAWDATA Cars Buyers DB'!L:L)</f>
        <v>No</v>
      </c>
    </row>
    <row r="380" spans="1:13">
      <c r="A380" s="6">
        <v>88657</v>
      </c>
      <c r="B380" s="10" t="str">
        <f>IF(_xlfn.XLOOKUP($A380,'RAWDATA Cars Buyers DB'!$A:$A,'RAWDATA Cars Buyers DB'!B:B)="S","Single","Married")</f>
        <v>Single</v>
      </c>
      <c r="C380" s="10" t="str">
        <f>IF(_xlfn.XLOOKUP($A380,'RAWDATA Cars Buyers DB'!$A:$A,'RAWDATA Cars Buyers DB'!C:C)="F","Female","Male")</f>
        <v>Male</v>
      </c>
      <c r="D380" s="7">
        <f>_xlfn.XLOOKUP($A380,'RAWDATA Cars Buyers DB'!$A:$A,'RAWDATA Cars Buyers DB'!D:D)</f>
        <v>20276</v>
      </c>
      <c r="E380" s="8">
        <f>_xlfn.XLOOKUP($A380,'RAWDATA Cars Buyers DB'!$A:$A,'RAWDATA Cars Buyers DB'!E:E)</f>
        <v>3</v>
      </c>
      <c r="F380" s="8" t="str">
        <f>_xlfn.XLOOKUP($A380,'RAWDATA Cars Buyers DB'!$A:$A,'RAWDATA Cars Buyers DB'!F:F)</f>
        <v>Bachelors</v>
      </c>
      <c r="G380" s="8" t="str">
        <f>_xlfn.XLOOKUP($A380,'RAWDATA Cars Buyers DB'!$A:$A,'RAWDATA Cars Buyers DB'!G:G)</f>
        <v>Management</v>
      </c>
      <c r="H380" s="8" t="str">
        <f>_xlfn.XLOOKUP($A380,'RAWDATA Cars Buyers DB'!$A:$A,'RAWDATA Cars Buyers DB'!H:H)</f>
        <v>No</v>
      </c>
      <c r="I380" s="8" t="str">
        <f>_xlfn.XLOOKUP($A380,'RAWDATA Cars Buyers DB'!$A:$A,'RAWDATA Cars Buyers DB'!I:I)</f>
        <v>2–4 Kilometre</v>
      </c>
      <c r="J380" s="8" t="str">
        <f>_xlfn.XLOOKUP($A380,'RAWDATA Cars Buyers DB'!$A:$A,'RAWDATA Cars Buyers DB'!J:J)</f>
        <v>Baden-Württemberg</v>
      </c>
      <c r="K380" s="8">
        <f>_xlfn.XLOOKUP($A380,'RAWDATA Cars Buyers DB'!$A:$A,'RAWDATA Cars Buyers DB'!K:K)</f>
        <v>36</v>
      </c>
      <c r="L380" s="10" t="str">
        <f>IF(_xlfn.XLOOKUP($A380,'RAWDATA Cars Buyers DB'!$A:$A,'RAWDATA Cars Buyers DB'!K:K)&gt;54,"Old ",IF(_xlfn.XLOOKUP($A380,'RAWDATA Cars Buyers DB'!$A:$A,'RAWDATA Cars Buyers DB'!K:K)&gt;=31,"Middle Age ",IF(_xlfn.XLOOKUP($A380,'RAWDATA Cars Buyers DB'!$A:$A,'RAWDATA Cars Buyers DB'!K:K)&lt;31,"Adolescent","Invalid")))</f>
        <v xml:space="preserve">Middle Age </v>
      </c>
      <c r="M380" s="8" t="str">
        <f>_xlfn.XLOOKUP($A380,'RAWDATA Cars Buyers DB'!$A:$A,'RAWDATA Cars Buyers DB'!L:L)</f>
        <v>No</v>
      </c>
    </row>
    <row r="381" spans="1:13">
      <c r="A381" s="6">
        <v>20966</v>
      </c>
      <c r="B381" s="10" t="str">
        <f>IF(_xlfn.XLOOKUP($A381,'RAWDATA Cars Buyers DB'!$A:$A,'RAWDATA Cars Buyers DB'!B:B)="S","Single","Married")</f>
        <v>Married</v>
      </c>
      <c r="C381" s="10" t="str">
        <f>IF(_xlfn.XLOOKUP($A381,'RAWDATA Cars Buyers DB'!$A:$A,'RAWDATA Cars Buyers DB'!C:C)="F","Female","Male")</f>
        <v>Female</v>
      </c>
      <c r="D381" s="7">
        <f>_xlfn.XLOOKUP($A381,'RAWDATA Cars Buyers DB'!$A:$A,'RAWDATA Cars Buyers DB'!D:D)</f>
        <v>71151</v>
      </c>
      <c r="E381" s="8">
        <f>_xlfn.XLOOKUP($A381,'RAWDATA Cars Buyers DB'!$A:$A,'RAWDATA Cars Buyers DB'!E:E)</f>
        <v>0</v>
      </c>
      <c r="F381" s="8" t="str">
        <f>_xlfn.XLOOKUP($A381,'RAWDATA Cars Buyers DB'!$A:$A,'RAWDATA Cars Buyers DB'!F:F)</f>
        <v>Graduate Degree</v>
      </c>
      <c r="G381" s="8" t="str">
        <f>_xlfn.XLOOKUP($A381,'RAWDATA Cars Buyers DB'!$A:$A,'RAWDATA Cars Buyers DB'!G:G)</f>
        <v>Professional</v>
      </c>
      <c r="H381" s="8" t="str">
        <f>_xlfn.XLOOKUP($A381,'RAWDATA Cars Buyers DB'!$A:$A,'RAWDATA Cars Buyers DB'!H:H)</f>
        <v>Yes</v>
      </c>
      <c r="I381" s="8" t="str">
        <f>_xlfn.XLOOKUP($A381,'RAWDATA Cars Buyers DB'!$A:$A,'RAWDATA Cars Buyers DB'!I:I)</f>
        <v>0–1 Kilometre</v>
      </c>
      <c r="J381" s="8" t="str">
        <f>_xlfn.XLOOKUP($A381,'RAWDATA Cars Buyers DB'!$A:$A,'RAWDATA Cars Buyers DB'!J:J)</f>
        <v>Berlin</v>
      </c>
      <c r="K381" s="8">
        <f>_xlfn.XLOOKUP($A381,'RAWDATA Cars Buyers DB'!$A:$A,'RAWDATA Cars Buyers DB'!K:K)</f>
        <v>63</v>
      </c>
      <c r="L381" s="10" t="str">
        <f>IF(_xlfn.XLOOKUP($A381,'RAWDATA Cars Buyers DB'!$A:$A,'RAWDATA Cars Buyers DB'!K:K)&gt;54,"Old ",IF(_xlfn.XLOOKUP($A381,'RAWDATA Cars Buyers DB'!$A:$A,'RAWDATA Cars Buyers DB'!K:K)&gt;=31,"Middle Age ",IF(_xlfn.XLOOKUP($A381,'RAWDATA Cars Buyers DB'!$A:$A,'RAWDATA Cars Buyers DB'!K:K)&lt;31,"Adolescent","Invalid")))</f>
        <v xml:space="preserve">Old </v>
      </c>
      <c r="M381" s="8" t="str">
        <f>_xlfn.XLOOKUP($A381,'RAWDATA Cars Buyers DB'!$A:$A,'RAWDATA Cars Buyers DB'!L:L)</f>
        <v>Yes</v>
      </c>
    </row>
    <row r="382" spans="1:13">
      <c r="A382" s="6">
        <v>62921</v>
      </c>
      <c r="B382" s="10" t="str">
        <f>IF(_xlfn.XLOOKUP($A382,'RAWDATA Cars Buyers DB'!$A:$A,'RAWDATA Cars Buyers DB'!B:B)="S","Single","Married")</f>
        <v>Married</v>
      </c>
      <c r="C382" s="10" t="str">
        <f>IF(_xlfn.XLOOKUP($A382,'RAWDATA Cars Buyers DB'!$A:$A,'RAWDATA Cars Buyers DB'!C:C)="F","Female","Male")</f>
        <v>Female</v>
      </c>
      <c r="D382" s="7">
        <f>_xlfn.XLOOKUP($A382,'RAWDATA Cars Buyers DB'!$A:$A,'RAWDATA Cars Buyers DB'!D:D)</f>
        <v>37611</v>
      </c>
      <c r="E382" s="8">
        <f>_xlfn.XLOOKUP($A382,'RAWDATA Cars Buyers DB'!$A:$A,'RAWDATA Cars Buyers DB'!E:E)</f>
        <v>4</v>
      </c>
      <c r="F382" s="8" t="str">
        <f>_xlfn.XLOOKUP($A382,'RAWDATA Cars Buyers DB'!$A:$A,'RAWDATA Cars Buyers DB'!F:F)</f>
        <v>High School</v>
      </c>
      <c r="G382" s="8" t="str">
        <f>_xlfn.XLOOKUP($A382,'RAWDATA Cars Buyers DB'!$A:$A,'RAWDATA Cars Buyers DB'!G:G)</f>
        <v>Skilled Manual</v>
      </c>
      <c r="H382" s="8" t="str">
        <f>_xlfn.XLOOKUP($A382,'RAWDATA Cars Buyers DB'!$A:$A,'RAWDATA Cars Buyers DB'!H:H)</f>
        <v>Yes</v>
      </c>
      <c r="I382" s="8" t="str">
        <f>_xlfn.XLOOKUP($A382,'RAWDATA Cars Buyers DB'!$A:$A,'RAWDATA Cars Buyers DB'!I:I)</f>
        <v>1–2 Kilometre</v>
      </c>
      <c r="J382" s="8" t="str">
        <f>_xlfn.XLOOKUP($A382,'RAWDATA Cars Buyers DB'!$A:$A,'RAWDATA Cars Buyers DB'!J:J)</f>
        <v>Thuringia</v>
      </c>
      <c r="K382" s="8">
        <f>_xlfn.XLOOKUP($A382,'RAWDATA Cars Buyers DB'!$A:$A,'RAWDATA Cars Buyers DB'!K:K)</f>
        <v>22</v>
      </c>
      <c r="L382" s="10" t="str">
        <f>IF(_xlfn.XLOOKUP($A382,'RAWDATA Cars Buyers DB'!$A:$A,'RAWDATA Cars Buyers DB'!K:K)&gt;54,"Old ",IF(_xlfn.XLOOKUP($A382,'RAWDATA Cars Buyers DB'!$A:$A,'RAWDATA Cars Buyers DB'!K:K)&gt;=31,"Middle Age ",IF(_xlfn.XLOOKUP($A382,'RAWDATA Cars Buyers DB'!$A:$A,'RAWDATA Cars Buyers DB'!K:K)&lt;31,"Adolescent","Invalid")))</f>
        <v>Adolescent</v>
      </c>
      <c r="M382" s="8" t="str">
        <f>_xlfn.XLOOKUP($A382,'RAWDATA Cars Buyers DB'!$A:$A,'RAWDATA Cars Buyers DB'!L:L)</f>
        <v>Yes</v>
      </c>
    </row>
    <row r="383" spans="1:13">
      <c r="A383" s="6">
        <v>59726</v>
      </c>
      <c r="B383" s="10" t="str">
        <f>IF(_xlfn.XLOOKUP($A383,'RAWDATA Cars Buyers DB'!$A:$A,'RAWDATA Cars Buyers DB'!B:B)="S","Single","Married")</f>
        <v>Married</v>
      </c>
      <c r="C383" s="10" t="str">
        <f>IF(_xlfn.XLOOKUP($A383,'RAWDATA Cars Buyers DB'!$A:$A,'RAWDATA Cars Buyers DB'!C:C)="F","Female","Male")</f>
        <v>Male</v>
      </c>
      <c r="D383" s="7">
        <f>_xlfn.XLOOKUP($A383,'RAWDATA Cars Buyers DB'!$A:$A,'RAWDATA Cars Buyers DB'!D:D)</f>
        <v>31944</v>
      </c>
      <c r="E383" s="8">
        <f>_xlfn.XLOOKUP($A383,'RAWDATA Cars Buyers DB'!$A:$A,'RAWDATA Cars Buyers DB'!E:E)</f>
        <v>5</v>
      </c>
      <c r="F383" s="8" t="str">
        <f>_xlfn.XLOOKUP($A383,'RAWDATA Cars Buyers DB'!$A:$A,'RAWDATA Cars Buyers DB'!F:F)</f>
        <v>Bachelors</v>
      </c>
      <c r="G383" s="8" t="str">
        <f>_xlfn.XLOOKUP($A383,'RAWDATA Cars Buyers DB'!$A:$A,'RAWDATA Cars Buyers DB'!G:G)</f>
        <v>Management</v>
      </c>
      <c r="H383" s="8" t="str">
        <f>_xlfn.XLOOKUP($A383,'RAWDATA Cars Buyers DB'!$A:$A,'RAWDATA Cars Buyers DB'!H:H)</f>
        <v>Yes</v>
      </c>
      <c r="I383" s="8" t="str">
        <f>_xlfn.XLOOKUP($A383,'RAWDATA Cars Buyers DB'!$A:$A,'RAWDATA Cars Buyers DB'!I:I)</f>
        <v>0–1 Kilometre</v>
      </c>
      <c r="J383" s="8" t="str">
        <f>_xlfn.XLOOKUP($A383,'RAWDATA Cars Buyers DB'!$A:$A,'RAWDATA Cars Buyers DB'!J:J)</f>
        <v>Saarland</v>
      </c>
      <c r="K383" s="8">
        <f>_xlfn.XLOOKUP($A383,'RAWDATA Cars Buyers DB'!$A:$A,'RAWDATA Cars Buyers DB'!K:K)</f>
        <v>29</v>
      </c>
      <c r="L383" s="10" t="str">
        <f>IF(_xlfn.XLOOKUP($A383,'RAWDATA Cars Buyers DB'!$A:$A,'RAWDATA Cars Buyers DB'!K:K)&gt;54,"Old ",IF(_xlfn.XLOOKUP($A383,'RAWDATA Cars Buyers DB'!$A:$A,'RAWDATA Cars Buyers DB'!K:K)&gt;=31,"Middle Age ",IF(_xlfn.XLOOKUP($A383,'RAWDATA Cars Buyers DB'!$A:$A,'RAWDATA Cars Buyers DB'!K:K)&lt;31,"Adolescent","Invalid")))</f>
        <v>Adolescent</v>
      </c>
      <c r="M383" s="8" t="str">
        <f>_xlfn.XLOOKUP($A383,'RAWDATA Cars Buyers DB'!$A:$A,'RAWDATA Cars Buyers DB'!L:L)</f>
        <v>No</v>
      </c>
    </row>
    <row r="384" spans="1:13">
      <c r="A384" s="6">
        <v>60300</v>
      </c>
      <c r="B384" s="10" t="str">
        <f>IF(_xlfn.XLOOKUP($A384,'RAWDATA Cars Buyers DB'!$A:$A,'RAWDATA Cars Buyers DB'!B:B)="S","Single","Married")</f>
        <v>Single</v>
      </c>
      <c r="C384" s="10" t="str">
        <f>IF(_xlfn.XLOOKUP($A384,'RAWDATA Cars Buyers DB'!$A:$A,'RAWDATA Cars Buyers DB'!C:C)="F","Female","Male")</f>
        <v>Male</v>
      </c>
      <c r="D384" s="7">
        <f>_xlfn.XLOOKUP($A384,'RAWDATA Cars Buyers DB'!$A:$A,'RAWDATA Cars Buyers DB'!D:D)</f>
        <v>72887</v>
      </c>
      <c r="E384" s="8">
        <f>_xlfn.XLOOKUP($A384,'RAWDATA Cars Buyers DB'!$A:$A,'RAWDATA Cars Buyers DB'!E:E)</f>
        <v>4</v>
      </c>
      <c r="F384" s="8" t="str">
        <f>_xlfn.XLOOKUP($A384,'RAWDATA Cars Buyers DB'!$A:$A,'RAWDATA Cars Buyers DB'!F:F)</f>
        <v>Partial College</v>
      </c>
      <c r="G384" s="8" t="str">
        <f>_xlfn.XLOOKUP($A384,'RAWDATA Cars Buyers DB'!$A:$A,'RAWDATA Cars Buyers DB'!G:G)</f>
        <v>Clerical</v>
      </c>
      <c r="H384" s="8" t="str">
        <f>_xlfn.XLOOKUP($A384,'RAWDATA Cars Buyers DB'!$A:$A,'RAWDATA Cars Buyers DB'!H:H)</f>
        <v>Yes</v>
      </c>
      <c r="I384" s="8" t="str">
        <f>_xlfn.XLOOKUP($A384,'RAWDATA Cars Buyers DB'!$A:$A,'RAWDATA Cars Buyers DB'!I:I)</f>
        <v>6+ Kilometre</v>
      </c>
      <c r="J384" s="8" t="str">
        <f>_xlfn.XLOOKUP($A384,'RAWDATA Cars Buyers DB'!$A:$A,'RAWDATA Cars Buyers DB'!J:J)</f>
        <v>Hamburg</v>
      </c>
      <c r="K384" s="8">
        <f>_xlfn.XLOOKUP($A384,'RAWDATA Cars Buyers DB'!$A:$A,'RAWDATA Cars Buyers DB'!K:K)</f>
        <v>66</v>
      </c>
      <c r="L384" s="10" t="str">
        <f>IF(_xlfn.XLOOKUP($A384,'RAWDATA Cars Buyers DB'!$A:$A,'RAWDATA Cars Buyers DB'!K:K)&gt;54,"Old ",IF(_xlfn.XLOOKUP($A384,'RAWDATA Cars Buyers DB'!$A:$A,'RAWDATA Cars Buyers DB'!K:K)&gt;=31,"Middle Age ",IF(_xlfn.XLOOKUP($A384,'RAWDATA Cars Buyers DB'!$A:$A,'RAWDATA Cars Buyers DB'!K:K)&lt;31,"Adolescent","Invalid")))</f>
        <v xml:space="preserve">Old </v>
      </c>
      <c r="M384" s="8" t="str">
        <f>_xlfn.XLOOKUP($A384,'RAWDATA Cars Buyers DB'!$A:$A,'RAWDATA Cars Buyers DB'!L:L)</f>
        <v>No</v>
      </c>
    </row>
    <row r="385" spans="1:13">
      <c r="A385" s="6">
        <v>32677</v>
      </c>
      <c r="B385" s="10" t="str">
        <f>IF(_xlfn.XLOOKUP($A385,'RAWDATA Cars Buyers DB'!$A:$A,'RAWDATA Cars Buyers DB'!B:B)="S","Single","Married")</f>
        <v>Married</v>
      </c>
      <c r="C385" s="10" t="str">
        <f>IF(_xlfn.XLOOKUP($A385,'RAWDATA Cars Buyers DB'!$A:$A,'RAWDATA Cars Buyers DB'!C:C)="F","Female","Male")</f>
        <v>Male</v>
      </c>
      <c r="D385" s="7">
        <f>_xlfn.XLOOKUP($A385,'RAWDATA Cars Buyers DB'!$A:$A,'RAWDATA Cars Buyers DB'!D:D)</f>
        <v>101442</v>
      </c>
      <c r="E385" s="8">
        <f>_xlfn.XLOOKUP($A385,'RAWDATA Cars Buyers DB'!$A:$A,'RAWDATA Cars Buyers DB'!E:E)</f>
        <v>3</v>
      </c>
      <c r="F385" s="8" t="str">
        <f>_xlfn.XLOOKUP($A385,'RAWDATA Cars Buyers DB'!$A:$A,'RAWDATA Cars Buyers DB'!F:F)</f>
        <v>High School</v>
      </c>
      <c r="G385" s="8" t="str">
        <f>_xlfn.XLOOKUP($A385,'RAWDATA Cars Buyers DB'!$A:$A,'RAWDATA Cars Buyers DB'!G:G)</f>
        <v>Skilled Manual</v>
      </c>
      <c r="H385" s="8" t="str">
        <f>_xlfn.XLOOKUP($A385,'RAWDATA Cars Buyers DB'!$A:$A,'RAWDATA Cars Buyers DB'!H:H)</f>
        <v>Yes</v>
      </c>
      <c r="I385" s="8" t="str">
        <f>_xlfn.XLOOKUP($A385,'RAWDATA Cars Buyers DB'!$A:$A,'RAWDATA Cars Buyers DB'!I:I)</f>
        <v>2–4 Kilometre</v>
      </c>
      <c r="J385" s="8" t="str">
        <f>_xlfn.XLOOKUP($A385,'RAWDATA Cars Buyers DB'!$A:$A,'RAWDATA Cars Buyers DB'!J:J)</f>
        <v>Saarland</v>
      </c>
      <c r="K385" s="8">
        <f>_xlfn.XLOOKUP($A385,'RAWDATA Cars Buyers DB'!$A:$A,'RAWDATA Cars Buyers DB'!K:K)</f>
        <v>61</v>
      </c>
      <c r="L385" s="10" t="str">
        <f>IF(_xlfn.XLOOKUP($A385,'RAWDATA Cars Buyers DB'!$A:$A,'RAWDATA Cars Buyers DB'!K:K)&gt;54,"Old ",IF(_xlfn.XLOOKUP($A385,'RAWDATA Cars Buyers DB'!$A:$A,'RAWDATA Cars Buyers DB'!K:K)&gt;=31,"Middle Age ",IF(_xlfn.XLOOKUP($A385,'RAWDATA Cars Buyers DB'!$A:$A,'RAWDATA Cars Buyers DB'!K:K)&lt;31,"Adolescent","Invalid")))</f>
        <v xml:space="preserve">Old </v>
      </c>
      <c r="M385" s="8" t="str">
        <f>_xlfn.XLOOKUP($A385,'RAWDATA Cars Buyers DB'!$A:$A,'RAWDATA Cars Buyers DB'!L:L)</f>
        <v>No</v>
      </c>
    </row>
    <row r="386" spans="1:13">
      <c r="A386" s="6">
        <v>65609</v>
      </c>
      <c r="B386" s="10" t="str">
        <f>IF(_xlfn.XLOOKUP($A386,'RAWDATA Cars Buyers DB'!$A:$A,'RAWDATA Cars Buyers DB'!B:B)="S","Single","Married")</f>
        <v>Married</v>
      </c>
      <c r="C386" s="10" t="str">
        <f>IF(_xlfn.XLOOKUP($A386,'RAWDATA Cars Buyers DB'!$A:$A,'RAWDATA Cars Buyers DB'!C:C)="F","Female","Male")</f>
        <v>Female</v>
      </c>
      <c r="D386" s="7">
        <f>_xlfn.XLOOKUP($A386,'RAWDATA Cars Buyers DB'!$A:$A,'RAWDATA Cars Buyers DB'!D:D)</f>
        <v>69847</v>
      </c>
      <c r="E386" s="8">
        <f>_xlfn.XLOOKUP($A386,'RAWDATA Cars Buyers DB'!$A:$A,'RAWDATA Cars Buyers DB'!E:E)</f>
        <v>5</v>
      </c>
      <c r="F386" s="8" t="str">
        <f>_xlfn.XLOOKUP($A386,'RAWDATA Cars Buyers DB'!$A:$A,'RAWDATA Cars Buyers DB'!F:F)</f>
        <v>Bachelors</v>
      </c>
      <c r="G386" s="8" t="str">
        <f>_xlfn.XLOOKUP($A386,'RAWDATA Cars Buyers DB'!$A:$A,'RAWDATA Cars Buyers DB'!G:G)</f>
        <v>Clerical</v>
      </c>
      <c r="H386" s="8" t="str">
        <f>_xlfn.XLOOKUP($A386,'RAWDATA Cars Buyers DB'!$A:$A,'RAWDATA Cars Buyers DB'!H:H)</f>
        <v>Yes</v>
      </c>
      <c r="I386" s="8" t="str">
        <f>_xlfn.XLOOKUP($A386,'RAWDATA Cars Buyers DB'!$A:$A,'RAWDATA Cars Buyers DB'!I:I)</f>
        <v>4–6 Kilometre</v>
      </c>
      <c r="J386" s="8" t="str">
        <f>_xlfn.XLOOKUP($A386,'RAWDATA Cars Buyers DB'!$A:$A,'RAWDATA Cars Buyers DB'!J:J)</f>
        <v>Hamburg</v>
      </c>
      <c r="K386" s="8">
        <f>_xlfn.XLOOKUP($A386,'RAWDATA Cars Buyers DB'!$A:$A,'RAWDATA Cars Buyers DB'!K:K)</f>
        <v>42</v>
      </c>
      <c r="L386" s="10" t="str">
        <f>IF(_xlfn.XLOOKUP($A386,'RAWDATA Cars Buyers DB'!$A:$A,'RAWDATA Cars Buyers DB'!K:K)&gt;54,"Old ",IF(_xlfn.XLOOKUP($A386,'RAWDATA Cars Buyers DB'!$A:$A,'RAWDATA Cars Buyers DB'!K:K)&gt;=31,"Middle Age ",IF(_xlfn.XLOOKUP($A386,'RAWDATA Cars Buyers DB'!$A:$A,'RAWDATA Cars Buyers DB'!K:K)&lt;31,"Adolescent","Invalid")))</f>
        <v xml:space="preserve">Middle Age </v>
      </c>
      <c r="M386" s="8" t="str">
        <f>_xlfn.XLOOKUP($A386,'RAWDATA Cars Buyers DB'!$A:$A,'RAWDATA Cars Buyers DB'!L:L)</f>
        <v>No</v>
      </c>
    </row>
    <row r="387" spans="1:13">
      <c r="A387" s="6">
        <v>66661</v>
      </c>
      <c r="B387" s="10" t="str">
        <f>IF(_xlfn.XLOOKUP($A387,'RAWDATA Cars Buyers DB'!$A:$A,'RAWDATA Cars Buyers DB'!B:B)="S","Single","Married")</f>
        <v>Single</v>
      </c>
      <c r="C387" s="10" t="str">
        <f>IF(_xlfn.XLOOKUP($A387,'RAWDATA Cars Buyers DB'!$A:$A,'RAWDATA Cars Buyers DB'!C:C)="F","Female","Male")</f>
        <v>Female</v>
      </c>
      <c r="D387" s="7">
        <f>_xlfn.XLOOKUP($A387,'RAWDATA Cars Buyers DB'!$A:$A,'RAWDATA Cars Buyers DB'!D:D)</f>
        <v>78653</v>
      </c>
      <c r="E387" s="8">
        <f>_xlfn.XLOOKUP($A387,'RAWDATA Cars Buyers DB'!$A:$A,'RAWDATA Cars Buyers DB'!E:E)</f>
        <v>1</v>
      </c>
      <c r="F387" s="8" t="str">
        <f>_xlfn.XLOOKUP($A387,'RAWDATA Cars Buyers DB'!$A:$A,'RAWDATA Cars Buyers DB'!F:F)</f>
        <v>High School</v>
      </c>
      <c r="G387" s="8" t="str">
        <f>_xlfn.XLOOKUP($A387,'RAWDATA Cars Buyers DB'!$A:$A,'RAWDATA Cars Buyers DB'!G:G)</f>
        <v>Management</v>
      </c>
      <c r="H387" s="8" t="str">
        <f>_xlfn.XLOOKUP($A387,'RAWDATA Cars Buyers DB'!$A:$A,'RAWDATA Cars Buyers DB'!H:H)</f>
        <v>No</v>
      </c>
      <c r="I387" s="8" t="str">
        <f>_xlfn.XLOOKUP($A387,'RAWDATA Cars Buyers DB'!$A:$A,'RAWDATA Cars Buyers DB'!I:I)</f>
        <v>4–6 Kilometre</v>
      </c>
      <c r="J387" s="8" t="str">
        <f>_xlfn.XLOOKUP($A387,'RAWDATA Cars Buyers DB'!$A:$A,'RAWDATA Cars Buyers DB'!J:J)</f>
        <v>Rhineland-Palatinate</v>
      </c>
      <c r="K387" s="8">
        <f>_xlfn.XLOOKUP($A387,'RAWDATA Cars Buyers DB'!$A:$A,'RAWDATA Cars Buyers DB'!K:K)</f>
        <v>37</v>
      </c>
      <c r="L387" s="10" t="str">
        <f>IF(_xlfn.XLOOKUP($A387,'RAWDATA Cars Buyers DB'!$A:$A,'RAWDATA Cars Buyers DB'!K:K)&gt;54,"Old ",IF(_xlfn.XLOOKUP($A387,'RAWDATA Cars Buyers DB'!$A:$A,'RAWDATA Cars Buyers DB'!K:K)&gt;=31,"Middle Age ",IF(_xlfn.XLOOKUP($A387,'RAWDATA Cars Buyers DB'!$A:$A,'RAWDATA Cars Buyers DB'!K:K)&lt;31,"Adolescent","Invalid")))</f>
        <v xml:space="preserve">Middle Age </v>
      </c>
      <c r="M387" s="8" t="str">
        <f>_xlfn.XLOOKUP($A387,'RAWDATA Cars Buyers DB'!$A:$A,'RAWDATA Cars Buyers DB'!L:L)</f>
        <v>No</v>
      </c>
    </row>
    <row r="388" spans="1:13">
      <c r="A388" s="6">
        <v>41024</v>
      </c>
      <c r="B388" s="10" t="str">
        <f>IF(_xlfn.XLOOKUP($A388,'RAWDATA Cars Buyers DB'!$A:$A,'RAWDATA Cars Buyers DB'!B:B)="S","Single","Married")</f>
        <v>Married</v>
      </c>
      <c r="C388" s="10" t="str">
        <f>IF(_xlfn.XLOOKUP($A388,'RAWDATA Cars Buyers DB'!$A:$A,'RAWDATA Cars Buyers DB'!C:C)="F","Female","Male")</f>
        <v>Male</v>
      </c>
      <c r="D388" s="7">
        <f>_xlfn.XLOOKUP($A388,'RAWDATA Cars Buyers DB'!$A:$A,'RAWDATA Cars Buyers DB'!D:D)</f>
        <v>106072</v>
      </c>
      <c r="E388" s="8">
        <f>_xlfn.XLOOKUP($A388,'RAWDATA Cars Buyers DB'!$A:$A,'RAWDATA Cars Buyers DB'!E:E)</f>
        <v>0</v>
      </c>
      <c r="F388" s="8" t="str">
        <f>_xlfn.XLOOKUP($A388,'RAWDATA Cars Buyers DB'!$A:$A,'RAWDATA Cars Buyers DB'!F:F)</f>
        <v>High School</v>
      </c>
      <c r="G388" s="8" t="str">
        <f>_xlfn.XLOOKUP($A388,'RAWDATA Cars Buyers DB'!$A:$A,'RAWDATA Cars Buyers DB'!G:G)</f>
        <v>Skilled Manual</v>
      </c>
      <c r="H388" s="8" t="str">
        <f>_xlfn.XLOOKUP($A388,'RAWDATA Cars Buyers DB'!$A:$A,'RAWDATA Cars Buyers DB'!H:H)</f>
        <v>No</v>
      </c>
      <c r="I388" s="8" t="str">
        <f>_xlfn.XLOOKUP($A388,'RAWDATA Cars Buyers DB'!$A:$A,'RAWDATA Cars Buyers DB'!I:I)</f>
        <v>2–4 Kilometre</v>
      </c>
      <c r="J388" s="8" t="str">
        <f>_xlfn.XLOOKUP($A388,'RAWDATA Cars Buyers DB'!$A:$A,'RAWDATA Cars Buyers DB'!J:J)</f>
        <v>Hamburg</v>
      </c>
      <c r="K388" s="8">
        <f>_xlfn.XLOOKUP($A388,'RAWDATA Cars Buyers DB'!$A:$A,'RAWDATA Cars Buyers DB'!K:K)</f>
        <v>20</v>
      </c>
      <c r="L388" s="10" t="str">
        <f>IF(_xlfn.XLOOKUP($A388,'RAWDATA Cars Buyers DB'!$A:$A,'RAWDATA Cars Buyers DB'!K:K)&gt;54,"Old ",IF(_xlfn.XLOOKUP($A388,'RAWDATA Cars Buyers DB'!$A:$A,'RAWDATA Cars Buyers DB'!K:K)&gt;=31,"Middle Age ",IF(_xlfn.XLOOKUP($A388,'RAWDATA Cars Buyers DB'!$A:$A,'RAWDATA Cars Buyers DB'!K:K)&lt;31,"Adolescent","Invalid")))</f>
        <v>Adolescent</v>
      </c>
      <c r="M388" s="8" t="str">
        <f>_xlfn.XLOOKUP($A388,'RAWDATA Cars Buyers DB'!$A:$A,'RAWDATA Cars Buyers DB'!L:L)</f>
        <v>Yes</v>
      </c>
    </row>
    <row r="389" spans="1:13">
      <c r="A389" s="6">
        <v>80313</v>
      </c>
      <c r="B389" s="10" t="str">
        <f>IF(_xlfn.XLOOKUP($A389,'RAWDATA Cars Buyers DB'!$A:$A,'RAWDATA Cars Buyers DB'!B:B)="S","Single","Married")</f>
        <v>Single</v>
      </c>
      <c r="C389" s="10" t="str">
        <f>IF(_xlfn.XLOOKUP($A389,'RAWDATA Cars Buyers DB'!$A:$A,'RAWDATA Cars Buyers DB'!C:C)="F","Female","Male")</f>
        <v>Male</v>
      </c>
      <c r="D389" s="7">
        <f>_xlfn.XLOOKUP($A389,'RAWDATA Cars Buyers DB'!$A:$A,'RAWDATA Cars Buyers DB'!D:D)</f>
        <v>76622</v>
      </c>
      <c r="E389" s="8">
        <f>_xlfn.XLOOKUP($A389,'RAWDATA Cars Buyers DB'!$A:$A,'RAWDATA Cars Buyers DB'!E:E)</f>
        <v>1</v>
      </c>
      <c r="F389" s="8" t="str">
        <f>_xlfn.XLOOKUP($A389,'RAWDATA Cars Buyers DB'!$A:$A,'RAWDATA Cars Buyers DB'!F:F)</f>
        <v>Bachelors</v>
      </c>
      <c r="G389" s="8" t="str">
        <f>_xlfn.XLOOKUP($A389,'RAWDATA Cars Buyers DB'!$A:$A,'RAWDATA Cars Buyers DB'!G:G)</f>
        <v>Skilled Manual</v>
      </c>
      <c r="H389" s="8" t="str">
        <f>_xlfn.XLOOKUP($A389,'RAWDATA Cars Buyers DB'!$A:$A,'RAWDATA Cars Buyers DB'!H:H)</f>
        <v>Yes</v>
      </c>
      <c r="I389" s="8" t="str">
        <f>_xlfn.XLOOKUP($A389,'RAWDATA Cars Buyers DB'!$A:$A,'RAWDATA Cars Buyers DB'!I:I)</f>
        <v>0–1 Kilometre</v>
      </c>
      <c r="J389" s="8" t="str">
        <f>_xlfn.XLOOKUP($A389,'RAWDATA Cars Buyers DB'!$A:$A,'RAWDATA Cars Buyers DB'!J:J)</f>
        <v>Bavaria</v>
      </c>
      <c r="K389" s="8">
        <f>_xlfn.XLOOKUP($A389,'RAWDATA Cars Buyers DB'!$A:$A,'RAWDATA Cars Buyers DB'!K:K)</f>
        <v>54</v>
      </c>
      <c r="L389" s="10" t="str">
        <f>IF(_xlfn.XLOOKUP($A389,'RAWDATA Cars Buyers DB'!$A:$A,'RAWDATA Cars Buyers DB'!K:K)&gt;54,"Old ",IF(_xlfn.XLOOKUP($A389,'RAWDATA Cars Buyers DB'!$A:$A,'RAWDATA Cars Buyers DB'!K:K)&gt;=31,"Middle Age ",IF(_xlfn.XLOOKUP($A389,'RAWDATA Cars Buyers DB'!$A:$A,'RAWDATA Cars Buyers DB'!K:K)&lt;31,"Adolescent","Invalid")))</f>
        <v xml:space="preserve">Middle Age </v>
      </c>
      <c r="M389" s="8" t="str">
        <f>_xlfn.XLOOKUP($A389,'RAWDATA Cars Buyers DB'!$A:$A,'RAWDATA Cars Buyers DB'!L:L)</f>
        <v>Yes</v>
      </c>
    </row>
    <row r="390" spans="1:13">
      <c r="A390" s="6">
        <v>63006</v>
      </c>
      <c r="B390" s="10" t="str">
        <f>IF(_xlfn.XLOOKUP($A390,'RAWDATA Cars Buyers DB'!$A:$A,'RAWDATA Cars Buyers DB'!B:B)="S","Single","Married")</f>
        <v>Single</v>
      </c>
      <c r="C390" s="10" t="str">
        <f>IF(_xlfn.XLOOKUP($A390,'RAWDATA Cars Buyers DB'!$A:$A,'RAWDATA Cars Buyers DB'!C:C)="F","Female","Male")</f>
        <v>Female</v>
      </c>
      <c r="D390" s="7">
        <f>_xlfn.XLOOKUP($A390,'RAWDATA Cars Buyers DB'!$A:$A,'RAWDATA Cars Buyers DB'!D:D)</f>
        <v>47810</v>
      </c>
      <c r="E390" s="8">
        <f>_xlfn.XLOOKUP($A390,'RAWDATA Cars Buyers DB'!$A:$A,'RAWDATA Cars Buyers DB'!E:E)</f>
        <v>1</v>
      </c>
      <c r="F390" s="8" t="str">
        <f>_xlfn.XLOOKUP($A390,'RAWDATA Cars Buyers DB'!$A:$A,'RAWDATA Cars Buyers DB'!F:F)</f>
        <v>High School</v>
      </c>
      <c r="G390" s="8" t="str">
        <f>_xlfn.XLOOKUP($A390,'RAWDATA Cars Buyers DB'!$A:$A,'RAWDATA Cars Buyers DB'!G:G)</f>
        <v>Management</v>
      </c>
      <c r="H390" s="8" t="str">
        <f>_xlfn.XLOOKUP($A390,'RAWDATA Cars Buyers DB'!$A:$A,'RAWDATA Cars Buyers DB'!H:H)</f>
        <v>No</v>
      </c>
      <c r="I390" s="8" t="str">
        <f>_xlfn.XLOOKUP($A390,'RAWDATA Cars Buyers DB'!$A:$A,'RAWDATA Cars Buyers DB'!I:I)</f>
        <v>1–2 Kilometre</v>
      </c>
      <c r="J390" s="8" t="str">
        <f>_xlfn.XLOOKUP($A390,'RAWDATA Cars Buyers DB'!$A:$A,'RAWDATA Cars Buyers DB'!J:J)</f>
        <v>North Rhine-Westphalia</v>
      </c>
      <c r="K390" s="8">
        <f>_xlfn.XLOOKUP($A390,'RAWDATA Cars Buyers DB'!$A:$A,'RAWDATA Cars Buyers DB'!K:K)</f>
        <v>50</v>
      </c>
      <c r="L390" s="10" t="str">
        <f>IF(_xlfn.XLOOKUP($A390,'RAWDATA Cars Buyers DB'!$A:$A,'RAWDATA Cars Buyers DB'!K:K)&gt;54,"Old ",IF(_xlfn.XLOOKUP($A390,'RAWDATA Cars Buyers DB'!$A:$A,'RAWDATA Cars Buyers DB'!K:K)&gt;=31,"Middle Age ",IF(_xlfn.XLOOKUP($A390,'RAWDATA Cars Buyers DB'!$A:$A,'RAWDATA Cars Buyers DB'!K:K)&lt;31,"Adolescent","Invalid")))</f>
        <v xml:space="preserve">Middle Age </v>
      </c>
      <c r="M390" s="8" t="str">
        <f>_xlfn.XLOOKUP($A390,'RAWDATA Cars Buyers DB'!$A:$A,'RAWDATA Cars Buyers DB'!L:L)</f>
        <v>Yes</v>
      </c>
    </row>
    <row r="391" spans="1:13">
      <c r="A391" s="6">
        <v>25338</v>
      </c>
      <c r="B391" s="10" t="str">
        <f>IF(_xlfn.XLOOKUP($A391,'RAWDATA Cars Buyers DB'!$A:$A,'RAWDATA Cars Buyers DB'!B:B)="S","Single","Married")</f>
        <v>Married</v>
      </c>
      <c r="C391" s="10" t="str">
        <f>IF(_xlfn.XLOOKUP($A391,'RAWDATA Cars Buyers DB'!$A:$A,'RAWDATA Cars Buyers DB'!C:C)="F","Female","Male")</f>
        <v>Male</v>
      </c>
      <c r="D391" s="7">
        <f>_xlfn.XLOOKUP($A391,'RAWDATA Cars Buyers DB'!$A:$A,'RAWDATA Cars Buyers DB'!D:D)</f>
        <v>97842</v>
      </c>
      <c r="E391" s="8">
        <f>_xlfn.XLOOKUP($A391,'RAWDATA Cars Buyers DB'!$A:$A,'RAWDATA Cars Buyers DB'!E:E)</f>
        <v>0</v>
      </c>
      <c r="F391" s="8" t="str">
        <f>_xlfn.XLOOKUP($A391,'RAWDATA Cars Buyers DB'!$A:$A,'RAWDATA Cars Buyers DB'!F:F)</f>
        <v>Graduate Degree</v>
      </c>
      <c r="G391" s="8" t="str">
        <f>_xlfn.XLOOKUP($A391,'RAWDATA Cars Buyers DB'!$A:$A,'RAWDATA Cars Buyers DB'!G:G)</f>
        <v>Professional</v>
      </c>
      <c r="H391" s="8" t="str">
        <f>_xlfn.XLOOKUP($A391,'RAWDATA Cars Buyers DB'!$A:$A,'RAWDATA Cars Buyers DB'!H:H)</f>
        <v>Yes</v>
      </c>
      <c r="I391" s="8" t="str">
        <f>_xlfn.XLOOKUP($A391,'RAWDATA Cars Buyers DB'!$A:$A,'RAWDATA Cars Buyers DB'!I:I)</f>
        <v>0–1 Kilometre</v>
      </c>
      <c r="J391" s="8" t="str">
        <f>_xlfn.XLOOKUP($A391,'RAWDATA Cars Buyers DB'!$A:$A,'RAWDATA Cars Buyers DB'!J:J)</f>
        <v>Baden-Württemberg</v>
      </c>
      <c r="K391" s="8">
        <f>_xlfn.XLOOKUP($A391,'RAWDATA Cars Buyers DB'!$A:$A,'RAWDATA Cars Buyers DB'!K:K)</f>
        <v>63</v>
      </c>
      <c r="L391" s="10" t="str">
        <f>IF(_xlfn.XLOOKUP($A391,'RAWDATA Cars Buyers DB'!$A:$A,'RAWDATA Cars Buyers DB'!K:K)&gt;54,"Old ",IF(_xlfn.XLOOKUP($A391,'RAWDATA Cars Buyers DB'!$A:$A,'RAWDATA Cars Buyers DB'!K:K)&gt;=31,"Middle Age ",IF(_xlfn.XLOOKUP($A391,'RAWDATA Cars Buyers DB'!$A:$A,'RAWDATA Cars Buyers DB'!K:K)&lt;31,"Adolescent","Invalid")))</f>
        <v xml:space="preserve">Old </v>
      </c>
      <c r="M391" s="8" t="str">
        <f>_xlfn.XLOOKUP($A391,'RAWDATA Cars Buyers DB'!$A:$A,'RAWDATA Cars Buyers DB'!L:L)</f>
        <v>Yes</v>
      </c>
    </row>
    <row r="392" spans="1:13">
      <c r="A392" s="6">
        <v>78027</v>
      </c>
      <c r="B392" s="10" t="str">
        <f>IF(_xlfn.XLOOKUP($A392,'RAWDATA Cars Buyers DB'!$A:$A,'RAWDATA Cars Buyers DB'!B:B)="S","Single","Married")</f>
        <v>Single</v>
      </c>
      <c r="C392" s="10" t="str">
        <f>IF(_xlfn.XLOOKUP($A392,'RAWDATA Cars Buyers DB'!$A:$A,'RAWDATA Cars Buyers DB'!C:C)="F","Female","Male")</f>
        <v>Female</v>
      </c>
      <c r="D392" s="7">
        <f>_xlfn.XLOOKUP($A392,'RAWDATA Cars Buyers DB'!$A:$A,'RAWDATA Cars Buyers DB'!D:D)</f>
        <v>30503</v>
      </c>
      <c r="E392" s="8">
        <f>_xlfn.XLOOKUP($A392,'RAWDATA Cars Buyers DB'!$A:$A,'RAWDATA Cars Buyers DB'!E:E)</f>
        <v>0</v>
      </c>
      <c r="F392" s="8" t="str">
        <f>_xlfn.XLOOKUP($A392,'RAWDATA Cars Buyers DB'!$A:$A,'RAWDATA Cars Buyers DB'!F:F)</f>
        <v>Bachelors</v>
      </c>
      <c r="G392" s="8" t="str">
        <f>_xlfn.XLOOKUP($A392,'RAWDATA Cars Buyers DB'!$A:$A,'RAWDATA Cars Buyers DB'!G:G)</f>
        <v>Skilled Manual</v>
      </c>
      <c r="H392" s="8" t="str">
        <f>_xlfn.XLOOKUP($A392,'RAWDATA Cars Buyers DB'!$A:$A,'RAWDATA Cars Buyers DB'!H:H)</f>
        <v>Yes</v>
      </c>
      <c r="I392" s="8" t="str">
        <f>_xlfn.XLOOKUP($A392,'RAWDATA Cars Buyers DB'!$A:$A,'RAWDATA Cars Buyers DB'!I:I)</f>
        <v>2–4 Kilometre</v>
      </c>
      <c r="J392" s="8" t="str">
        <f>_xlfn.XLOOKUP($A392,'RAWDATA Cars Buyers DB'!$A:$A,'RAWDATA Cars Buyers DB'!J:J)</f>
        <v>Bavaria</v>
      </c>
      <c r="K392" s="8">
        <f>_xlfn.XLOOKUP($A392,'RAWDATA Cars Buyers DB'!$A:$A,'RAWDATA Cars Buyers DB'!K:K)</f>
        <v>20</v>
      </c>
      <c r="L392" s="10" t="str">
        <f>IF(_xlfn.XLOOKUP($A392,'RAWDATA Cars Buyers DB'!$A:$A,'RAWDATA Cars Buyers DB'!K:K)&gt;54,"Old ",IF(_xlfn.XLOOKUP($A392,'RAWDATA Cars Buyers DB'!$A:$A,'RAWDATA Cars Buyers DB'!K:K)&gt;=31,"Middle Age ",IF(_xlfn.XLOOKUP($A392,'RAWDATA Cars Buyers DB'!$A:$A,'RAWDATA Cars Buyers DB'!K:K)&lt;31,"Adolescent","Invalid")))</f>
        <v>Adolescent</v>
      </c>
      <c r="M392" s="8" t="str">
        <f>_xlfn.XLOOKUP($A392,'RAWDATA Cars Buyers DB'!$A:$A,'RAWDATA Cars Buyers DB'!L:L)</f>
        <v>No</v>
      </c>
    </row>
    <row r="393" spans="1:13">
      <c r="A393" s="6">
        <v>90135</v>
      </c>
      <c r="B393" s="10" t="str">
        <f>IF(_xlfn.XLOOKUP($A393,'RAWDATA Cars Buyers DB'!$A:$A,'RAWDATA Cars Buyers DB'!B:B)="S","Single","Married")</f>
        <v>Married</v>
      </c>
      <c r="C393" s="10" t="str">
        <f>IF(_xlfn.XLOOKUP($A393,'RAWDATA Cars Buyers DB'!$A:$A,'RAWDATA Cars Buyers DB'!C:C)="F","Female","Male")</f>
        <v>Female</v>
      </c>
      <c r="D393" s="7">
        <f>_xlfn.XLOOKUP($A393,'RAWDATA Cars Buyers DB'!$A:$A,'RAWDATA Cars Buyers DB'!D:D)</f>
        <v>104761</v>
      </c>
      <c r="E393" s="8">
        <f>_xlfn.XLOOKUP($A393,'RAWDATA Cars Buyers DB'!$A:$A,'RAWDATA Cars Buyers DB'!E:E)</f>
        <v>4</v>
      </c>
      <c r="F393" s="8" t="str">
        <f>_xlfn.XLOOKUP($A393,'RAWDATA Cars Buyers DB'!$A:$A,'RAWDATA Cars Buyers DB'!F:F)</f>
        <v>Graduate Degree</v>
      </c>
      <c r="G393" s="8" t="str">
        <f>_xlfn.XLOOKUP($A393,'RAWDATA Cars Buyers DB'!$A:$A,'RAWDATA Cars Buyers DB'!G:G)</f>
        <v>Skilled Manual</v>
      </c>
      <c r="H393" s="8" t="str">
        <f>_xlfn.XLOOKUP($A393,'RAWDATA Cars Buyers DB'!$A:$A,'RAWDATA Cars Buyers DB'!H:H)</f>
        <v>Yes</v>
      </c>
      <c r="I393" s="8" t="str">
        <f>_xlfn.XLOOKUP($A393,'RAWDATA Cars Buyers DB'!$A:$A,'RAWDATA Cars Buyers DB'!I:I)</f>
        <v>2–4 Kilometre</v>
      </c>
      <c r="J393" s="8" t="str">
        <f>_xlfn.XLOOKUP($A393,'RAWDATA Cars Buyers DB'!$A:$A,'RAWDATA Cars Buyers DB'!J:J)</f>
        <v>Thuringia</v>
      </c>
      <c r="K393" s="8">
        <f>_xlfn.XLOOKUP($A393,'RAWDATA Cars Buyers DB'!$A:$A,'RAWDATA Cars Buyers DB'!K:K)</f>
        <v>22</v>
      </c>
      <c r="L393" s="10" t="str">
        <f>IF(_xlfn.XLOOKUP($A393,'RAWDATA Cars Buyers DB'!$A:$A,'RAWDATA Cars Buyers DB'!K:K)&gt;54,"Old ",IF(_xlfn.XLOOKUP($A393,'RAWDATA Cars Buyers DB'!$A:$A,'RAWDATA Cars Buyers DB'!K:K)&gt;=31,"Middle Age ",IF(_xlfn.XLOOKUP($A393,'RAWDATA Cars Buyers DB'!$A:$A,'RAWDATA Cars Buyers DB'!K:K)&lt;31,"Adolescent","Invalid")))</f>
        <v>Adolescent</v>
      </c>
      <c r="M393" s="8" t="str">
        <f>_xlfn.XLOOKUP($A393,'RAWDATA Cars Buyers DB'!$A:$A,'RAWDATA Cars Buyers DB'!L:L)</f>
        <v>No</v>
      </c>
    </row>
    <row r="394" spans="1:13">
      <c r="A394" s="6">
        <v>29508</v>
      </c>
      <c r="B394" s="10" t="str">
        <f>IF(_xlfn.XLOOKUP($A394,'RAWDATA Cars Buyers DB'!$A:$A,'RAWDATA Cars Buyers DB'!B:B)="S","Single","Married")</f>
        <v>Single</v>
      </c>
      <c r="C394" s="10" t="str">
        <f>IF(_xlfn.XLOOKUP($A394,'RAWDATA Cars Buyers DB'!$A:$A,'RAWDATA Cars Buyers DB'!C:C)="F","Female","Male")</f>
        <v>Male</v>
      </c>
      <c r="D394" s="7">
        <f>_xlfn.XLOOKUP($A394,'RAWDATA Cars Buyers DB'!$A:$A,'RAWDATA Cars Buyers DB'!D:D)</f>
        <v>56976</v>
      </c>
      <c r="E394" s="8">
        <f>_xlfn.XLOOKUP($A394,'RAWDATA Cars Buyers DB'!$A:$A,'RAWDATA Cars Buyers DB'!E:E)</f>
        <v>4</v>
      </c>
      <c r="F394" s="8" t="str">
        <f>_xlfn.XLOOKUP($A394,'RAWDATA Cars Buyers DB'!$A:$A,'RAWDATA Cars Buyers DB'!F:F)</f>
        <v>Partial College</v>
      </c>
      <c r="G394" s="8" t="str">
        <f>_xlfn.XLOOKUP($A394,'RAWDATA Cars Buyers DB'!$A:$A,'RAWDATA Cars Buyers DB'!G:G)</f>
        <v>Clerical</v>
      </c>
      <c r="H394" s="8" t="str">
        <f>_xlfn.XLOOKUP($A394,'RAWDATA Cars Buyers DB'!$A:$A,'RAWDATA Cars Buyers DB'!H:H)</f>
        <v>Yes</v>
      </c>
      <c r="I394" s="8" t="str">
        <f>_xlfn.XLOOKUP($A394,'RAWDATA Cars Buyers DB'!$A:$A,'RAWDATA Cars Buyers DB'!I:I)</f>
        <v>1–2 Kilometre</v>
      </c>
      <c r="J394" s="8" t="str">
        <f>_xlfn.XLOOKUP($A394,'RAWDATA Cars Buyers DB'!$A:$A,'RAWDATA Cars Buyers DB'!J:J)</f>
        <v>Hamburg</v>
      </c>
      <c r="K394" s="8">
        <f>_xlfn.XLOOKUP($A394,'RAWDATA Cars Buyers DB'!$A:$A,'RAWDATA Cars Buyers DB'!K:K)</f>
        <v>22</v>
      </c>
      <c r="L394" s="10" t="str">
        <f>IF(_xlfn.XLOOKUP($A394,'RAWDATA Cars Buyers DB'!$A:$A,'RAWDATA Cars Buyers DB'!K:K)&gt;54,"Old ",IF(_xlfn.XLOOKUP($A394,'RAWDATA Cars Buyers DB'!$A:$A,'RAWDATA Cars Buyers DB'!K:K)&gt;=31,"Middle Age ",IF(_xlfn.XLOOKUP($A394,'RAWDATA Cars Buyers DB'!$A:$A,'RAWDATA Cars Buyers DB'!K:K)&lt;31,"Adolescent","Invalid")))</f>
        <v>Adolescent</v>
      </c>
      <c r="M394" s="8" t="str">
        <f>_xlfn.XLOOKUP($A394,'RAWDATA Cars Buyers DB'!$A:$A,'RAWDATA Cars Buyers DB'!L:L)</f>
        <v>No</v>
      </c>
    </row>
    <row r="395" spans="1:13">
      <c r="A395" s="6">
        <v>13051</v>
      </c>
      <c r="B395" s="10" t="str">
        <f>IF(_xlfn.XLOOKUP($A395,'RAWDATA Cars Buyers DB'!$A:$A,'RAWDATA Cars Buyers DB'!B:B)="S","Single","Married")</f>
        <v>Single</v>
      </c>
      <c r="C395" s="10" t="str">
        <f>IF(_xlfn.XLOOKUP($A395,'RAWDATA Cars Buyers DB'!$A:$A,'RAWDATA Cars Buyers DB'!C:C)="F","Female","Male")</f>
        <v>Male</v>
      </c>
      <c r="D395" s="7">
        <f>_xlfn.XLOOKUP($A395,'RAWDATA Cars Buyers DB'!$A:$A,'RAWDATA Cars Buyers DB'!D:D)</f>
        <v>31590</v>
      </c>
      <c r="E395" s="8">
        <f>_xlfn.XLOOKUP($A395,'RAWDATA Cars Buyers DB'!$A:$A,'RAWDATA Cars Buyers DB'!E:E)</f>
        <v>0</v>
      </c>
      <c r="F395" s="8" t="str">
        <f>_xlfn.XLOOKUP($A395,'RAWDATA Cars Buyers DB'!$A:$A,'RAWDATA Cars Buyers DB'!F:F)</f>
        <v>High School</v>
      </c>
      <c r="G395" s="8" t="str">
        <f>_xlfn.XLOOKUP($A395,'RAWDATA Cars Buyers DB'!$A:$A,'RAWDATA Cars Buyers DB'!G:G)</f>
        <v>Professional</v>
      </c>
      <c r="H395" s="8" t="str">
        <f>_xlfn.XLOOKUP($A395,'RAWDATA Cars Buyers DB'!$A:$A,'RAWDATA Cars Buyers DB'!H:H)</f>
        <v>Yes</v>
      </c>
      <c r="I395" s="8" t="str">
        <f>_xlfn.XLOOKUP($A395,'RAWDATA Cars Buyers DB'!$A:$A,'RAWDATA Cars Buyers DB'!I:I)</f>
        <v>6+ Kilometre</v>
      </c>
      <c r="J395" s="8" t="str">
        <f>_xlfn.XLOOKUP($A395,'RAWDATA Cars Buyers DB'!$A:$A,'RAWDATA Cars Buyers DB'!J:J)</f>
        <v>Hesse</v>
      </c>
      <c r="K395" s="8">
        <f>_xlfn.XLOOKUP($A395,'RAWDATA Cars Buyers DB'!$A:$A,'RAWDATA Cars Buyers DB'!K:K)</f>
        <v>56</v>
      </c>
      <c r="L395" s="10" t="str">
        <f>IF(_xlfn.XLOOKUP($A395,'RAWDATA Cars Buyers DB'!$A:$A,'RAWDATA Cars Buyers DB'!K:K)&gt;54,"Old ",IF(_xlfn.XLOOKUP($A395,'RAWDATA Cars Buyers DB'!$A:$A,'RAWDATA Cars Buyers DB'!K:K)&gt;=31,"Middle Age ",IF(_xlfn.XLOOKUP($A395,'RAWDATA Cars Buyers DB'!$A:$A,'RAWDATA Cars Buyers DB'!K:K)&lt;31,"Adolescent","Invalid")))</f>
        <v xml:space="preserve">Old </v>
      </c>
      <c r="M395" s="8" t="str">
        <f>_xlfn.XLOOKUP($A395,'RAWDATA Cars Buyers DB'!$A:$A,'RAWDATA Cars Buyers DB'!L:L)</f>
        <v>Yes</v>
      </c>
    </row>
    <row r="396" spans="1:13">
      <c r="A396" s="6">
        <v>58747</v>
      </c>
      <c r="B396" s="10" t="str">
        <f>IF(_xlfn.XLOOKUP($A396,'RAWDATA Cars Buyers DB'!$A:$A,'RAWDATA Cars Buyers DB'!B:B)="S","Single","Married")</f>
        <v>Single</v>
      </c>
      <c r="C396" s="10" t="str">
        <f>IF(_xlfn.XLOOKUP($A396,'RAWDATA Cars Buyers DB'!$A:$A,'RAWDATA Cars Buyers DB'!C:C)="F","Female","Male")</f>
        <v>Male</v>
      </c>
      <c r="D396" s="7">
        <f>_xlfn.XLOOKUP($A396,'RAWDATA Cars Buyers DB'!$A:$A,'RAWDATA Cars Buyers DB'!D:D)</f>
        <v>30886</v>
      </c>
      <c r="E396" s="8">
        <f>_xlfn.XLOOKUP($A396,'RAWDATA Cars Buyers DB'!$A:$A,'RAWDATA Cars Buyers DB'!E:E)</f>
        <v>5</v>
      </c>
      <c r="F396" s="8" t="str">
        <f>_xlfn.XLOOKUP($A396,'RAWDATA Cars Buyers DB'!$A:$A,'RAWDATA Cars Buyers DB'!F:F)</f>
        <v>Partial College</v>
      </c>
      <c r="G396" s="8" t="str">
        <f>_xlfn.XLOOKUP($A396,'RAWDATA Cars Buyers DB'!$A:$A,'RAWDATA Cars Buyers DB'!G:G)</f>
        <v>Clerical</v>
      </c>
      <c r="H396" s="8" t="str">
        <f>_xlfn.XLOOKUP($A396,'RAWDATA Cars Buyers DB'!$A:$A,'RAWDATA Cars Buyers DB'!H:H)</f>
        <v>No</v>
      </c>
      <c r="I396" s="8" t="str">
        <f>_xlfn.XLOOKUP($A396,'RAWDATA Cars Buyers DB'!$A:$A,'RAWDATA Cars Buyers DB'!I:I)</f>
        <v>6+ Kilometre</v>
      </c>
      <c r="J396" s="8" t="str">
        <f>_xlfn.XLOOKUP($A396,'RAWDATA Cars Buyers DB'!$A:$A,'RAWDATA Cars Buyers DB'!J:J)</f>
        <v>Hesse</v>
      </c>
      <c r="K396" s="8">
        <f>_xlfn.XLOOKUP($A396,'RAWDATA Cars Buyers DB'!$A:$A,'RAWDATA Cars Buyers DB'!K:K)</f>
        <v>38</v>
      </c>
      <c r="L396" s="10" t="str">
        <f>IF(_xlfn.XLOOKUP($A396,'RAWDATA Cars Buyers DB'!$A:$A,'RAWDATA Cars Buyers DB'!K:K)&gt;54,"Old ",IF(_xlfn.XLOOKUP($A396,'RAWDATA Cars Buyers DB'!$A:$A,'RAWDATA Cars Buyers DB'!K:K)&gt;=31,"Middle Age ",IF(_xlfn.XLOOKUP($A396,'RAWDATA Cars Buyers DB'!$A:$A,'RAWDATA Cars Buyers DB'!K:K)&lt;31,"Adolescent","Invalid")))</f>
        <v xml:space="preserve">Middle Age </v>
      </c>
      <c r="M396" s="8" t="str">
        <f>_xlfn.XLOOKUP($A396,'RAWDATA Cars Buyers DB'!$A:$A,'RAWDATA Cars Buyers DB'!L:L)</f>
        <v>Yes</v>
      </c>
    </row>
    <row r="397" spans="1:13">
      <c r="A397" s="6">
        <v>97142</v>
      </c>
      <c r="B397" s="10" t="str">
        <f>IF(_xlfn.XLOOKUP($A397,'RAWDATA Cars Buyers DB'!$A:$A,'RAWDATA Cars Buyers DB'!B:B)="S","Single","Married")</f>
        <v>Married</v>
      </c>
      <c r="C397" s="10" t="str">
        <f>IF(_xlfn.XLOOKUP($A397,'RAWDATA Cars Buyers DB'!$A:$A,'RAWDATA Cars Buyers DB'!C:C)="F","Female","Male")</f>
        <v>Male</v>
      </c>
      <c r="D397" s="7">
        <f>_xlfn.XLOOKUP($A397,'RAWDATA Cars Buyers DB'!$A:$A,'RAWDATA Cars Buyers DB'!D:D)</f>
        <v>32866</v>
      </c>
      <c r="E397" s="8">
        <f>_xlfn.XLOOKUP($A397,'RAWDATA Cars Buyers DB'!$A:$A,'RAWDATA Cars Buyers DB'!E:E)</f>
        <v>2</v>
      </c>
      <c r="F397" s="8" t="str">
        <f>_xlfn.XLOOKUP($A397,'RAWDATA Cars Buyers DB'!$A:$A,'RAWDATA Cars Buyers DB'!F:F)</f>
        <v>Partial College</v>
      </c>
      <c r="G397" s="8" t="str">
        <f>_xlfn.XLOOKUP($A397,'RAWDATA Cars Buyers DB'!$A:$A,'RAWDATA Cars Buyers DB'!G:G)</f>
        <v>Clerical</v>
      </c>
      <c r="H397" s="8" t="str">
        <f>_xlfn.XLOOKUP($A397,'RAWDATA Cars Buyers DB'!$A:$A,'RAWDATA Cars Buyers DB'!H:H)</f>
        <v>No</v>
      </c>
      <c r="I397" s="8" t="str">
        <f>_xlfn.XLOOKUP($A397,'RAWDATA Cars Buyers DB'!$A:$A,'RAWDATA Cars Buyers DB'!I:I)</f>
        <v>1–2 Kilometre</v>
      </c>
      <c r="J397" s="8" t="str">
        <f>_xlfn.XLOOKUP($A397,'RAWDATA Cars Buyers DB'!$A:$A,'RAWDATA Cars Buyers DB'!J:J)</f>
        <v>Brandenburg</v>
      </c>
      <c r="K397" s="8">
        <f>_xlfn.XLOOKUP($A397,'RAWDATA Cars Buyers DB'!$A:$A,'RAWDATA Cars Buyers DB'!K:K)</f>
        <v>48</v>
      </c>
      <c r="L397" s="10" t="str">
        <f>IF(_xlfn.XLOOKUP($A397,'RAWDATA Cars Buyers DB'!$A:$A,'RAWDATA Cars Buyers DB'!K:K)&gt;54,"Old ",IF(_xlfn.XLOOKUP($A397,'RAWDATA Cars Buyers DB'!$A:$A,'RAWDATA Cars Buyers DB'!K:K)&gt;=31,"Middle Age ",IF(_xlfn.XLOOKUP($A397,'RAWDATA Cars Buyers DB'!$A:$A,'RAWDATA Cars Buyers DB'!K:K)&lt;31,"Adolescent","Invalid")))</f>
        <v xml:space="preserve">Middle Age </v>
      </c>
      <c r="M397" s="8" t="str">
        <f>_xlfn.XLOOKUP($A397,'RAWDATA Cars Buyers DB'!$A:$A,'RAWDATA Cars Buyers DB'!L:L)</f>
        <v>Yes</v>
      </c>
    </row>
    <row r="398" spans="1:13">
      <c r="A398" s="6">
        <v>97235</v>
      </c>
      <c r="B398" s="10" t="str">
        <f>IF(_xlfn.XLOOKUP($A398,'RAWDATA Cars Buyers DB'!$A:$A,'RAWDATA Cars Buyers DB'!B:B)="S","Single","Married")</f>
        <v>Single</v>
      </c>
      <c r="C398" s="10" t="str">
        <f>IF(_xlfn.XLOOKUP($A398,'RAWDATA Cars Buyers DB'!$A:$A,'RAWDATA Cars Buyers DB'!C:C)="F","Female","Male")</f>
        <v>Female</v>
      </c>
      <c r="D398" s="7">
        <f>_xlfn.XLOOKUP($A398,'RAWDATA Cars Buyers DB'!$A:$A,'RAWDATA Cars Buyers DB'!D:D)</f>
        <v>86624</v>
      </c>
      <c r="E398" s="8">
        <f>_xlfn.XLOOKUP($A398,'RAWDATA Cars Buyers DB'!$A:$A,'RAWDATA Cars Buyers DB'!E:E)</f>
        <v>4</v>
      </c>
      <c r="F398" s="8" t="str">
        <f>_xlfn.XLOOKUP($A398,'RAWDATA Cars Buyers DB'!$A:$A,'RAWDATA Cars Buyers DB'!F:F)</f>
        <v>High School</v>
      </c>
      <c r="G398" s="8" t="str">
        <f>_xlfn.XLOOKUP($A398,'RAWDATA Cars Buyers DB'!$A:$A,'RAWDATA Cars Buyers DB'!G:G)</f>
        <v>Professional</v>
      </c>
      <c r="H398" s="8" t="str">
        <f>_xlfn.XLOOKUP($A398,'RAWDATA Cars Buyers DB'!$A:$A,'RAWDATA Cars Buyers DB'!H:H)</f>
        <v>No</v>
      </c>
      <c r="I398" s="8" t="str">
        <f>_xlfn.XLOOKUP($A398,'RAWDATA Cars Buyers DB'!$A:$A,'RAWDATA Cars Buyers DB'!I:I)</f>
        <v>6+ Kilometre</v>
      </c>
      <c r="J398" s="8" t="str">
        <f>_xlfn.XLOOKUP($A398,'RAWDATA Cars Buyers DB'!$A:$A,'RAWDATA Cars Buyers DB'!J:J)</f>
        <v>Mecklenburg-Vorpommern</v>
      </c>
      <c r="K398" s="8">
        <f>_xlfn.XLOOKUP($A398,'RAWDATA Cars Buyers DB'!$A:$A,'RAWDATA Cars Buyers DB'!K:K)</f>
        <v>44</v>
      </c>
      <c r="L398" s="10" t="str">
        <f>IF(_xlfn.XLOOKUP($A398,'RAWDATA Cars Buyers DB'!$A:$A,'RAWDATA Cars Buyers DB'!K:K)&gt;54,"Old ",IF(_xlfn.XLOOKUP($A398,'RAWDATA Cars Buyers DB'!$A:$A,'RAWDATA Cars Buyers DB'!K:K)&gt;=31,"Middle Age ",IF(_xlfn.XLOOKUP($A398,'RAWDATA Cars Buyers DB'!$A:$A,'RAWDATA Cars Buyers DB'!K:K)&lt;31,"Adolescent","Invalid")))</f>
        <v xml:space="preserve">Middle Age </v>
      </c>
      <c r="M398" s="8" t="str">
        <f>_xlfn.XLOOKUP($A398,'RAWDATA Cars Buyers DB'!$A:$A,'RAWDATA Cars Buyers DB'!L:L)</f>
        <v>No</v>
      </c>
    </row>
    <row r="399" spans="1:13">
      <c r="A399" s="6">
        <v>64021</v>
      </c>
      <c r="B399" s="10" t="str">
        <f>IF(_xlfn.XLOOKUP($A399,'RAWDATA Cars Buyers DB'!$A:$A,'RAWDATA Cars Buyers DB'!B:B)="S","Single","Married")</f>
        <v>Single</v>
      </c>
      <c r="C399" s="10" t="str">
        <f>IF(_xlfn.XLOOKUP($A399,'RAWDATA Cars Buyers DB'!$A:$A,'RAWDATA Cars Buyers DB'!C:C)="F","Female","Male")</f>
        <v>Female</v>
      </c>
      <c r="D399" s="7">
        <f>_xlfn.XLOOKUP($A399,'RAWDATA Cars Buyers DB'!$A:$A,'RAWDATA Cars Buyers DB'!D:D)</f>
        <v>88899</v>
      </c>
      <c r="E399" s="8">
        <f>_xlfn.XLOOKUP($A399,'RAWDATA Cars Buyers DB'!$A:$A,'RAWDATA Cars Buyers DB'!E:E)</f>
        <v>2</v>
      </c>
      <c r="F399" s="8" t="str">
        <f>_xlfn.XLOOKUP($A399,'RAWDATA Cars Buyers DB'!$A:$A,'RAWDATA Cars Buyers DB'!F:F)</f>
        <v>Bachelors</v>
      </c>
      <c r="G399" s="8" t="str">
        <f>_xlfn.XLOOKUP($A399,'RAWDATA Cars Buyers DB'!$A:$A,'RAWDATA Cars Buyers DB'!G:G)</f>
        <v>Professional</v>
      </c>
      <c r="H399" s="8" t="str">
        <f>_xlfn.XLOOKUP($A399,'RAWDATA Cars Buyers DB'!$A:$A,'RAWDATA Cars Buyers DB'!H:H)</f>
        <v>No</v>
      </c>
      <c r="I399" s="8" t="str">
        <f>_xlfn.XLOOKUP($A399,'RAWDATA Cars Buyers DB'!$A:$A,'RAWDATA Cars Buyers DB'!I:I)</f>
        <v>4–6 Kilometre</v>
      </c>
      <c r="J399" s="8" t="str">
        <f>_xlfn.XLOOKUP($A399,'RAWDATA Cars Buyers DB'!$A:$A,'RAWDATA Cars Buyers DB'!J:J)</f>
        <v>Brandenburg</v>
      </c>
      <c r="K399" s="8">
        <f>_xlfn.XLOOKUP($A399,'RAWDATA Cars Buyers DB'!$A:$A,'RAWDATA Cars Buyers DB'!K:K)</f>
        <v>52</v>
      </c>
      <c r="L399" s="10" t="str">
        <f>IF(_xlfn.XLOOKUP($A399,'RAWDATA Cars Buyers DB'!$A:$A,'RAWDATA Cars Buyers DB'!K:K)&gt;54,"Old ",IF(_xlfn.XLOOKUP($A399,'RAWDATA Cars Buyers DB'!$A:$A,'RAWDATA Cars Buyers DB'!K:K)&gt;=31,"Middle Age ",IF(_xlfn.XLOOKUP($A399,'RAWDATA Cars Buyers DB'!$A:$A,'RAWDATA Cars Buyers DB'!K:K)&lt;31,"Adolescent","Invalid")))</f>
        <v xml:space="preserve">Middle Age </v>
      </c>
      <c r="M399" s="8" t="str">
        <f>_xlfn.XLOOKUP($A399,'RAWDATA Cars Buyers DB'!$A:$A,'RAWDATA Cars Buyers DB'!L:L)</f>
        <v>Yes</v>
      </c>
    </row>
    <row r="400" spans="1:13">
      <c r="A400" s="6">
        <v>76412</v>
      </c>
      <c r="B400" s="10" t="str">
        <f>IF(_xlfn.XLOOKUP($A400,'RAWDATA Cars Buyers DB'!$A:$A,'RAWDATA Cars Buyers DB'!B:B)="S","Single","Married")</f>
        <v>Married</v>
      </c>
      <c r="C400" s="10" t="str">
        <f>IF(_xlfn.XLOOKUP($A400,'RAWDATA Cars Buyers DB'!$A:$A,'RAWDATA Cars Buyers DB'!C:C)="F","Female","Male")</f>
        <v>Female</v>
      </c>
      <c r="D400" s="7">
        <f>_xlfn.XLOOKUP($A400,'RAWDATA Cars Buyers DB'!$A:$A,'RAWDATA Cars Buyers DB'!D:D)</f>
        <v>52792</v>
      </c>
      <c r="E400" s="8">
        <f>_xlfn.XLOOKUP($A400,'RAWDATA Cars Buyers DB'!$A:$A,'RAWDATA Cars Buyers DB'!E:E)</f>
        <v>5</v>
      </c>
      <c r="F400" s="8" t="str">
        <f>_xlfn.XLOOKUP($A400,'RAWDATA Cars Buyers DB'!$A:$A,'RAWDATA Cars Buyers DB'!F:F)</f>
        <v>High School</v>
      </c>
      <c r="G400" s="8" t="str">
        <f>_xlfn.XLOOKUP($A400,'RAWDATA Cars Buyers DB'!$A:$A,'RAWDATA Cars Buyers DB'!G:G)</f>
        <v>Management</v>
      </c>
      <c r="H400" s="8" t="str">
        <f>_xlfn.XLOOKUP($A400,'RAWDATA Cars Buyers DB'!$A:$A,'RAWDATA Cars Buyers DB'!H:H)</f>
        <v>Yes</v>
      </c>
      <c r="I400" s="8" t="str">
        <f>_xlfn.XLOOKUP($A400,'RAWDATA Cars Buyers DB'!$A:$A,'RAWDATA Cars Buyers DB'!I:I)</f>
        <v>6+ Kilometre</v>
      </c>
      <c r="J400" s="8" t="str">
        <f>_xlfn.XLOOKUP($A400,'RAWDATA Cars Buyers DB'!$A:$A,'RAWDATA Cars Buyers DB'!J:J)</f>
        <v>Brandenburg</v>
      </c>
      <c r="K400" s="8">
        <f>_xlfn.XLOOKUP($A400,'RAWDATA Cars Buyers DB'!$A:$A,'RAWDATA Cars Buyers DB'!K:K)</f>
        <v>55</v>
      </c>
      <c r="L400" s="10" t="str">
        <f>IF(_xlfn.XLOOKUP($A400,'RAWDATA Cars Buyers DB'!$A:$A,'RAWDATA Cars Buyers DB'!K:K)&gt;54,"Old ",IF(_xlfn.XLOOKUP($A400,'RAWDATA Cars Buyers DB'!$A:$A,'RAWDATA Cars Buyers DB'!K:K)&gt;=31,"Middle Age ",IF(_xlfn.XLOOKUP($A400,'RAWDATA Cars Buyers DB'!$A:$A,'RAWDATA Cars Buyers DB'!K:K)&lt;31,"Adolescent","Invalid")))</f>
        <v xml:space="preserve">Old </v>
      </c>
      <c r="M400" s="8" t="str">
        <f>_xlfn.XLOOKUP($A400,'RAWDATA Cars Buyers DB'!$A:$A,'RAWDATA Cars Buyers DB'!L:L)</f>
        <v>Yes</v>
      </c>
    </row>
    <row r="401" spans="1:13">
      <c r="A401" s="6">
        <v>68335</v>
      </c>
      <c r="B401" s="10" t="str">
        <f>IF(_xlfn.XLOOKUP($A401,'RAWDATA Cars Buyers DB'!$A:$A,'RAWDATA Cars Buyers DB'!B:B)="S","Single","Married")</f>
        <v>Single</v>
      </c>
      <c r="C401" s="10" t="str">
        <f>IF(_xlfn.XLOOKUP($A401,'RAWDATA Cars Buyers DB'!$A:$A,'RAWDATA Cars Buyers DB'!C:C)="F","Female","Male")</f>
        <v>Male</v>
      </c>
      <c r="D401" s="7">
        <f>_xlfn.XLOOKUP($A401,'RAWDATA Cars Buyers DB'!$A:$A,'RAWDATA Cars Buyers DB'!D:D)</f>
        <v>29764</v>
      </c>
      <c r="E401" s="8">
        <f>_xlfn.XLOOKUP($A401,'RAWDATA Cars Buyers DB'!$A:$A,'RAWDATA Cars Buyers DB'!E:E)</f>
        <v>0</v>
      </c>
      <c r="F401" s="8" t="str">
        <f>_xlfn.XLOOKUP($A401,'RAWDATA Cars Buyers DB'!$A:$A,'RAWDATA Cars Buyers DB'!F:F)</f>
        <v>Partial College</v>
      </c>
      <c r="G401" s="8" t="str">
        <f>_xlfn.XLOOKUP($A401,'RAWDATA Cars Buyers DB'!$A:$A,'RAWDATA Cars Buyers DB'!G:G)</f>
        <v>Professional</v>
      </c>
      <c r="H401" s="8" t="str">
        <f>_xlfn.XLOOKUP($A401,'RAWDATA Cars Buyers DB'!$A:$A,'RAWDATA Cars Buyers DB'!H:H)</f>
        <v>No</v>
      </c>
      <c r="I401" s="8" t="str">
        <f>_xlfn.XLOOKUP($A401,'RAWDATA Cars Buyers DB'!$A:$A,'RAWDATA Cars Buyers DB'!I:I)</f>
        <v>6+ Kilometre</v>
      </c>
      <c r="J401" s="8" t="str">
        <f>_xlfn.XLOOKUP($A401,'RAWDATA Cars Buyers DB'!$A:$A,'RAWDATA Cars Buyers DB'!J:J)</f>
        <v>Brandenburg</v>
      </c>
      <c r="K401" s="8">
        <f>_xlfn.XLOOKUP($A401,'RAWDATA Cars Buyers DB'!$A:$A,'RAWDATA Cars Buyers DB'!K:K)</f>
        <v>48</v>
      </c>
      <c r="L401" s="10" t="str">
        <f>IF(_xlfn.XLOOKUP($A401,'RAWDATA Cars Buyers DB'!$A:$A,'RAWDATA Cars Buyers DB'!K:K)&gt;54,"Old ",IF(_xlfn.XLOOKUP($A401,'RAWDATA Cars Buyers DB'!$A:$A,'RAWDATA Cars Buyers DB'!K:K)&gt;=31,"Middle Age ",IF(_xlfn.XLOOKUP($A401,'RAWDATA Cars Buyers DB'!$A:$A,'RAWDATA Cars Buyers DB'!K:K)&lt;31,"Adolescent","Invalid")))</f>
        <v xml:space="preserve">Middle Age </v>
      </c>
      <c r="M401" s="8" t="str">
        <f>_xlfn.XLOOKUP($A401,'RAWDATA Cars Buyers DB'!$A:$A,'RAWDATA Cars Buyers DB'!L:L)</f>
        <v>Yes</v>
      </c>
    </row>
    <row r="402" spans="1:13">
      <c r="A402" s="6">
        <v>66179</v>
      </c>
      <c r="B402" s="10" t="str">
        <f>IF(_xlfn.XLOOKUP($A402,'RAWDATA Cars Buyers DB'!$A:$A,'RAWDATA Cars Buyers DB'!B:B)="S","Single","Married")</f>
        <v>Married</v>
      </c>
      <c r="C402" s="10" t="str">
        <f>IF(_xlfn.XLOOKUP($A402,'RAWDATA Cars Buyers DB'!$A:$A,'RAWDATA Cars Buyers DB'!C:C)="F","Female","Male")</f>
        <v>Female</v>
      </c>
      <c r="D402" s="7">
        <f>_xlfn.XLOOKUP($A402,'RAWDATA Cars Buyers DB'!$A:$A,'RAWDATA Cars Buyers DB'!D:D)</f>
        <v>106156</v>
      </c>
      <c r="E402" s="8">
        <f>_xlfn.XLOOKUP($A402,'RAWDATA Cars Buyers DB'!$A:$A,'RAWDATA Cars Buyers DB'!E:E)</f>
        <v>5</v>
      </c>
      <c r="F402" s="8" t="str">
        <f>_xlfn.XLOOKUP($A402,'RAWDATA Cars Buyers DB'!$A:$A,'RAWDATA Cars Buyers DB'!F:F)</f>
        <v>Partial College</v>
      </c>
      <c r="G402" s="8" t="str">
        <f>_xlfn.XLOOKUP($A402,'RAWDATA Cars Buyers DB'!$A:$A,'RAWDATA Cars Buyers DB'!G:G)</f>
        <v>Skilled Manual</v>
      </c>
      <c r="H402" s="8" t="str">
        <f>_xlfn.XLOOKUP($A402,'RAWDATA Cars Buyers DB'!$A:$A,'RAWDATA Cars Buyers DB'!H:H)</f>
        <v>Yes</v>
      </c>
      <c r="I402" s="8" t="str">
        <f>_xlfn.XLOOKUP($A402,'RAWDATA Cars Buyers DB'!$A:$A,'RAWDATA Cars Buyers DB'!I:I)</f>
        <v>6+ Kilometre</v>
      </c>
      <c r="J402" s="8" t="str">
        <f>_xlfn.XLOOKUP($A402,'RAWDATA Cars Buyers DB'!$A:$A,'RAWDATA Cars Buyers DB'!J:J)</f>
        <v>North Rhine-Westphalia</v>
      </c>
      <c r="K402" s="8">
        <f>_xlfn.XLOOKUP($A402,'RAWDATA Cars Buyers DB'!$A:$A,'RAWDATA Cars Buyers DB'!K:K)</f>
        <v>45</v>
      </c>
      <c r="L402" s="10" t="str">
        <f>IF(_xlfn.XLOOKUP($A402,'RAWDATA Cars Buyers DB'!$A:$A,'RAWDATA Cars Buyers DB'!K:K)&gt;54,"Old ",IF(_xlfn.XLOOKUP($A402,'RAWDATA Cars Buyers DB'!$A:$A,'RAWDATA Cars Buyers DB'!K:K)&gt;=31,"Middle Age ",IF(_xlfn.XLOOKUP($A402,'RAWDATA Cars Buyers DB'!$A:$A,'RAWDATA Cars Buyers DB'!K:K)&lt;31,"Adolescent","Invalid")))</f>
        <v xml:space="preserve">Middle Age </v>
      </c>
      <c r="M402" s="8" t="str">
        <f>_xlfn.XLOOKUP($A402,'RAWDATA Cars Buyers DB'!$A:$A,'RAWDATA Cars Buyers DB'!L:L)</f>
        <v>Yes</v>
      </c>
    </row>
    <row r="403" spans="1:13">
      <c r="A403" s="6">
        <v>42093</v>
      </c>
      <c r="B403" s="10" t="str">
        <f>IF(_xlfn.XLOOKUP($A403,'RAWDATA Cars Buyers DB'!$A:$A,'RAWDATA Cars Buyers DB'!B:B)="S","Single","Married")</f>
        <v>Married</v>
      </c>
      <c r="C403" s="10" t="str">
        <f>IF(_xlfn.XLOOKUP($A403,'RAWDATA Cars Buyers DB'!$A:$A,'RAWDATA Cars Buyers DB'!C:C)="F","Female","Male")</f>
        <v>Male</v>
      </c>
      <c r="D403" s="7">
        <f>_xlfn.XLOOKUP($A403,'RAWDATA Cars Buyers DB'!$A:$A,'RAWDATA Cars Buyers DB'!D:D)</f>
        <v>62727</v>
      </c>
      <c r="E403" s="8">
        <f>_xlfn.XLOOKUP($A403,'RAWDATA Cars Buyers DB'!$A:$A,'RAWDATA Cars Buyers DB'!E:E)</f>
        <v>4</v>
      </c>
      <c r="F403" s="8" t="str">
        <f>_xlfn.XLOOKUP($A403,'RAWDATA Cars Buyers DB'!$A:$A,'RAWDATA Cars Buyers DB'!F:F)</f>
        <v>Bachelors</v>
      </c>
      <c r="G403" s="8" t="str">
        <f>_xlfn.XLOOKUP($A403,'RAWDATA Cars Buyers DB'!$A:$A,'RAWDATA Cars Buyers DB'!G:G)</f>
        <v>Professional</v>
      </c>
      <c r="H403" s="8" t="str">
        <f>_xlfn.XLOOKUP($A403,'RAWDATA Cars Buyers DB'!$A:$A,'RAWDATA Cars Buyers DB'!H:H)</f>
        <v>No</v>
      </c>
      <c r="I403" s="8" t="str">
        <f>_xlfn.XLOOKUP($A403,'RAWDATA Cars Buyers DB'!$A:$A,'RAWDATA Cars Buyers DB'!I:I)</f>
        <v>4–6 Kilometre</v>
      </c>
      <c r="J403" s="8" t="str">
        <f>_xlfn.XLOOKUP($A403,'RAWDATA Cars Buyers DB'!$A:$A,'RAWDATA Cars Buyers DB'!J:J)</f>
        <v>Rhineland-Palatinate</v>
      </c>
      <c r="K403" s="8">
        <f>_xlfn.XLOOKUP($A403,'RAWDATA Cars Buyers DB'!$A:$A,'RAWDATA Cars Buyers DB'!K:K)</f>
        <v>23</v>
      </c>
      <c r="L403" s="10" t="str">
        <f>IF(_xlfn.XLOOKUP($A403,'RAWDATA Cars Buyers DB'!$A:$A,'RAWDATA Cars Buyers DB'!K:K)&gt;54,"Old ",IF(_xlfn.XLOOKUP($A403,'RAWDATA Cars Buyers DB'!$A:$A,'RAWDATA Cars Buyers DB'!K:K)&gt;=31,"Middle Age ",IF(_xlfn.XLOOKUP($A403,'RAWDATA Cars Buyers DB'!$A:$A,'RAWDATA Cars Buyers DB'!K:K)&lt;31,"Adolescent","Invalid")))</f>
        <v>Adolescent</v>
      </c>
      <c r="M403" s="8" t="str">
        <f>_xlfn.XLOOKUP($A403,'RAWDATA Cars Buyers DB'!$A:$A,'RAWDATA Cars Buyers DB'!L:L)</f>
        <v>No</v>
      </c>
    </row>
    <row r="404" spans="1:13">
      <c r="A404" s="6">
        <v>79678</v>
      </c>
      <c r="B404" s="10" t="str">
        <f>IF(_xlfn.XLOOKUP($A404,'RAWDATA Cars Buyers DB'!$A:$A,'RAWDATA Cars Buyers DB'!B:B)="S","Single","Married")</f>
        <v>Married</v>
      </c>
      <c r="C404" s="10" t="str">
        <f>IF(_xlfn.XLOOKUP($A404,'RAWDATA Cars Buyers DB'!$A:$A,'RAWDATA Cars Buyers DB'!C:C)="F","Female","Male")</f>
        <v>Male</v>
      </c>
      <c r="D404" s="7">
        <f>_xlfn.XLOOKUP($A404,'RAWDATA Cars Buyers DB'!$A:$A,'RAWDATA Cars Buyers DB'!D:D)</f>
        <v>98471</v>
      </c>
      <c r="E404" s="8">
        <f>_xlfn.XLOOKUP($A404,'RAWDATA Cars Buyers DB'!$A:$A,'RAWDATA Cars Buyers DB'!E:E)</f>
        <v>1</v>
      </c>
      <c r="F404" s="8" t="str">
        <f>_xlfn.XLOOKUP($A404,'RAWDATA Cars Buyers DB'!$A:$A,'RAWDATA Cars Buyers DB'!F:F)</f>
        <v>High School</v>
      </c>
      <c r="G404" s="8" t="str">
        <f>_xlfn.XLOOKUP($A404,'RAWDATA Cars Buyers DB'!$A:$A,'RAWDATA Cars Buyers DB'!G:G)</f>
        <v>Management</v>
      </c>
      <c r="H404" s="8" t="str">
        <f>_xlfn.XLOOKUP($A404,'RAWDATA Cars Buyers DB'!$A:$A,'RAWDATA Cars Buyers DB'!H:H)</f>
        <v>No</v>
      </c>
      <c r="I404" s="8" t="str">
        <f>_xlfn.XLOOKUP($A404,'RAWDATA Cars Buyers DB'!$A:$A,'RAWDATA Cars Buyers DB'!I:I)</f>
        <v>6+ Kilometre</v>
      </c>
      <c r="J404" s="8" t="str">
        <f>_xlfn.XLOOKUP($A404,'RAWDATA Cars Buyers DB'!$A:$A,'RAWDATA Cars Buyers DB'!J:J)</f>
        <v>North Rhine-Westphalia</v>
      </c>
      <c r="K404" s="8">
        <f>_xlfn.XLOOKUP($A404,'RAWDATA Cars Buyers DB'!$A:$A,'RAWDATA Cars Buyers DB'!K:K)</f>
        <v>68</v>
      </c>
      <c r="L404" s="10" t="str">
        <f>IF(_xlfn.XLOOKUP($A404,'RAWDATA Cars Buyers DB'!$A:$A,'RAWDATA Cars Buyers DB'!K:K)&gt;54,"Old ",IF(_xlfn.XLOOKUP($A404,'RAWDATA Cars Buyers DB'!$A:$A,'RAWDATA Cars Buyers DB'!K:K)&gt;=31,"Middle Age ",IF(_xlfn.XLOOKUP($A404,'RAWDATA Cars Buyers DB'!$A:$A,'RAWDATA Cars Buyers DB'!K:K)&lt;31,"Adolescent","Invalid")))</f>
        <v xml:space="preserve">Old </v>
      </c>
      <c r="M404" s="8" t="str">
        <f>_xlfn.XLOOKUP($A404,'RAWDATA Cars Buyers DB'!$A:$A,'RAWDATA Cars Buyers DB'!L:L)</f>
        <v>Yes</v>
      </c>
    </row>
    <row r="405" spans="1:13">
      <c r="A405" s="6">
        <v>90738</v>
      </c>
      <c r="B405" s="10" t="str">
        <f>IF(_xlfn.XLOOKUP($A405,'RAWDATA Cars Buyers DB'!$A:$A,'RAWDATA Cars Buyers DB'!B:B)="S","Single","Married")</f>
        <v>Married</v>
      </c>
      <c r="C405" s="10" t="str">
        <f>IF(_xlfn.XLOOKUP($A405,'RAWDATA Cars Buyers DB'!$A:$A,'RAWDATA Cars Buyers DB'!C:C)="F","Female","Male")</f>
        <v>Male</v>
      </c>
      <c r="D405" s="7">
        <f>_xlfn.XLOOKUP($A405,'RAWDATA Cars Buyers DB'!$A:$A,'RAWDATA Cars Buyers DB'!D:D)</f>
        <v>28068</v>
      </c>
      <c r="E405" s="8">
        <f>_xlfn.XLOOKUP($A405,'RAWDATA Cars Buyers DB'!$A:$A,'RAWDATA Cars Buyers DB'!E:E)</f>
        <v>0</v>
      </c>
      <c r="F405" s="8" t="str">
        <f>_xlfn.XLOOKUP($A405,'RAWDATA Cars Buyers DB'!$A:$A,'RAWDATA Cars Buyers DB'!F:F)</f>
        <v>Partial College</v>
      </c>
      <c r="G405" s="8" t="str">
        <f>_xlfn.XLOOKUP($A405,'RAWDATA Cars Buyers DB'!$A:$A,'RAWDATA Cars Buyers DB'!G:G)</f>
        <v>Management</v>
      </c>
      <c r="H405" s="8" t="str">
        <f>_xlfn.XLOOKUP($A405,'RAWDATA Cars Buyers DB'!$A:$A,'RAWDATA Cars Buyers DB'!H:H)</f>
        <v>No</v>
      </c>
      <c r="I405" s="8" t="str">
        <f>_xlfn.XLOOKUP($A405,'RAWDATA Cars Buyers DB'!$A:$A,'RAWDATA Cars Buyers DB'!I:I)</f>
        <v>4–6 Kilometre</v>
      </c>
      <c r="J405" s="8" t="str">
        <f>_xlfn.XLOOKUP($A405,'RAWDATA Cars Buyers DB'!$A:$A,'RAWDATA Cars Buyers DB'!J:J)</f>
        <v>North Rhine-Westphalia</v>
      </c>
      <c r="K405" s="8">
        <f>_xlfn.XLOOKUP($A405,'RAWDATA Cars Buyers DB'!$A:$A,'RAWDATA Cars Buyers DB'!K:K)</f>
        <v>33</v>
      </c>
      <c r="L405" s="10" t="str">
        <f>IF(_xlfn.XLOOKUP($A405,'RAWDATA Cars Buyers DB'!$A:$A,'RAWDATA Cars Buyers DB'!K:K)&gt;54,"Old ",IF(_xlfn.XLOOKUP($A405,'RAWDATA Cars Buyers DB'!$A:$A,'RAWDATA Cars Buyers DB'!K:K)&gt;=31,"Middle Age ",IF(_xlfn.XLOOKUP($A405,'RAWDATA Cars Buyers DB'!$A:$A,'RAWDATA Cars Buyers DB'!K:K)&lt;31,"Adolescent","Invalid")))</f>
        <v xml:space="preserve">Middle Age </v>
      </c>
      <c r="M405" s="8" t="str">
        <f>_xlfn.XLOOKUP($A405,'RAWDATA Cars Buyers DB'!$A:$A,'RAWDATA Cars Buyers DB'!L:L)</f>
        <v>Yes</v>
      </c>
    </row>
    <row r="406" spans="1:13">
      <c r="A406" s="6">
        <v>49734</v>
      </c>
      <c r="B406" s="10" t="str">
        <f>IF(_xlfn.XLOOKUP($A406,'RAWDATA Cars Buyers DB'!$A:$A,'RAWDATA Cars Buyers DB'!B:B)="S","Single","Married")</f>
        <v>Married</v>
      </c>
      <c r="C406" s="10" t="str">
        <f>IF(_xlfn.XLOOKUP($A406,'RAWDATA Cars Buyers DB'!$A:$A,'RAWDATA Cars Buyers DB'!C:C)="F","Female","Male")</f>
        <v>Male</v>
      </c>
      <c r="D406" s="7">
        <f>_xlfn.XLOOKUP($A406,'RAWDATA Cars Buyers DB'!$A:$A,'RAWDATA Cars Buyers DB'!D:D)</f>
        <v>27295</v>
      </c>
      <c r="E406" s="8">
        <f>_xlfn.XLOOKUP($A406,'RAWDATA Cars Buyers DB'!$A:$A,'RAWDATA Cars Buyers DB'!E:E)</f>
        <v>3</v>
      </c>
      <c r="F406" s="8" t="str">
        <f>_xlfn.XLOOKUP($A406,'RAWDATA Cars Buyers DB'!$A:$A,'RAWDATA Cars Buyers DB'!F:F)</f>
        <v>Graduate Degree</v>
      </c>
      <c r="G406" s="8" t="str">
        <f>_xlfn.XLOOKUP($A406,'RAWDATA Cars Buyers DB'!$A:$A,'RAWDATA Cars Buyers DB'!G:G)</f>
        <v>Management</v>
      </c>
      <c r="H406" s="8" t="str">
        <f>_xlfn.XLOOKUP($A406,'RAWDATA Cars Buyers DB'!$A:$A,'RAWDATA Cars Buyers DB'!H:H)</f>
        <v>No</v>
      </c>
      <c r="I406" s="8" t="str">
        <f>_xlfn.XLOOKUP($A406,'RAWDATA Cars Buyers DB'!$A:$A,'RAWDATA Cars Buyers DB'!I:I)</f>
        <v>1–2 Kilometre</v>
      </c>
      <c r="J406" s="8" t="str">
        <f>_xlfn.XLOOKUP($A406,'RAWDATA Cars Buyers DB'!$A:$A,'RAWDATA Cars Buyers DB'!J:J)</f>
        <v>Saarland</v>
      </c>
      <c r="K406" s="8">
        <f>_xlfn.XLOOKUP($A406,'RAWDATA Cars Buyers DB'!$A:$A,'RAWDATA Cars Buyers DB'!K:K)</f>
        <v>69</v>
      </c>
      <c r="L406" s="10" t="str">
        <f>IF(_xlfn.XLOOKUP($A406,'RAWDATA Cars Buyers DB'!$A:$A,'RAWDATA Cars Buyers DB'!K:K)&gt;54,"Old ",IF(_xlfn.XLOOKUP($A406,'RAWDATA Cars Buyers DB'!$A:$A,'RAWDATA Cars Buyers DB'!K:K)&gt;=31,"Middle Age ",IF(_xlfn.XLOOKUP($A406,'RAWDATA Cars Buyers DB'!$A:$A,'RAWDATA Cars Buyers DB'!K:K)&lt;31,"Adolescent","Invalid")))</f>
        <v xml:space="preserve">Old </v>
      </c>
      <c r="M406" s="8" t="str">
        <f>_xlfn.XLOOKUP($A406,'RAWDATA Cars Buyers DB'!$A:$A,'RAWDATA Cars Buyers DB'!L:L)</f>
        <v>Yes</v>
      </c>
    </row>
    <row r="407" spans="1:13">
      <c r="A407" s="6">
        <v>82615</v>
      </c>
      <c r="B407" s="10" t="str">
        <f>IF(_xlfn.XLOOKUP($A407,'RAWDATA Cars Buyers DB'!$A:$A,'RAWDATA Cars Buyers DB'!B:B)="S","Single","Married")</f>
        <v>Single</v>
      </c>
      <c r="C407" s="10" t="str">
        <f>IF(_xlfn.XLOOKUP($A407,'RAWDATA Cars Buyers DB'!$A:$A,'RAWDATA Cars Buyers DB'!C:C)="F","Female","Male")</f>
        <v>Male</v>
      </c>
      <c r="D407" s="7">
        <f>_xlfn.XLOOKUP($A407,'RAWDATA Cars Buyers DB'!$A:$A,'RAWDATA Cars Buyers DB'!D:D)</f>
        <v>61160</v>
      </c>
      <c r="E407" s="8">
        <f>_xlfn.XLOOKUP($A407,'RAWDATA Cars Buyers DB'!$A:$A,'RAWDATA Cars Buyers DB'!E:E)</f>
        <v>2</v>
      </c>
      <c r="F407" s="8" t="str">
        <f>_xlfn.XLOOKUP($A407,'RAWDATA Cars Buyers DB'!$A:$A,'RAWDATA Cars Buyers DB'!F:F)</f>
        <v>Partial College</v>
      </c>
      <c r="G407" s="8" t="str">
        <f>_xlfn.XLOOKUP($A407,'RAWDATA Cars Buyers DB'!$A:$A,'RAWDATA Cars Buyers DB'!G:G)</f>
        <v>Professional</v>
      </c>
      <c r="H407" s="8" t="str">
        <f>_xlfn.XLOOKUP($A407,'RAWDATA Cars Buyers DB'!$A:$A,'RAWDATA Cars Buyers DB'!H:H)</f>
        <v>Yes</v>
      </c>
      <c r="I407" s="8" t="str">
        <f>_xlfn.XLOOKUP($A407,'RAWDATA Cars Buyers DB'!$A:$A,'RAWDATA Cars Buyers DB'!I:I)</f>
        <v>0–1 Kilometre</v>
      </c>
      <c r="J407" s="8" t="str">
        <f>_xlfn.XLOOKUP($A407,'RAWDATA Cars Buyers DB'!$A:$A,'RAWDATA Cars Buyers DB'!J:J)</f>
        <v>Berlin</v>
      </c>
      <c r="K407" s="8">
        <f>_xlfn.XLOOKUP($A407,'RAWDATA Cars Buyers DB'!$A:$A,'RAWDATA Cars Buyers DB'!K:K)</f>
        <v>46</v>
      </c>
      <c r="L407" s="10" t="str">
        <f>IF(_xlfn.XLOOKUP($A407,'RAWDATA Cars Buyers DB'!$A:$A,'RAWDATA Cars Buyers DB'!K:K)&gt;54,"Old ",IF(_xlfn.XLOOKUP($A407,'RAWDATA Cars Buyers DB'!$A:$A,'RAWDATA Cars Buyers DB'!K:K)&gt;=31,"Middle Age ",IF(_xlfn.XLOOKUP($A407,'RAWDATA Cars Buyers DB'!$A:$A,'RAWDATA Cars Buyers DB'!K:K)&lt;31,"Adolescent","Invalid")))</f>
        <v xml:space="preserve">Middle Age </v>
      </c>
      <c r="M407" s="8" t="str">
        <f>_xlfn.XLOOKUP($A407,'RAWDATA Cars Buyers DB'!$A:$A,'RAWDATA Cars Buyers DB'!L:L)</f>
        <v>Yes</v>
      </c>
    </row>
    <row r="408" spans="1:13">
      <c r="A408" s="6">
        <v>83523</v>
      </c>
      <c r="B408" s="10" t="str">
        <f>IF(_xlfn.XLOOKUP($A408,'RAWDATA Cars Buyers DB'!$A:$A,'RAWDATA Cars Buyers DB'!B:B)="S","Single","Married")</f>
        <v>Married</v>
      </c>
      <c r="C408" s="10" t="str">
        <f>IF(_xlfn.XLOOKUP($A408,'RAWDATA Cars Buyers DB'!$A:$A,'RAWDATA Cars Buyers DB'!C:C)="F","Female","Male")</f>
        <v>Male</v>
      </c>
      <c r="D408" s="7">
        <f>_xlfn.XLOOKUP($A408,'RAWDATA Cars Buyers DB'!$A:$A,'RAWDATA Cars Buyers DB'!D:D)</f>
        <v>31390</v>
      </c>
      <c r="E408" s="8">
        <f>_xlfn.XLOOKUP($A408,'RAWDATA Cars Buyers DB'!$A:$A,'RAWDATA Cars Buyers DB'!E:E)</f>
        <v>5</v>
      </c>
      <c r="F408" s="8" t="str">
        <f>_xlfn.XLOOKUP($A408,'RAWDATA Cars Buyers DB'!$A:$A,'RAWDATA Cars Buyers DB'!F:F)</f>
        <v>Partial College</v>
      </c>
      <c r="G408" s="8" t="str">
        <f>_xlfn.XLOOKUP($A408,'RAWDATA Cars Buyers DB'!$A:$A,'RAWDATA Cars Buyers DB'!G:G)</f>
        <v>Professional</v>
      </c>
      <c r="H408" s="8" t="str">
        <f>_xlfn.XLOOKUP($A408,'RAWDATA Cars Buyers DB'!$A:$A,'RAWDATA Cars Buyers DB'!H:H)</f>
        <v>No</v>
      </c>
      <c r="I408" s="8" t="str">
        <f>_xlfn.XLOOKUP($A408,'RAWDATA Cars Buyers DB'!$A:$A,'RAWDATA Cars Buyers DB'!I:I)</f>
        <v>1–2 Kilometre</v>
      </c>
      <c r="J408" s="8" t="str">
        <f>_xlfn.XLOOKUP($A408,'RAWDATA Cars Buyers DB'!$A:$A,'RAWDATA Cars Buyers DB'!J:J)</f>
        <v>Thuringia</v>
      </c>
      <c r="K408" s="8">
        <f>_xlfn.XLOOKUP($A408,'RAWDATA Cars Buyers DB'!$A:$A,'RAWDATA Cars Buyers DB'!K:K)</f>
        <v>52</v>
      </c>
      <c r="L408" s="10" t="str">
        <f>IF(_xlfn.XLOOKUP($A408,'RAWDATA Cars Buyers DB'!$A:$A,'RAWDATA Cars Buyers DB'!K:K)&gt;54,"Old ",IF(_xlfn.XLOOKUP($A408,'RAWDATA Cars Buyers DB'!$A:$A,'RAWDATA Cars Buyers DB'!K:K)&gt;=31,"Middle Age ",IF(_xlfn.XLOOKUP($A408,'RAWDATA Cars Buyers DB'!$A:$A,'RAWDATA Cars Buyers DB'!K:K)&lt;31,"Adolescent","Invalid")))</f>
        <v xml:space="preserve">Middle Age </v>
      </c>
      <c r="M408" s="8" t="str">
        <f>_xlfn.XLOOKUP($A408,'RAWDATA Cars Buyers DB'!$A:$A,'RAWDATA Cars Buyers DB'!L:L)</f>
        <v>No</v>
      </c>
    </row>
    <row r="409" spans="1:13">
      <c r="A409" s="6">
        <v>27019</v>
      </c>
      <c r="B409" s="10" t="str">
        <f>IF(_xlfn.XLOOKUP($A409,'RAWDATA Cars Buyers DB'!$A:$A,'RAWDATA Cars Buyers DB'!B:B)="S","Single","Married")</f>
        <v>Single</v>
      </c>
      <c r="C409" s="10" t="str">
        <f>IF(_xlfn.XLOOKUP($A409,'RAWDATA Cars Buyers DB'!$A:$A,'RAWDATA Cars Buyers DB'!C:C)="F","Female","Male")</f>
        <v>Female</v>
      </c>
      <c r="D409" s="7">
        <f>_xlfn.XLOOKUP($A409,'RAWDATA Cars Buyers DB'!$A:$A,'RAWDATA Cars Buyers DB'!D:D)</f>
        <v>40131</v>
      </c>
      <c r="E409" s="8">
        <f>_xlfn.XLOOKUP($A409,'RAWDATA Cars Buyers DB'!$A:$A,'RAWDATA Cars Buyers DB'!E:E)</f>
        <v>0</v>
      </c>
      <c r="F409" s="8" t="str">
        <f>_xlfn.XLOOKUP($A409,'RAWDATA Cars Buyers DB'!$A:$A,'RAWDATA Cars Buyers DB'!F:F)</f>
        <v>Bachelors</v>
      </c>
      <c r="G409" s="8" t="str">
        <f>_xlfn.XLOOKUP($A409,'RAWDATA Cars Buyers DB'!$A:$A,'RAWDATA Cars Buyers DB'!G:G)</f>
        <v>Clerical</v>
      </c>
      <c r="H409" s="8" t="str">
        <f>_xlfn.XLOOKUP($A409,'RAWDATA Cars Buyers DB'!$A:$A,'RAWDATA Cars Buyers DB'!H:H)</f>
        <v>No</v>
      </c>
      <c r="I409" s="8" t="str">
        <f>_xlfn.XLOOKUP($A409,'RAWDATA Cars Buyers DB'!$A:$A,'RAWDATA Cars Buyers DB'!I:I)</f>
        <v>0–1 Kilometre</v>
      </c>
      <c r="J409" s="8" t="str">
        <f>_xlfn.XLOOKUP($A409,'RAWDATA Cars Buyers DB'!$A:$A,'RAWDATA Cars Buyers DB'!J:J)</f>
        <v>Berlin</v>
      </c>
      <c r="K409" s="8">
        <f>_xlfn.XLOOKUP($A409,'RAWDATA Cars Buyers DB'!$A:$A,'RAWDATA Cars Buyers DB'!K:K)</f>
        <v>41</v>
      </c>
      <c r="L409" s="10" t="str">
        <f>IF(_xlfn.XLOOKUP($A409,'RAWDATA Cars Buyers DB'!$A:$A,'RAWDATA Cars Buyers DB'!K:K)&gt;54,"Old ",IF(_xlfn.XLOOKUP($A409,'RAWDATA Cars Buyers DB'!$A:$A,'RAWDATA Cars Buyers DB'!K:K)&gt;=31,"Middle Age ",IF(_xlfn.XLOOKUP($A409,'RAWDATA Cars Buyers DB'!$A:$A,'RAWDATA Cars Buyers DB'!K:K)&lt;31,"Adolescent","Invalid")))</f>
        <v xml:space="preserve">Middle Age </v>
      </c>
      <c r="M409" s="8" t="str">
        <f>_xlfn.XLOOKUP($A409,'RAWDATA Cars Buyers DB'!$A:$A,'RAWDATA Cars Buyers DB'!L:L)</f>
        <v>No</v>
      </c>
    </row>
    <row r="410" spans="1:13">
      <c r="A410" s="6">
        <v>93613</v>
      </c>
      <c r="B410" s="10" t="str">
        <f>IF(_xlfn.XLOOKUP($A410,'RAWDATA Cars Buyers DB'!$A:$A,'RAWDATA Cars Buyers DB'!B:B)="S","Single","Married")</f>
        <v>Married</v>
      </c>
      <c r="C410" s="10" t="str">
        <f>IF(_xlfn.XLOOKUP($A410,'RAWDATA Cars Buyers DB'!$A:$A,'RAWDATA Cars Buyers DB'!C:C)="F","Female","Male")</f>
        <v>Male</v>
      </c>
      <c r="D410" s="7">
        <f>_xlfn.XLOOKUP($A410,'RAWDATA Cars Buyers DB'!$A:$A,'RAWDATA Cars Buyers DB'!D:D)</f>
        <v>114754</v>
      </c>
      <c r="E410" s="8">
        <f>_xlfn.XLOOKUP($A410,'RAWDATA Cars Buyers DB'!$A:$A,'RAWDATA Cars Buyers DB'!E:E)</f>
        <v>5</v>
      </c>
      <c r="F410" s="8" t="str">
        <f>_xlfn.XLOOKUP($A410,'RAWDATA Cars Buyers DB'!$A:$A,'RAWDATA Cars Buyers DB'!F:F)</f>
        <v>Graduate Degree</v>
      </c>
      <c r="G410" s="8" t="str">
        <f>_xlfn.XLOOKUP($A410,'RAWDATA Cars Buyers DB'!$A:$A,'RAWDATA Cars Buyers DB'!G:G)</f>
        <v>Clerical</v>
      </c>
      <c r="H410" s="8" t="str">
        <f>_xlfn.XLOOKUP($A410,'RAWDATA Cars Buyers DB'!$A:$A,'RAWDATA Cars Buyers DB'!H:H)</f>
        <v>Yes</v>
      </c>
      <c r="I410" s="8" t="str">
        <f>_xlfn.XLOOKUP($A410,'RAWDATA Cars Buyers DB'!$A:$A,'RAWDATA Cars Buyers DB'!I:I)</f>
        <v>1–2 Kilometre</v>
      </c>
      <c r="J410" s="8" t="str">
        <f>_xlfn.XLOOKUP($A410,'RAWDATA Cars Buyers DB'!$A:$A,'RAWDATA Cars Buyers DB'!J:J)</f>
        <v>Lower Saxony</v>
      </c>
      <c r="K410" s="8">
        <f>_xlfn.XLOOKUP($A410,'RAWDATA Cars Buyers DB'!$A:$A,'RAWDATA Cars Buyers DB'!K:K)</f>
        <v>67</v>
      </c>
      <c r="L410" s="10" t="str">
        <f>IF(_xlfn.XLOOKUP($A410,'RAWDATA Cars Buyers DB'!$A:$A,'RAWDATA Cars Buyers DB'!K:K)&gt;54,"Old ",IF(_xlfn.XLOOKUP($A410,'RAWDATA Cars Buyers DB'!$A:$A,'RAWDATA Cars Buyers DB'!K:K)&gt;=31,"Middle Age ",IF(_xlfn.XLOOKUP($A410,'RAWDATA Cars Buyers DB'!$A:$A,'RAWDATA Cars Buyers DB'!K:K)&lt;31,"Adolescent","Invalid")))</f>
        <v xml:space="preserve">Old </v>
      </c>
      <c r="M410" s="8" t="str">
        <f>_xlfn.XLOOKUP($A410,'RAWDATA Cars Buyers DB'!$A:$A,'RAWDATA Cars Buyers DB'!L:L)</f>
        <v>Yes</v>
      </c>
    </row>
    <row r="411" spans="1:13">
      <c r="A411" s="6">
        <v>96672</v>
      </c>
      <c r="B411" s="10" t="str">
        <f>IF(_xlfn.XLOOKUP($A411,'RAWDATA Cars Buyers DB'!$A:$A,'RAWDATA Cars Buyers DB'!B:B)="S","Single","Married")</f>
        <v>Single</v>
      </c>
      <c r="C411" s="10" t="str">
        <f>IF(_xlfn.XLOOKUP($A411,'RAWDATA Cars Buyers DB'!$A:$A,'RAWDATA Cars Buyers DB'!C:C)="F","Female","Male")</f>
        <v>Female</v>
      </c>
      <c r="D411" s="7">
        <f>_xlfn.XLOOKUP($A411,'RAWDATA Cars Buyers DB'!$A:$A,'RAWDATA Cars Buyers DB'!D:D)</f>
        <v>95969</v>
      </c>
      <c r="E411" s="8">
        <f>_xlfn.XLOOKUP($A411,'RAWDATA Cars Buyers DB'!$A:$A,'RAWDATA Cars Buyers DB'!E:E)</f>
        <v>0</v>
      </c>
      <c r="F411" s="8" t="str">
        <f>_xlfn.XLOOKUP($A411,'RAWDATA Cars Buyers DB'!$A:$A,'RAWDATA Cars Buyers DB'!F:F)</f>
        <v>Partial College</v>
      </c>
      <c r="G411" s="8" t="str">
        <f>_xlfn.XLOOKUP($A411,'RAWDATA Cars Buyers DB'!$A:$A,'RAWDATA Cars Buyers DB'!G:G)</f>
        <v>Skilled Manual</v>
      </c>
      <c r="H411" s="8" t="str">
        <f>_xlfn.XLOOKUP($A411,'RAWDATA Cars Buyers DB'!$A:$A,'RAWDATA Cars Buyers DB'!H:H)</f>
        <v>Yes</v>
      </c>
      <c r="I411" s="8" t="str">
        <f>_xlfn.XLOOKUP($A411,'RAWDATA Cars Buyers DB'!$A:$A,'RAWDATA Cars Buyers DB'!I:I)</f>
        <v>0–1 Kilometre</v>
      </c>
      <c r="J411" s="8" t="str">
        <f>_xlfn.XLOOKUP($A411,'RAWDATA Cars Buyers DB'!$A:$A,'RAWDATA Cars Buyers DB'!J:J)</f>
        <v>Baden-Württemberg</v>
      </c>
      <c r="K411" s="8">
        <f>_xlfn.XLOOKUP($A411,'RAWDATA Cars Buyers DB'!$A:$A,'RAWDATA Cars Buyers DB'!K:K)</f>
        <v>22</v>
      </c>
      <c r="L411" s="10" t="str">
        <f>IF(_xlfn.XLOOKUP($A411,'RAWDATA Cars Buyers DB'!$A:$A,'RAWDATA Cars Buyers DB'!K:K)&gt;54,"Old ",IF(_xlfn.XLOOKUP($A411,'RAWDATA Cars Buyers DB'!$A:$A,'RAWDATA Cars Buyers DB'!K:K)&gt;=31,"Middle Age ",IF(_xlfn.XLOOKUP($A411,'RAWDATA Cars Buyers DB'!$A:$A,'RAWDATA Cars Buyers DB'!K:K)&lt;31,"Adolescent","Invalid")))</f>
        <v>Adolescent</v>
      </c>
      <c r="M411" s="8" t="str">
        <f>_xlfn.XLOOKUP($A411,'RAWDATA Cars Buyers DB'!$A:$A,'RAWDATA Cars Buyers DB'!L:L)</f>
        <v>No</v>
      </c>
    </row>
    <row r="412" spans="1:13">
      <c r="A412" s="6">
        <v>83847</v>
      </c>
      <c r="B412" s="10" t="str">
        <f>IF(_xlfn.XLOOKUP($A412,'RAWDATA Cars Buyers DB'!$A:$A,'RAWDATA Cars Buyers DB'!B:B)="S","Single","Married")</f>
        <v>Single</v>
      </c>
      <c r="C412" s="10" t="str">
        <f>IF(_xlfn.XLOOKUP($A412,'RAWDATA Cars Buyers DB'!$A:$A,'RAWDATA Cars Buyers DB'!C:C)="F","Female","Male")</f>
        <v>Female</v>
      </c>
      <c r="D412" s="7">
        <f>_xlfn.XLOOKUP($A412,'RAWDATA Cars Buyers DB'!$A:$A,'RAWDATA Cars Buyers DB'!D:D)</f>
        <v>35038</v>
      </c>
      <c r="E412" s="8">
        <f>_xlfn.XLOOKUP($A412,'RAWDATA Cars Buyers DB'!$A:$A,'RAWDATA Cars Buyers DB'!E:E)</f>
        <v>4</v>
      </c>
      <c r="F412" s="8" t="str">
        <f>_xlfn.XLOOKUP($A412,'RAWDATA Cars Buyers DB'!$A:$A,'RAWDATA Cars Buyers DB'!F:F)</f>
        <v>Partial College</v>
      </c>
      <c r="G412" s="8" t="str">
        <f>_xlfn.XLOOKUP($A412,'RAWDATA Cars Buyers DB'!$A:$A,'RAWDATA Cars Buyers DB'!G:G)</f>
        <v>Clerical</v>
      </c>
      <c r="H412" s="8" t="str">
        <f>_xlfn.XLOOKUP($A412,'RAWDATA Cars Buyers DB'!$A:$A,'RAWDATA Cars Buyers DB'!H:H)</f>
        <v>No</v>
      </c>
      <c r="I412" s="8" t="str">
        <f>_xlfn.XLOOKUP($A412,'RAWDATA Cars Buyers DB'!$A:$A,'RAWDATA Cars Buyers DB'!I:I)</f>
        <v>0–1 Kilometre</v>
      </c>
      <c r="J412" s="8" t="str">
        <f>_xlfn.XLOOKUP($A412,'RAWDATA Cars Buyers DB'!$A:$A,'RAWDATA Cars Buyers DB'!J:J)</f>
        <v>Baden-Württemberg</v>
      </c>
      <c r="K412" s="8">
        <f>_xlfn.XLOOKUP($A412,'RAWDATA Cars Buyers DB'!$A:$A,'RAWDATA Cars Buyers DB'!K:K)</f>
        <v>42</v>
      </c>
      <c r="L412" s="10" t="str">
        <f>IF(_xlfn.XLOOKUP($A412,'RAWDATA Cars Buyers DB'!$A:$A,'RAWDATA Cars Buyers DB'!K:K)&gt;54,"Old ",IF(_xlfn.XLOOKUP($A412,'RAWDATA Cars Buyers DB'!$A:$A,'RAWDATA Cars Buyers DB'!K:K)&gt;=31,"Middle Age ",IF(_xlfn.XLOOKUP($A412,'RAWDATA Cars Buyers DB'!$A:$A,'RAWDATA Cars Buyers DB'!K:K)&lt;31,"Adolescent","Invalid")))</f>
        <v xml:space="preserve">Middle Age </v>
      </c>
      <c r="M412" s="8" t="str">
        <f>_xlfn.XLOOKUP($A412,'RAWDATA Cars Buyers DB'!$A:$A,'RAWDATA Cars Buyers DB'!L:L)</f>
        <v>Yes</v>
      </c>
    </row>
    <row r="413" spans="1:13">
      <c r="A413" s="6">
        <v>92750</v>
      </c>
      <c r="B413" s="10" t="str">
        <f>IF(_xlfn.XLOOKUP($A413,'RAWDATA Cars Buyers DB'!$A:$A,'RAWDATA Cars Buyers DB'!B:B)="S","Single","Married")</f>
        <v>Married</v>
      </c>
      <c r="C413" s="10" t="str">
        <f>IF(_xlfn.XLOOKUP($A413,'RAWDATA Cars Buyers DB'!$A:$A,'RAWDATA Cars Buyers DB'!C:C)="F","Female","Male")</f>
        <v>Male</v>
      </c>
      <c r="D413" s="7">
        <f>_xlfn.XLOOKUP($A413,'RAWDATA Cars Buyers DB'!$A:$A,'RAWDATA Cars Buyers DB'!D:D)</f>
        <v>72327</v>
      </c>
      <c r="E413" s="8">
        <f>_xlfn.XLOOKUP($A413,'RAWDATA Cars Buyers DB'!$A:$A,'RAWDATA Cars Buyers DB'!E:E)</f>
        <v>4</v>
      </c>
      <c r="F413" s="8" t="str">
        <f>_xlfn.XLOOKUP($A413,'RAWDATA Cars Buyers DB'!$A:$A,'RAWDATA Cars Buyers DB'!F:F)</f>
        <v>Graduate Degree</v>
      </c>
      <c r="G413" s="8" t="str">
        <f>_xlfn.XLOOKUP($A413,'RAWDATA Cars Buyers DB'!$A:$A,'RAWDATA Cars Buyers DB'!G:G)</f>
        <v>Skilled Manual</v>
      </c>
      <c r="H413" s="8" t="str">
        <f>_xlfn.XLOOKUP($A413,'RAWDATA Cars Buyers DB'!$A:$A,'RAWDATA Cars Buyers DB'!H:H)</f>
        <v>Yes</v>
      </c>
      <c r="I413" s="8" t="str">
        <f>_xlfn.XLOOKUP($A413,'RAWDATA Cars Buyers DB'!$A:$A,'RAWDATA Cars Buyers DB'!I:I)</f>
        <v>2–4 Kilometre</v>
      </c>
      <c r="J413" s="8" t="str">
        <f>_xlfn.XLOOKUP($A413,'RAWDATA Cars Buyers DB'!$A:$A,'RAWDATA Cars Buyers DB'!J:J)</f>
        <v>Saxony</v>
      </c>
      <c r="K413" s="8">
        <f>_xlfn.XLOOKUP($A413,'RAWDATA Cars Buyers DB'!$A:$A,'RAWDATA Cars Buyers DB'!K:K)</f>
        <v>40</v>
      </c>
      <c r="L413" s="10" t="str">
        <f>IF(_xlfn.XLOOKUP($A413,'RAWDATA Cars Buyers DB'!$A:$A,'RAWDATA Cars Buyers DB'!K:K)&gt;54,"Old ",IF(_xlfn.XLOOKUP($A413,'RAWDATA Cars Buyers DB'!$A:$A,'RAWDATA Cars Buyers DB'!K:K)&gt;=31,"Middle Age ",IF(_xlfn.XLOOKUP($A413,'RAWDATA Cars Buyers DB'!$A:$A,'RAWDATA Cars Buyers DB'!K:K)&lt;31,"Adolescent","Invalid")))</f>
        <v xml:space="preserve">Middle Age </v>
      </c>
      <c r="M413" s="8" t="str">
        <f>_xlfn.XLOOKUP($A413,'RAWDATA Cars Buyers DB'!$A:$A,'RAWDATA Cars Buyers DB'!L:L)</f>
        <v>No</v>
      </c>
    </row>
    <row r="414" spans="1:13">
      <c r="A414" s="6">
        <v>89634</v>
      </c>
      <c r="B414" s="10" t="str">
        <f>IF(_xlfn.XLOOKUP($A414,'RAWDATA Cars Buyers DB'!$A:$A,'RAWDATA Cars Buyers DB'!B:B)="S","Single","Married")</f>
        <v>Single</v>
      </c>
      <c r="C414" s="10" t="str">
        <f>IF(_xlfn.XLOOKUP($A414,'RAWDATA Cars Buyers DB'!$A:$A,'RAWDATA Cars Buyers DB'!C:C)="F","Female","Male")</f>
        <v>Male</v>
      </c>
      <c r="D414" s="7">
        <f>_xlfn.XLOOKUP($A414,'RAWDATA Cars Buyers DB'!$A:$A,'RAWDATA Cars Buyers DB'!D:D)</f>
        <v>113718</v>
      </c>
      <c r="E414" s="8">
        <f>_xlfn.XLOOKUP($A414,'RAWDATA Cars Buyers DB'!$A:$A,'RAWDATA Cars Buyers DB'!E:E)</f>
        <v>4</v>
      </c>
      <c r="F414" s="8" t="str">
        <f>_xlfn.XLOOKUP($A414,'RAWDATA Cars Buyers DB'!$A:$A,'RAWDATA Cars Buyers DB'!F:F)</f>
        <v>High School</v>
      </c>
      <c r="G414" s="8" t="str">
        <f>_xlfn.XLOOKUP($A414,'RAWDATA Cars Buyers DB'!$A:$A,'RAWDATA Cars Buyers DB'!G:G)</f>
        <v>Management</v>
      </c>
      <c r="H414" s="8" t="str">
        <f>_xlfn.XLOOKUP($A414,'RAWDATA Cars Buyers DB'!$A:$A,'RAWDATA Cars Buyers DB'!H:H)</f>
        <v>Yes</v>
      </c>
      <c r="I414" s="8" t="str">
        <f>_xlfn.XLOOKUP($A414,'RAWDATA Cars Buyers DB'!$A:$A,'RAWDATA Cars Buyers DB'!I:I)</f>
        <v>0–1 Kilometre</v>
      </c>
      <c r="J414" s="8" t="str">
        <f>_xlfn.XLOOKUP($A414,'RAWDATA Cars Buyers DB'!$A:$A,'RAWDATA Cars Buyers DB'!J:J)</f>
        <v>Baden-Württemberg</v>
      </c>
      <c r="K414" s="8">
        <f>_xlfn.XLOOKUP($A414,'RAWDATA Cars Buyers DB'!$A:$A,'RAWDATA Cars Buyers DB'!K:K)</f>
        <v>60</v>
      </c>
      <c r="L414" s="10" t="str">
        <f>IF(_xlfn.XLOOKUP($A414,'RAWDATA Cars Buyers DB'!$A:$A,'RAWDATA Cars Buyers DB'!K:K)&gt;54,"Old ",IF(_xlfn.XLOOKUP($A414,'RAWDATA Cars Buyers DB'!$A:$A,'RAWDATA Cars Buyers DB'!K:K)&gt;=31,"Middle Age ",IF(_xlfn.XLOOKUP($A414,'RAWDATA Cars Buyers DB'!$A:$A,'RAWDATA Cars Buyers DB'!K:K)&lt;31,"Adolescent","Invalid")))</f>
        <v xml:space="preserve">Old </v>
      </c>
      <c r="M414" s="8" t="str">
        <f>_xlfn.XLOOKUP($A414,'RAWDATA Cars Buyers DB'!$A:$A,'RAWDATA Cars Buyers DB'!L:L)</f>
        <v>Yes</v>
      </c>
    </row>
    <row r="415" spans="1:13">
      <c r="A415" s="6">
        <v>38251</v>
      </c>
      <c r="B415" s="10" t="str">
        <f>IF(_xlfn.XLOOKUP($A415,'RAWDATA Cars Buyers DB'!$A:$A,'RAWDATA Cars Buyers DB'!B:B)="S","Single","Married")</f>
        <v>Married</v>
      </c>
      <c r="C415" s="10" t="str">
        <f>IF(_xlfn.XLOOKUP($A415,'RAWDATA Cars Buyers DB'!$A:$A,'RAWDATA Cars Buyers DB'!C:C)="F","Female","Male")</f>
        <v>Male</v>
      </c>
      <c r="D415" s="7">
        <f>_xlfn.XLOOKUP($A415,'RAWDATA Cars Buyers DB'!$A:$A,'RAWDATA Cars Buyers DB'!D:D)</f>
        <v>97064</v>
      </c>
      <c r="E415" s="8">
        <f>_xlfn.XLOOKUP($A415,'RAWDATA Cars Buyers DB'!$A:$A,'RAWDATA Cars Buyers DB'!E:E)</f>
        <v>5</v>
      </c>
      <c r="F415" s="8" t="str">
        <f>_xlfn.XLOOKUP($A415,'RAWDATA Cars Buyers DB'!$A:$A,'RAWDATA Cars Buyers DB'!F:F)</f>
        <v>High School</v>
      </c>
      <c r="G415" s="8" t="str">
        <f>_xlfn.XLOOKUP($A415,'RAWDATA Cars Buyers DB'!$A:$A,'RAWDATA Cars Buyers DB'!G:G)</f>
        <v>Clerical</v>
      </c>
      <c r="H415" s="8" t="str">
        <f>_xlfn.XLOOKUP($A415,'RAWDATA Cars Buyers DB'!$A:$A,'RAWDATA Cars Buyers DB'!H:H)</f>
        <v>Yes</v>
      </c>
      <c r="I415" s="8" t="str">
        <f>_xlfn.XLOOKUP($A415,'RAWDATA Cars Buyers DB'!$A:$A,'RAWDATA Cars Buyers DB'!I:I)</f>
        <v>0–1 Kilometre</v>
      </c>
      <c r="J415" s="8" t="str">
        <f>_xlfn.XLOOKUP($A415,'RAWDATA Cars Buyers DB'!$A:$A,'RAWDATA Cars Buyers DB'!J:J)</f>
        <v>Bavaria</v>
      </c>
      <c r="K415" s="8">
        <f>_xlfn.XLOOKUP($A415,'RAWDATA Cars Buyers DB'!$A:$A,'RAWDATA Cars Buyers DB'!K:K)</f>
        <v>42</v>
      </c>
      <c r="L415" s="10" t="str">
        <f>IF(_xlfn.XLOOKUP($A415,'RAWDATA Cars Buyers DB'!$A:$A,'RAWDATA Cars Buyers DB'!K:K)&gt;54,"Old ",IF(_xlfn.XLOOKUP($A415,'RAWDATA Cars Buyers DB'!$A:$A,'RAWDATA Cars Buyers DB'!K:K)&gt;=31,"Middle Age ",IF(_xlfn.XLOOKUP($A415,'RAWDATA Cars Buyers DB'!$A:$A,'RAWDATA Cars Buyers DB'!K:K)&lt;31,"Adolescent","Invalid")))</f>
        <v xml:space="preserve">Middle Age </v>
      </c>
      <c r="M415" s="8" t="str">
        <f>_xlfn.XLOOKUP($A415,'RAWDATA Cars Buyers DB'!$A:$A,'RAWDATA Cars Buyers DB'!L:L)</f>
        <v>Yes</v>
      </c>
    </row>
    <row r="416" spans="1:13">
      <c r="A416" s="6">
        <v>35945</v>
      </c>
      <c r="B416" s="10" t="str">
        <f>IF(_xlfn.XLOOKUP($A416,'RAWDATA Cars Buyers DB'!$A:$A,'RAWDATA Cars Buyers DB'!B:B)="S","Single","Married")</f>
        <v>Single</v>
      </c>
      <c r="C416" s="10" t="str">
        <f>IF(_xlfn.XLOOKUP($A416,'RAWDATA Cars Buyers DB'!$A:$A,'RAWDATA Cars Buyers DB'!C:C)="F","Female","Male")</f>
        <v>Female</v>
      </c>
      <c r="D416" s="7">
        <f>_xlfn.XLOOKUP($A416,'RAWDATA Cars Buyers DB'!$A:$A,'RAWDATA Cars Buyers DB'!D:D)</f>
        <v>41281</v>
      </c>
      <c r="E416" s="8">
        <f>_xlfn.XLOOKUP($A416,'RAWDATA Cars Buyers DB'!$A:$A,'RAWDATA Cars Buyers DB'!E:E)</f>
        <v>3</v>
      </c>
      <c r="F416" s="8" t="str">
        <f>_xlfn.XLOOKUP($A416,'RAWDATA Cars Buyers DB'!$A:$A,'RAWDATA Cars Buyers DB'!F:F)</f>
        <v>Partial College</v>
      </c>
      <c r="G416" s="8" t="str">
        <f>_xlfn.XLOOKUP($A416,'RAWDATA Cars Buyers DB'!$A:$A,'RAWDATA Cars Buyers DB'!G:G)</f>
        <v>Professional</v>
      </c>
      <c r="H416" s="8" t="str">
        <f>_xlfn.XLOOKUP($A416,'RAWDATA Cars Buyers DB'!$A:$A,'RAWDATA Cars Buyers DB'!H:H)</f>
        <v>No</v>
      </c>
      <c r="I416" s="8" t="str">
        <f>_xlfn.XLOOKUP($A416,'RAWDATA Cars Buyers DB'!$A:$A,'RAWDATA Cars Buyers DB'!I:I)</f>
        <v>2–4 Kilometre</v>
      </c>
      <c r="J416" s="8" t="str">
        <f>_xlfn.XLOOKUP($A416,'RAWDATA Cars Buyers DB'!$A:$A,'RAWDATA Cars Buyers DB'!J:J)</f>
        <v>Bavaria</v>
      </c>
      <c r="K416" s="8">
        <f>_xlfn.XLOOKUP($A416,'RAWDATA Cars Buyers DB'!$A:$A,'RAWDATA Cars Buyers DB'!K:K)</f>
        <v>23</v>
      </c>
      <c r="L416" s="10" t="str">
        <f>IF(_xlfn.XLOOKUP($A416,'RAWDATA Cars Buyers DB'!$A:$A,'RAWDATA Cars Buyers DB'!K:K)&gt;54,"Old ",IF(_xlfn.XLOOKUP($A416,'RAWDATA Cars Buyers DB'!$A:$A,'RAWDATA Cars Buyers DB'!K:K)&gt;=31,"Middle Age ",IF(_xlfn.XLOOKUP($A416,'RAWDATA Cars Buyers DB'!$A:$A,'RAWDATA Cars Buyers DB'!K:K)&lt;31,"Adolescent","Invalid")))</f>
        <v>Adolescent</v>
      </c>
      <c r="M416" s="8" t="str">
        <f>_xlfn.XLOOKUP($A416,'RAWDATA Cars Buyers DB'!$A:$A,'RAWDATA Cars Buyers DB'!L:L)</f>
        <v>No</v>
      </c>
    </row>
    <row r="417" spans="1:13">
      <c r="A417" s="6">
        <v>42217</v>
      </c>
      <c r="B417" s="10" t="str">
        <f>IF(_xlfn.XLOOKUP($A417,'RAWDATA Cars Buyers DB'!$A:$A,'RAWDATA Cars Buyers DB'!B:B)="S","Single","Married")</f>
        <v>Married</v>
      </c>
      <c r="C417" s="10" t="str">
        <f>IF(_xlfn.XLOOKUP($A417,'RAWDATA Cars Buyers DB'!$A:$A,'RAWDATA Cars Buyers DB'!C:C)="F","Female","Male")</f>
        <v>Male</v>
      </c>
      <c r="D417" s="7">
        <f>_xlfn.XLOOKUP($A417,'RAWDATA Cars Buyers DB'!$A:$A,'RAWDATA Cars Buyers DB'!D:D)</f>
        <v>74189</v>
      </c>
      <c r="E417" s="8">
        <f>_xlfn.XLOOKUP($A417,'RAWDATA Cars Buyers DB'!$A:$A,'RAWDATA Cars Buyers DB'!E:E)</f>
        <v>4</v>
      </c>
      <c r="F417" s="8" t="str">
        <f>_xlfn.XLOOKUP($A417,'RAWDATA Cars Buyers DB'!$A:$A,'RAWDATA Cars Buyers DB'!F:F)</f>
        <v>Partial College</v>
      </c>
      <c r="G417" s="8" t="str">
        <f>_xlfn.XLOOKUP($A417,'RAWDATA Cars Buyers DB'!$A:$A,'RAWDATA Cars Buyers DB'!G:G)</f>
        <v>Clerical</v>
      </c>
      <c r="H417" s="8" t="str">
        <f>_xlfn.XLOOKUP($A417,'RAWDATA Cars Buyers DB'!$A:$A,'RAWDATA Cars Buyers DB'!H:H)</f>
        <v>Yes</v>
      </c>
      <c r="I417" s="8" t="str">
        <f>_xlfn.XLOOKUP($A417,'RAWDATA Cars Buyers DB'!$A:$A,'RAWDATA Cars Buyers DB'!I:I)</f>
        <v>6+ Kilometre</v>
      </c>
      <c r="J417" s="8" t="str">
        <f>_xlfn.XLOOKUP($A417,'RAWDATA Cars Buyers DB'!$A:$A,'RAWDATA Cars Buyers DB'!J:J)</f>
        <v>Saxony-Anhalt</v>
      </c>
      <c r="K417" s="8">
        <f>_xlfn.XLOOKUP($A417,'RAWDATA Cars Buyers DB'!$A:$A,'RAWDATA Cars Buyers DB'!K:K)</f>
        <v>40</v>
      </c>
      <c r="L417" s="10" t="str">
        <f>IF(_xlfn.XLOOKUP($A417,'RAWDATA Cars Buyers DB'!$A:$A,'RAWDATA Cars Buyers DB'!K:K)&gt;54,"Old ",IF(_xlfn.XLOOKUP($A417,'RAWDATA Cars Buyers DB'!$A:$A,'RAWDATA Cars Buyers DB'!K:K)&gt;=31,"Middle Age ",IF(_xlfn.XLOOKUP($A417,'RAWDATA Cars Buyers DB'!$A:$A,'RAWDATA Cars Buyers DB'!K:K)&lt;31,"Adolescent","Invalid")))</f>
        <v xml:space="preserve">Middle Age </v>
      </c>
      <c r="M417" s="8" t="str">
        <f>_xlfn.XLOOKUP($A417,'RAWDATA Cars Buyers DB'!$A:$A,'RAWDATA Cars Buyers DB'!L:L)</f>
        <v>No</v>
      </c>
    </row>
    <row r="418" spans="1:13">
      <c r="A418" s="6">
        <v>18308</v>
      </c>
      <c r="B418" s="10" t="str">
        <f>IF(_xlfn.XLOOKUP($A418,'RAWDATA Cars Buyers DB'!$A:$A,'RAWDATA Cars Buyers DB'!B:B)="S","Single","Married")</f>
        <v>Single</v>
      </c>
      <c r="C418" s="10" t="str">
        <f>IF(_xlfn.XLOOKUP($A418,'RAWDATA Cars Buyers DB'!$A:$A,'RAWDATA Cars Buyers DB'!C:C)="F","Female","Male")</f>
        <v>Female</v>
      </c>
      <c r="D418" s="7">
        <f>_xlfn.XLOOKUP($A418,'RAWDATA Cars Buyers DB'!$A:$A,'RAWDATA Cars Buyers DB'!D:D)</f>
        <v>68511</v>
      </c>
      <c r="E418" s="8">
        <f>_xlfn.XLOOKUP($A418,'RAWDATA Cars Buyers DB'!$A:$A,'RAWDATA Cars Buyers DB'!E:E)</f>
        <v>0</v>
      </c>
      <c r="F418" s="8" t="str">
        <f>_xlfn.XLOOKUP($A418,'RAWDATA Cars Buyers DB'!$A:$A,'RAWDATA Cars Buyers DB'!F:F)</f>
        <v>High School</v>
      </c>
      <c r="G418" s="8" t="str">
        <f>_xlfn.XLOOKUP($A418,'RAWDATA Cars Buyers DB'!$A:$A,'RAWDATA Cars Buyers DB'!G:G)</f>
        <v>Skilled Manual</v>
      </c>
      <c r="H418" s="8" t="str">
        <f>_xlfn.XLOOKUP($A418,'RAWDATA Cars Buyers DB'!$A:$A,'RAWDATA Cars Buyers DB'!H:H)</f>
        <v>No</v>
      </c>
      <c r="I418" s="8" t="str">
        <f>_xlfn.XLOOKUP($A418,'RAWDATA Cars Buyers DB'!$A:$A,'RAWDATA Cars Buyers DB'!I:I)</f>
        <v>6+ Kilometre</v>
      </c>
      <c r="J418" s="8" t="str">
        <f>_xlfn.XLOOKUP($A418,'RAWDATA Cars Buyers DB'!$A:$A,'RAWDATA Cars Buyers DB'!J:J)</f>
        <v>Berlin</v>
      </c>
      <c r="K418" s="8">
        <f>_xlfn.XLOOKUP($A418,'RAWDATA Cars Buyers DB'!$A:$A,'RAWDATA Cars Buyers DB'!K:K)</f>
        <v>56</v>
      </c>
      <c r="L418" s="10" t="str">
        <f>IF(_xlfn.XLOOKUP($A418,'RAWDATA Cars Buyers DB'!$A:$A,'RAWDATA Cars Buyers DB'!K:K)&gt;54,"Old ",IF(_xlfn.XLOOKUP($A418,'RAWDATA Cars Buyers DB'!$A:$A,'RAWDATA Cars Buyers DB'!K:K)&gt;=31,"Middle Age ",IF(_xlfn.XLOOKUP($A418,'RAWDATA Cars Buyers DB'!$A:$A,'RAWDATA Cars Buyers DB'!K:K)&lt;31,"Adolescent","Invalid")))</f>
        <v xml:space="preserve">Old </v>
      </c>
      <c r="M418" s="8" t="str">
        <f>_xlfn.XLOOKUP($A418,'RAWDATA Cars Buyers DB'!$A:$A,'RAWDATA Cars Buyers DB'!L:L)</f>
        <v>No</v>
      </c>
    </row>
    <row r="419" spans="1:13">
      <c r="A419" s="6">
        <v>15949</v>
      </c>
      <c r="B419" s="10" t="str">
        <f>IF(_xlfn.XLOOKUP($A419,'RAWDATA Cars Buyers DB'!$A:$A,'RAWDATA Cars Buyers DB'!B:B)="S","Single","Married")</f>
        <v>Married</v>
      </c>
      <c r="C419" s="10" t="str">
        <f>IF(_xlfn.XLOOKUP($A419,'RAWDATA Cars Buyers DB'!$A:$A,'RAWDATA Cars Buyers DB'!C:C)="F","Female","Male")</f>
        <v>Male</v>
      </c>
      <c r="D419" s="7">
        <f>_xlfn.XLOOKUP($A419,'RAWDATA Cars Buyers DB'!$A:$A,'RAWDATA Cars Buyers DB'!D:D)</f>
        <v>28605</v>
      </c>
      <c r="E419" s="8">
        <f>_xlfn.XLOOKUP($A419,'RAWDATA Cars Buyers DB'!$A:$A,'RAWDATA Cars Buyers DB'!E:E)</f>
        <v>4</v>
      </c>
      <c r="F419" s="8" t="str">
        <f>_xlfn.XLOOKUP($A419,'RAWDATA Cars Buyers DB'!$A:$A,'RAWDATA Cars Buyers DB'!F:F)</f>
        <v>Bachelors</v>
      </c>
      <c r="G419" s="8" t="str">
        <f>_xlfn.XLOOKUP($A419,'RAWDATA Cars Buyers DB'!$A:$A,'RAWDATA Cars Buyers DB'!G:G)</f>
        <v>Clerical</v>
      </c>
      <c r="H419" s="8" t="str">
        <f>_xlfn.XLOOKUP($A419,'RAWDATA Cars Buyers DB'!$A:$A,'RAWDATA Cars Buyers DB'!H:H)</f>
        <v>No</v>
      </c>
      <c r="I419" s="8" t="str">
        <f>_xlfn.XLOOKUP($A419,'RAWDATA Cars Buyers DB'!$A:$A,'RAWDATA Cars Buyers DB'!I:I)</f>
        <v>2–4 Kilometre</v>
      </c>
      <c r="J419" s="8" t="str">
        <f>_xlfn.XLOOKUP($A419,'RAWDATA Cars Buyers DB'!$A:$A,'RAWDATA Cars Buyers DB'!J:J)</f>
        <v>Rhineland-Palatinate</v>
      </c>
      <c r="K419" s="8">
        <f>_xlfn.XLOOKUP($A419,'RAWDATA Cars Buyers DB'!$A:$A,'RAWDATA Cars Buyers DB'!K:K)</f>
        <v>62</v>
      </c>
      <c r="L419" s="10" t="str">
        <f>IF(_xlfn.XLOOKUP($A419,'RAWDATA Cars Buyers DB'!$A:$A,'RAWDATA Cars Buyers DB'!K:K)&gt;54,"Old ",IF(_xlfn.XLOOKUP($A419,'RAWDATA Cars Buyers DB'!$A:$A,'RAWDATA Cars Buyers DB'!K:K)&gt;=31,"Middle Age ",IF(_xlfn.XLOOKUP($A419,'RAWDATA Cars Buyers DB'!$A:$A,'RAWDATA Cars Buyers DB'!K:K)&lt;31,"Adolescent","Invalid")))</f>
        <v xml:space="preserve">Old </v>
      </c>
      <c r="M419" s="8" t="str">
        <f>_xlfn.XLOOKUP($A419,'RAWDATA Cars Buyers DB'!$A:$A,'RAWDATA Cars Buyers DB'!L:L)</f>
        <v>Yes</v>
      </c>
    </row>
    <row r="420" spans="1:13">
      <c r="A420" s="6">
        <v>61990</v>
      </c>
      <c r="B420" s="10" t="str">
        <f>IF(_xlfn.XLOOKUP($A420,'RAWDATA Cars Buyers DB'!$A:$A,'RAWDATA Cars Buyers DB'!B:B)="S","Single","Married")</f>
        <v>Single</v>
      </c>
      <c r="C420" s="10" t="str">
        <f>IF(_xlfn.XLOOKUP($A420,'RAWDATA Cars Buyers DB'!$A:$A,'RAWDATA Cars Buyers DB'!C:C)="F","Female","Male")</f>
        <v>Male</v>
      </c>
      <c r="D420" s="7">
        <f>_xlfn.XLOOKUP($A420,'RAWDATA Cars Buyers DB'!$A:$A,'RAWDATA Cars Buyers DB'!D:D)</f>
        <v>21381</v>
      </c>
      <c r="E420" s="8">
        <f>_xlfn.XLOOKUP($A420,'RAWDATA Cars Buyers DB'!$A:$A,'RAWDATA Cars Buyers DB'!E:E)</f>
        <v>1</v>
      </c>
      <c r="F420" s="8" t="str">
        <f>_xlfn.XLOOKUP($A420,'RAWDATA Cars Buyers DB'!$A:$A,'RAWDATA Cars Buyers DB'!F:F)</f>
        <v>Graduate Degree</v>
      </c>
      <c r="G420" s="8" t="str">
        <f>_xlfn.XLOOKUP($A420,'RAWDATA Cars Buyers DB'!$A:$A,'RAWDATA Cars Buyers DB'!G:G)</f>
        <v>Management</v>
      </c>
      <c r="H420" s="8" t="str">
        <f>_xlfn.XLOOKUP($A420,'RAWDATA Cars Buyers DB'!$A:$A,'RAWDATA Cars Buyers DB'!H:H)</f>
        <v>No</v>
      </c>
      <c r="I420" s="8" t="str">
        <f>_xlfn.XLOOKUP($A420,'RAWDATA Cars Buyers DB'!$A:$A,'RAWDATA Cars Buyers DB'!I:I)</f>
        <v>4–6 Kilometre</v>
      </c>
      <c r="J420" s="8" t="str">
        <f>_xlfn.XLOOKUP($A420,'RAWDATA Cars Buyers DB'!$A:$A,'RAWDATA Cars Buyers DB'!J:J)</f>
        <v>Baden-Württemberg</v>
      </c>
      <c r="K420" s="8">
        <f>_xlfn.XLOOKUP($A420,'RAWDATA Cars Buyers DB'!$A:$A,'RAWDATA Cars Buyers DB'!K:K)</f>
        <v>50</v>
      </c>
      <c r="L420" s="10" t="str">
        <f>IF(_xlfn.XLOOKUP($A420,'RAWDATA Cars Buyers DB'!$A:$A,'RAWDATA Cars Buyers DB'!K:K)&gt;54,"Old ",IF(_xlfn.XLOOKUP($A420,'RAWDATA Cars Buyers DB'!$A:$A,'RAWDATA Cars Buyers DB'!K:K)&gt;=31,"Middle Age ",IF(_xlfn.XLOOKUP($A420,'RAWDATA Cars Buyers DB'!$A:$A,'RAWDATA Cars Buyers DB'!K:K)&lt;31,"Adolescent","Invalid")))</f>
        <v xml:space="preserve">Middle Age </v>
      </c>
      <c r="M420" s="8" t="str">
        <f>_xlfn.XLOOKUP($A420,'RAWDATA Cars Buyers DB'!$A:$A,'RAWDATA Cars Buyers DB'!L:L)</f>
        <v>Yes</v>
      </c>
    </row>
    <row r="421" spans="1:13">
      <c r="A421" s="6">
        <v>11150</v>
      </c>
      <c r="B421" s="10" t="str">
        <f>IF(_xlfn.XLOOKUP($A421,'RAWDATA Cars Buyers DB'!$A:$A,'RAWDATA Cars Buyers DB'!B:B)="S","Single","Married")</f>
        <v>Single</v>
      </c>
      <c r="C421" s="10" t="str">
        <f>IF(_xlfn.XLOOKUP($A421,'RAWDATA Cars Buyers DB'!$A:$A,'RAWDATA Cars Buyers DB'!C:C)="F","Female","Male")</f>
        <v>Female</v>
      </c>
      <c r="D421" s="7">
        <f>_xlfn.XLOOKUP($A421,'RAWDATA Cars Buyers DB'!$A:$A,'RAWDATA Cars Buyers DB'!D:D)</f>
        <v>86634</v>
      </c>
      <c r="E421" s="8">
        <f>_xlfn.XLOOKUP($A421,'RAWDATA Cars Buyers DB'!$A:$A,'RAWDATA Cars Buyers DB'!E:E)</f>
        <v>4</v>
      </c>
      <c r="F421" s="8" t="str">
        <f>_xlfn.XLOOKUP($A421,'RAWDATA Cars Buyers DB'!$A:$A,'RAWDATA Cars Buyers DB'!F:F)</f>
        <v>Graduate Degree</v>
      </c>
      <c r="G421" s="8" t="str">
        <f>_xlfn.XLOOKUP($A421,'RAWDATA Cars Buyers DB'!$A:$A,'RAWDATA Cars Buyers DB'!G:G)</f>
        <v>Professional</v>
      </c>
      <c r="H421" s="8" t="str">
        <f>_xlfn.XLOOKUP($A421,'RAWDATA Cars Buyers DB'!$A:$A,'RAWDATA Cars Buyers DB'!H:H)</f>
        <v>No</v>
      </c>
      <c r="I421" s="8" t="str">
        <f>_xlfn.XLOOKUP($A421,'RAWDATA Cars Buyers DB'!$A:$A,'RAWDATA Cars Buyers DB'!I:I)</f>
        <v>0–1 Kilometre</v>
      </c>
      <c r="J421" s="8" t="str">
        <f>_xlfn.XLOOKUP($A421,'RAWDATA Cars Buyers DB'!$A:$A,'RAWDATA Cars Buyers DB'!J:J)</f>
        <v>Saxony-Anhalt</v>
      </c>
      <c r="K421" s="8">
        <f>_xlfn.XLOOKUP($A421,'RAWDATA Cars Buyers DB'!$A:$A,'RAWDATA Cars Buyers DB'!K:K)</f>
        <v>40</v>
      </c>
      <c r="L421" s="10" t="str">
        <f>IF(_xlfn.XLOOKUP($A421,'RAWDATA Cars Buyers DB'!$A:$A,'RAWDATA Cars Buyers DB'!K:K)&gt;54,"Old ",IF(_xlfn.XLOOKUP($A421,'RAWDATA Cars Buyers DB'!$A:$A,'RAWDATA Cars Buyers DB'!K:K)&gt;=31,"Middle Age ",IF(_xlfn.XLOOKUP($A421,'RAWDATA Cars Buyers DB'!$A:$A,'RAWDATA Cars Buyers DB'!K:K)&lt;31,"Adolescent","Invalid")))</f>
        <v xml:space="preserve">Middle Age </v>
      </c>
      <c r="M421" s="8" t="str">
        <f>_xlfn.XLOOKUP($A421,'RAWDATA Cars Buyers DB'!$A:$A,'RAWDATA Cars Buyers DB'!L:L)</f>
        <v>No</v>
      </c>
    </row>
    <row r="422" spans="1:13">
      <c r="A422" s="6">
        <v>99480</v>
      </c>
      <c r="B422" s="10" t="str">
        <f>IF(_xlfn.XLOOKUP($A422,'RAWDATA Cars Buyers DB'!$A:$A,'RAWDATA Cars Buyers DB'!B:B)="S","Single","Married")</f>
        <v>Married</v>
      </c>
      <c r="C422" s="10" t="str">
        <f>IF(_xlfn.XLOOKUP($A422,'RAWDATA Cars Buyers DB'!$A:$A,'RAWDATA Cars Buyers DB'!C:C)="F","Female","Male")</f>
        <v>Female</v>
      </c>
      <c r="D422" s="7">
        <f>_xlfn.XLOOKUP($A422,'RAWDATA Cars Buyers DB'!$A:$A,'RAWDATA Cars Buyers DB'!D:D)</f>
        <v>39810</v>
      </c>
      <c r="E422" s="8">
        <f>_xlfn.XLOOKUP($A422,'RAWDATA Cars Buyers DB'!$A:$A,'RAWDATA Cars Buyers DB'!E:E)</f>
        <v>5</v>
      </c>
      <c r="F422" s="8" t="str">
        <f>_xlfn.XLOOKUP($A422,'RAWDATA Cars Buyers DB'!$A:$A,'RAWDATA Cars Buyers DB'!F:F)</f>
        <v>Bachelors</v>
      </c>
      <c r="G422" s="8" t="str">
        <f>_xlfn.XLOOKUP($A422,'RAWDATA Cars Buyers DB'!$A:$A,'RAWDATA Cars Buyers DB'!G:G)</f>
        <v>Skilled Manual</v>
      </c>
      <c r="H422" s="8" t="str">
        <f>_xlfn.XLOOKUP($A422,'RAWDATA Cars Buyers DB'!$A:$A,'RAWDATA Cars Buyers DB'!H:H)</f>
        <v>Yes</v>
      </c>
      <c r="I422" s="8" t="str">
        <f>_xlfn.XLOOKUP($A422,'RAWDATA Cars Buyers DB'!$A:$A,'RAWDATA Cars Buyers DB'!I:I)</f>
        <v>0–1 Kilometre</v>
      </c>
      <c r="J422" s="8" t="str">
        <f>_xlfn.XLOOKUP($A422,'RAWDATA Cars Buyers DB'!$A:$A,'RAWDATA Cars Buyers DB'!J:J)</f>
        <v>Rhineland-Palatinate</v>
      </c>
      <c r="K422" s="8">
        <f>_xlfn.XLOOKUP($A422,'RAWDATA Cars Buyers DB'!$A:$A,'RAWDATA Cars Buyers DB'!K:K)</f>
        <v>45</v>
      </c>
      <c r="L422" s="10" t="str">
        <f>IF(_xlfn.XLOOKUP($A422,'RAWDATA Cars Buyers DB'!$A:$A,'RAWDATA Cars Buyers DB'!K:K)&gt;54,"Old ",IF(_xlfn.XLOOKUP($A422,'RAWDATA Cars Buyers DB'!$A:$A,'RAWDATA Cars Buyers DB'!K:K)&gt;=31,"Middle Age ",IF(_xlfn.XLOOKUP($A422,'RAWDATA Cars Buyers DB'!$A:$A,'RAWDATA Cars Buyers DB'!K:K)&lt;31,"Adolescent","Invalid")))</f>
        <v xml:space="preserve">Middle Age </v>
      </c>
      <c r="M422" s="8" t="str">
        <f>_xlfn.XLOOKUP($A422,'RAWDATA Cars Buyers DB'!$A:$A,'RAWDATA Cars Buyers DB'!L:L)</f>
        <v>Yes</v>
      </c>
    </row>
    <row r="423" spans="1:13">
      <c r="A423" s="6">
        <v>84740</v>
      </c>
      <c r="B423" s="10" t="str">
        <f>IF(_xlfn.XLOOKUP($A423,'RAWDATA Cars Buyers DB'!$A:$A,'RAWDATA Cars Buyers DB'!B:B)="S","Single","Married")</f>
        <v>Married</v>
      </c>
      <c r="C423" s="10" t="str">
        <f>IF(_xlfn.XLOOKUP($A423,'RAWDATA Cars Buyers DB'!$A:$A,'RAWDATA Cars Buyers DB'!C:C)="F","Female","Male")</f>
        <v>Male</v>
      </c>
      <c r="D423" s="7">
        <f>_xlfn.XLOOKUP($A423,'RAWDATA Cars Buyers DB'!$A:$A,'RAWDATA Cars Buyers DB'!D:D)</f>
        <v>44322</v>
      </c>
      <c r="E423" s="8">
        <f>_xlfn.XLOOKUP($A423,'RAWDATA Cars Buyers DB'!$A:$A,'RAWDATA Cars Buyers DB'!E:E)</f>
        <v>3</v>
      </c>
      <c r="F423" s="8" t="str">
        <f>_xlfn.XLOOKUP($A423,'RAWDATA Cars Buyers DB'!$A:$A,'RAWDATA Cars Buyers DB'!F:F)</f>
        <v>Bachelors</v>
      </c>
      <c r="G423" s="8" t="str">
        <f>_xlfn.XLOOKUP($A423,'RAWDATA Cars Buyers DB'!$A:$A,'RAWDATA Cars Buyers DB'!G:G)</f>
        <v>Professional</v>
      </c>
      <c r="H423" s="8" t="str">
        <f>_xlfn.XLOOKUP($A423,'RAWDATA Cars Buyers DB'!$A:$A,'RAWDATA Cars Buyers DB'!H:H)</f>
        <v>No</v>
      </c>
      <c r="I423" s="8" t="str">
        <f>_xlfn.XLOOKUP($A423,'RAWDATA Cars Buyers DB'!$A:$A,'RAWDATA Cars Buyers DB'!I:I)</f>
        <v>2–4 Kilometre</v>
      </c>
      <c r="J423" s="8" t="str">
        <f>_xlfn.XLOOKUP($A423,'RAWDATA Cars Buyers DB'!$A:$A,'RAWDATA Cars Buyers DB'!J:J)</f>
        <v>Saxony</v>
      </c>
      <c r="K423" s="8">
        <f>_xlfn.XLOOKUP($A423,'RAWDATA Cars Buyers DB'!$A:$A,'RAWDATA Cars Buyers DB'!K:K)</f>
        <v>60</v>
      </c>
      <c r="L423" s="10" t="str">
        <f>IF(_xlfn.XLOOKUP($A423,'RAWDATA Cars Buyers DB'!$A:$A,'RAWDATA Cars Buyers DB'!K:K)&gt;54,"Old ",IF(_xlfn.XLOOKUP($A423,'RAWDATA Cars Buyers DB'!$A:$A,'RAWDATA Cars Buyers DB'!K:K)&gt;=31,"Middle Age ",IF(_xlfn.XLOOKUP($A423,'RAWDATA Cars Buyers DB'!$A:$A,'RAWDATA Cars Buyers DB'!K:K)&lt;31,"Adolescent","Invalid")))</f>
        <v xml:space="preserve">Old </v>
      </c>
      <c r="M423" s="8" t="str">
        <f>_xlfn.XLOOKUP($A423,'RAWDATA Cars Buyers DB'!$A:$A,'RAWDATA Cars Buyers DB'!L:L)</f>
        <v>Yes</v>
      </c>
    </row>
    <row r="424" spans="1:13">
      <c r="A424" s="6">
        <v>76617</v>
      </c>
      <c r="B424" s="10" t="str">
        <f>IF(_xlfn.XLOOKUP($A424,'RAWDATA Cars Buyers DB'!$A:$A,'RAWDATA Cars Buyers DB'!B:B)="S","Single","Married")</f>
        <v>Married</v>
      </c>
      <c r="C424" s="10" t="str">
        <f>IF(_xlfn.XLOOKUP($A424,'RAWDATA Cars Buyers DB'!$A:$A,'RAWDATA Cars Buyers DB'!C:C)="F","Female","Male")</f>
        <v>Female</v>
      </c>
      <c r="D424" s="7">
        <f>_xlfn.XLOOKUP($A424,'RAWDATA Cars Buyers DB'!$A:$A,'RAWDATA Cars Buyers DB'!D:D)</f>
        <v>61869</v>
      </c>
      <c r="E424" s="8">
        <f>_xlfn.XLOOKUP($A424,'RAWDATA Cars Buyers DB'!$A:$A,'RAWDATA Cars Buyers DB'!E:E)</f>
        <v>1</v>
      </c>
      <c r="F424" s="8" t="str">
        <f>_xlfn.XLOOKUP($A424,'RAWDATA Cars Buyers DB'!$A:$A,'RAWDATA Cars Buyers DB'!F:F)</f>
        <v>Bachelors</v>
      </c>
      <c r="G424" s="8" t="str">
        <f>_xlfn.XLOOKUP($A424,'RAWDATA Cars Buyers DB'!$A:$A,'RAWDATA Cars Buyers DB'!G:G)</f>
        <v>Professional</v>
      </c>
      <c r="H424" s="8" t="str">
        <f>_xlfn.XLOOKUP($A424,'RAWDATA Cars Buyers DB'!$A:$A,'RAWDATA Cars Buyers DB'!H:H)</f>
        <v>Yes</v>
      </c>
      <c r="I424" s="8" t="str">
        <f>_xlfn.XLOOKUP($A424,'RAWDATA Cars Buyers DB'!$A:$A,'RAWDATA Cars Buyers DB'!I:I)</f>
        <v>2–4 Kilometre</v>
      </c>
      <c r="J424" s="8" t="str">
        <f>_xlfn.XLOOKUP($A424,'RAWDATA Cars Buyers DB'!$A:$A,'RAWDATA Cars Buyers DB'!J:J)</f>
        <v>Saxony</v>
      </c>
      <c r="K424" s="8">
        <f>_xlfn.XLOOKUP($A424,'RAWDATA Cars Buyers DB'!$A:$A,'RAWDATA Cars Buyers DB'!K:K)</f>
        <v>54</v>
      </c>
      <c r="L424" s="10" t="str">
        <f>IF(_xlfn.XLOOKUP($A424,'RAWDATA Cars Buyers DB'!$A:$A,'RAWDATA Cars Buyers DB'!K:K)&gt;54,"Old ",IF(_xlfn.XLOOKUP($A424,'RAWDATA Cars Buyers DB'!$A:$A,'RAWDATA Cars Buyers DB'!K:K)&gt;=31,"Middle Age ",IF(_xlfn.XLOOKUP($A424,'RAWDATA Cars Buyers DB'!$A:$A,'RAWDATA Cars Buyers DB'!K:K)&lt;31,"Adolescent","Invalid")))</f>
        <v xml:space="preserve">Middle Age </v>
      </c>
      <c r="M424" s="8" t="str">
        <f>_xlfn.XLOOKUP($A424,'RAWDATA Cars Buyers DB'!$A:$A,'RAWDATA Cars Buyers DB'!L:L)</f>
        <v>Yes</v>
      </c>
    </row>
    <row r="425" spans="1:13">
      <c r="A425" s="6">
        <v>26896</v>
      </c>
      <c r="B425" s="10" t="str">
        <f>IF(_xlfn.XLOOKUP($A425,'RAWDATA Cars Buyers DB'!$A:$A,'RAWDATA Cars Buyers DB'!B:B)="S","Single","Married")</f>
        <v>Married</v>
      </c>
      <c r="C425" s="10" t="str">
        <f>IF(_xlfn.XLOOKUP($A425,'RAWDATA Cars Buyers DB'!$A:$A,'RAWDATA Cars Buyers DB'!C:C)="F","Female","Male")</f>
        <v>Female</v>
      </c>
      <c r="D425" s="7">
        <f>_xlfn.XLOOKUP($A425,'RAWDATA Cars Buyers DB'!$A:$A,'RAWDATA Cars Buyers DB'!D:D)</f>
        <v>52955</v>
      </c>
      <c r="E425" s="8">
        <f>_xlfn.XLOOKUP($A425,'RAWDATA Cars Buyers DB'!$A:$A,'RAWDATA Cars Buyers DB'!E:E)</f>
        <v>5</v>
      </c>
      <c r="F425" s="8" t="str">
        <f>_xlfn.XLOOKUP($A425,'RAWDATA Cars Buyers DB'!$A:$A,'RAWDATA Cars Buyers DB'!F:F)</f>
        <v>Bachelors</v>
      </c>
      <c r="G425" s="8" t="str">
        <f>_xlfn.XLOOKUP($A425,'RAWDATA Cars Buyers DB'!$A:$A,'RAWDATA Cars Buyers DB'!G:G)</f>
        <v>Skilled Manual</v>
      </c>
      <c r="H425" s="8" t="str">
        <f>_xlfn.XLOOKUP($A425,'RAWDATA Cars Buyers DB'!$A:$A,'RAWDATA Cars Buyers DB'!H:H)</f>
        <v>No</v>
      </c>
      <c r="I425" s="8" t="str">
        <f>_xlfn.XLOOKUP($A425,'RAWDATA Cars Buyers DB'!$A:$A,'RAWDATA Cars Buyers DB'!I:I)</f>
        <v>4–6 Kilometre</v>
      </c>
      <c r="J425" s="8" t="str">
        <f>_xlfn.XLOOKUP($A425,'RAWDATA Cars Buyers DB'!$A:$A,'RAWDATA Cars Buyers DB'!J:J)</f>
        <v>Schleswig-Holstein</v>
      </c>
      <c r="K425" s="8">
        <f>_xlfn.XLOOKUP($A425,'RAWDATA Cars Buyers DB'!$A:$A,'RAWDATA Cars Buyers DB'!K:K)</f>
        <v>57</v>
      </c>
      <c r="L425" s="10" t="str">
        <f>IF(_xlfn.XLOOKUP($A425,'RAWDATA Cars Buyers DB'!$A:$A,'RAWDATA Cars Buyers DB'!K:K)&gt;54,"Old ",IF(_xlfn.XLOOKUP($A425,'RAWDATA Cars Buyers DB'!$A:$A,'RAWDATA Cars Buyers DB'!K:K)&gt;=31,"Middle Age ",IF(_xlfn.XLOOKUP($A425,'RAWDATA Cars Buyers DB'!$A:$A,'RAWDATA Cars Buyers DB'!K:K)&lt;31,"Adolescent","Invalid")))</f>
        <v xml:space="preserve">Old </v>
      </c>
      <c r="M425" s="8" t="str">
        <f>_xlfn.XLOOKUP($A425,'RAWDATA Cars Buyers DB'!$A:$A,'RAWDATA Cars Buyers DB'!L:L)</f>
        <v>Yes</v>
      </c>
    </row>
    <row r="426" spans="1:13">
      <c r="A426" s="6">
        <v>56175</v>
      </c>
      <c r="B426" s="10" t="str">
        <f>IF(_xlfn.XLOOKUP($A426,'RAWDATA Cars Buyers DB'!$A:$A,'RAWDATA Cars Buyers DB'!B:B)="S","Single","Married")</f>
        <v>Single</v>
      </c>
      <c r="C426" s="10" t="str">
        <f>IF(_xlfn.XLOOKUP($A426,'RAWDATA Cars Buyers DB'!$A:$A,'RAWDATA Cars Buyers DB'!C:C)="F","Female","Male")</f>
        <v>Female</v>
      </c>
      <c r="D426" s="7">
        <f>_xlfn.XLOOKUP($A426,'RAWDATA Cars Buyers DB'!$A:$A,'RAWDATA Cars Buyers DB'!D:D)</f>
        <v>81388</v>
      </c>
      <c r="E426" s="8">
        <f>_xlfn.XLOOKUP($A426,'RAWDATA Cars Buyers DB'!$A:$A,'RAWDATA Cars Buyers DB'!E:E)</f>
        <v>5</v>
      </c>
      <c r="F426" s="8" t="str">
        <f>_xlfn.XLOOKUP($A426,'RAWDATA Cars Buyers DB'!$A:$A,'RAWDATA Cars Buyers DB'!F:F)</f>
        <v>Bachelors</v>
      </c>
      <c r="G426" s="8" t="str">
        <f>_xlfn.XLOOKUP($A426,'RAWDATA Cars Buyers DB'!$A:$A,'RAWDATA Cars Buyers DB'!G:G)</f>
        <v>Professional</v>
      </c>
      <c r="H426" s="8" t="str">
        <f>_xlfn.XLOOKUP($A426,'RAWDATA Cars Buyers DB'!$A:$A,'RAWDATA Cars Buyers DB'!H:H)</f>
        <v>Yes</v>
      </c>
      <c r="I426" s="8" t="str">
        <f>_xlfn.XLOOKUP($A426,'RAWDATA Cars Buyers DB'!$A:$A,'RAWDATA Cars Buyers DB'!I:I)</f>
        <v>6+ Kilometre</v>
      </c>
      <c r="J426" s="8" t="str">
        <f>_xlfn.XLOOKUP($A426,'RAWDATA Cars Buyers DB'!$A:$A,'RAWDATA Cars Buyers DB'!J:J)</f>
        <v>Mecklenburg-Vorpommern</v>
      </c>
      <c r="K426" s="8">
        <f>_xlfn.XLOOKUP($A426,'RAWDATA Cars Buyers DB'!$A:$A,'RAWDATA Cars Buyers DB'!K:K)</f>
        <v>43</v>
      </c>
      <c r="L426" s="10" t="str">
        <f>IF(_xlfn.XLOOKUP($A426,'RAWDATA Cars Buyers DB'!$A:$A,'RAWDATA Cars Buyers DB'!K:K)&gt;54,"Old ",IF(_xlfn.XLOOKUP($A426,'RAWDATA Cars Buyers DB'!$A:$A,'RAWDATA Cars Buyers DB'!K:K)&gt;=31,"Middle Age ",IF(_xlfn.XLOOKUP($A426,'RAWDATA Cars Buyers DB'!$A:$A,'RAWDATA Cars Buyers DB'!K:K)&lt;31,"Adolescent","Invalid")))</f>
        <v xml:space="preserve">Middle Age </v>
      </c>
      <c r="M426" s="8" t="str">
        <f>_xlfn.XLOOKUP($A426,'RAWDATA Cars Buyers DB'!$A:$A,'RAWDATA Cars Buyers DB'!L:L)</f>
        <v>Yes</v>
      </c>
    </row>
    <row r="427" spans="1:13">
      <c r="A427" s="6">
        <v>17805</v>
      </c>
      <c r="B427" s="10" t="str">
        <f>IF(_xlfn.XLOOKUP($A427,'RAWDATA Cars Buyers DB'!$A:$A,'RAWDATA Cars Buyers DB'!B:B)="S","Single","Married")</f>
        <v>Married</v>
      </c>
      <c r="C427" s="10" t="str">
        <f>IF(_xlfn.XLOOKUP($A427,'RAWDATA Cars Buyers DB'!$A:$A,'RAWDATA Cars Buyers DB'!C:C)="F","Female","Male")</f>
        <v>Female</v>
      </c>
      <c r="D427" s="7">
        <f>_xlfn.XLOOKUP($A427,'RAWDATA Cars Buyers DB'!$A:$A,'RAWDATA Cars Buyers DB'!D:D)</f>
        <v>30207</v>
      </c>
      <c r="E427" s="8">
        <f>_xlfn.XLOOKUP($A427,'RAWDATA Cars Buyers DB'!$A:$A,'RAWDATA Cars Buyers DB'!E:E)</f>
        <v>5</v>
      </c>
      <c r="F427" s="8" t="str">
        <f>_xlfn.XLOOKUP($A427,'RAWDATA Cars Buyers DB'!$A:$A,'RAWDATA Cars Buyers DB'!F:F)</f>
        <v>Bachelors</v>
      </c>
      <c r="G427" s="8" t="str">
        <f>_xlfn.XLOOKUP($A427,'RAWDATA Cars Buyers DB'!$A:$A,'RAWDATA Cars Buyers DB'!G:G)</f>
        <v>Professional</v>
      </c>
      <c r="H427" s="8" t="str">
        <f>_xlfn.XLOOKUP($A427,'RAWDATA Cars Buyers DB'!$A:$A,'RAWDATA Cars Buyers DB'!H:H)</f>
        <v>No</v>
      </c>
      <c r="I427" s="8" t="str">
        <f>_xlfn.XLOOKUP($A427,'RAWDATA Cars Buyers DB'!$A:$A,'RAWDATA Cars Buyers DB'!I:I)</f>
        <v>1–2 Kilometre</v>
      </c>
      <c r="J427" s="8" t="str">
        <f>_xlfn.XLOOKUP($A427,'RAWDATA Cars Buyers DB'!$A:$A,'RAWDATA Cars Buyers DB'!J:J)</f>
        <v>Saarland</v>
      </c>
      <c r="K427" s="8">
        <f>_xlfn.XLOOKUP($A427,'RAWDATA Cars Buyers DB'!$A:$A,'RAWDATA Cars Buyers DB'!K:K)</f>
        <v>30</v>
      </c>
      <c r="L427" s="10" t="str">
        <f>IF(_xlfn.XLOOKUP($A427,'RAWDATA Cars Buyers DB'!$A:$A,'RAWDATA Cars Buyers DB'!K:K)&gt;54,"Old ",IF(_xlfn.XLOOKUP($A427,'RAWDATA Cars Buyers DB'!$A:$A,'RAWDATA Cars Buyers DB'!K:K)&gt;=31,"Middle Age ",IF(_xlfn.XLOOKUP($A427,'RAWDATA Cars Buyers DB'!$A:$A,'RAWDATA Cars Buyers DB'!K:K)&lt;31,"Adolescent","Invalid")))</f>
        <v>Adolescent</v>
      </c>
      <c r="M427" s="8" t="str">
        <f>_xlfn.XLOOKUP($A427,'RAWDATA Cars Buyers DB'!$A:$A,'RAWDATA Cars Buyers DB'!L:L)</f>
        <v>No</v>
      </c>
    </row>
    <row r="428" spans="1:13">
      <c r="A428" s="6">
        <v>15237</v>
      </c>
      <c r="B428" s="10" t="str">
        <f>IF(_xlfn.XLOOKUP($A428,'RAWDATA Cars Buyers DB'!$A:$A,'RAWDATA Cars Buyers DB'!B:B)="S","Single","Married")</f>
        <v>Married</v>
      </c>
      <c r="C428" s="10" t="str">
        <f>IF(_xlfn.XLOOKUP($A428,'RAWDATA Cars Buyers DB'!$A:$A,'RAWDATA Cars Buyers DB'!C:C)="F","Female","Male")</f>
        <v>Female</v>
      </c>
      <c r="D428" s="7">
        <f>_xlfn.XLOOKUP($A428,'RAWDATA Cars Buyers DB'!$A:$A,'RAWDATA Cars Buyers DB'!D:D)</f>
        <v>107329</v>
      </c>
      <c r="E428" s="8">
        <f>_xlfn.XLOOKUP($A428,'RAWDATA Cars Buyers DB'!$A:$A,'RAWDATA Cars Buyers DB'!E:E)</f>
        <v>0</v>
      </c>
      <c r="F428" s="8" t="str">
        <f>_xlfn.XLOOKUP($A428,'RAWDATA Cars Buyers DB'!$A:$A,'RAWDATA Cars Buyers DB'!F:F)</f>
        <v>Graduate Degree</v>
      </c>
      <c r="G428" s="8" t="str">
        <f>_xlfn.XLOOKUP($A428,'RAWDATA Cars Buyers DB'!$A:$A,'RAWDATA Cars Buyers DB'!G:G)</f>
        <v>Clerical</v>
      </c>
      <c r="H428" s="8" t="str">
        <f>_xlfn.XLOOKUP($A428,'RAWDATA Cars Buyers DB'!$A:$A,'RAWDATA Cars Buyers DB'!H:H)</f>
        <v>Yes</v>
      </c>
      <c r="I428" s="8" t="str">
        <f>_xlfn.XLOOKUP($A428,'RAWDATA Cars Buyers DB'!$A:$A,'RAWDATA Cars Buyers DB'!I:I)</f>
        <v>6+ Kilometre</v>
      </c>
      <c r="J428" s="8" t="str">
        <f>_xlfn.XLOOKUP($A428,'RAWDATA Cars Buyers DB'!$A:$A,'RAWDATA Cars Buyers DB'!J:J)</f>
        <v>Rhineland-Palatinate</v>
      </c>
      <c r="K428" s="8">
        <f>_xlfn.XLOOKUP($A428,'RAWDATA Cars Buyers DB'!$A:$A,'RAWDATA Cars Buyers DB'!K:K)</f>
        <v>60</v>
      </c>
      <c r="L428" s="10" t="str">
        <f>IF(_xlfn.XLOOKUP($A428,'RAWDATA Cars Buyers DB'!$A:$A,'RAWDATA Cars Buyers DB'!K:K)&gt;54,"Old ",IF(_xlfn.XLOOKUP($A428,'RAWDATA Cars Buyers DB'!$A:$A,'RAWDATA Cars Buyers DB'!K:K)&gt;=31,"Middle Age ",IF(_xlfn.XLOOKUP($A428,'RAWDATA Cars Buyers DB'!$A:$A,'RAWDATA Cars Buyers DB'!K:K)&lt;31,"Adolescent","Invalid")))</f>
        <v xml:space="preserve">Old </v>
      </c>
      <c r="M428" s="8" t="str">
        <f>_xlfn.XLOOKUP($A428,'RAWDATA Cars Buyers DB'!$A:$A,'RAWDATA Cars Buyers DB'!L:L)</f>
        <v>Yes</v>
      </c>
    </row>
    <row r="429" spans="1:13">
      <c r="A429" s="6">
        <v>30056</v>
      </c>
      <c r="B429" s="10" t="str">
        <f>IF(_xlfn.XLOOKUP($A429,'RAWDATA Cars Buyers DB'!$A:$A,'RAWDATA Cars Buyers DB'!B:B)="S","Single","Married")</f>
        <v>Married</v>
      </c>
      <c r="C429" s="10" t="str">
        <f>IF(_xlfn.XLOOKUP($A429,'RAWDATA Cars Buyers DB'!$A:$A,'RAWDATA Cars Buyers DB'!C:C)="F","Female","Male")</f>
        <v>Male</v>
      </c>
      <c r="D429" s="7">
        <f>_xlfn.XLOOKUP($A429,'RAWDATA Cars Buyers DB'!$A:$A,'RAWDATA Cars Buyers DB'!D:D)</f>
        <v>87628</v>
      </c>
      <c r="E429" s="8">
        <f>_xlfn.XLOOKUP($A429,'RAWDATA Cars Buyers DB'!$A:$A,'RAWDATA Cars Buyers DB'!E:E)</f>
        <v>5</v>
      </c>
      <c r="F429" s="8" t="str">
        <f>_xlfn.XLOOKUP($A429,'RAWDATA Cars Buyers DB'!$A:$A,'RAWDATA Cars Buyers DB'!F:F)</f>
        <v>Bachelors</v>
      </c>
      <c r="G429" s="8" t="str">
        <f>_xlfn.XLOOKUP($A429,'RAWDATA Cars Buyers DB'!$A:$A,'RAWDATA Cars Buyers DB'!G:G)</f>
        <v>Professional</v>
      </c>
      <c r="H429" s="8" t="str">
        <f>_xlfn.XLOOKUP($A429,'RAWDATA Cars Buyers DB'!$A:$A,'RAWDATA Cars Buyers DB'!H:H)</f>
        <v>No</v>
      </c>
      <c r="I429" s="8" t="str">
        <f>_xlfn.XLOOKUP($A429,'RAWDATA Cars Buyers DB'!$A:$A,'RAWDATA Cars Buyers DB'!I:I)</f>
        <v>0–1 Kilometre</v>
      </c>
      <c r="J429" s="8" t="str">
        <f>_xlfn.XLOOKUP($A429,'RAWDATA Cars Buyers DB'!$A:$A,'RAWDATA Cars Buyers DB'!J:J)</f>
        <v>Lower Saxony</v>
      </c>
      <c r="K429" s="8">
        <f>_xlfn.XLOOKUP($A429,'RAWDATA Cars Buyers DB'!$A:$A,'RAWDATA Cars Buyers DB'!K:K)</f>
        <v>48</v>
      </c>
      <c r="L429" s="10" t="str">
        <f>IF(_xlfn.XLOOKUP($A429,'RAWDATA Cars Buyers DB'!$A:$A,'RAWDATA Cars Buyers DB'!K:K)&gt;54,"Old ",IF(_xlfn.XLOOKUP($A429,'RAWDATA Cars Buyers DB'!$A:$A,'RAWDATA Cars Buyers DB'!K:K)&gt;=31,"Middle Age ",IF(_xlfn.XLOOKUP($A429,'RAWDATA Cars Buyers DB'!$A:$A,'RAWDATA Cars Buyers DB'!K:K)&lt;31,"Adolescent","Invalid")))</f>
        <v xml:space="preserve">Middle Age </v>
      </c>
      <c r="M429" s="8" t="str">
        <f>_xlfn.XLOOKUP($A429,'RAWDATA Cars Buyers DB'!$A:$A,'RAWDATA Cars Buyers DB'!L:L)</f>
        <v>No</v>
      </c>
    </row>
    <row r="430" spans="1:13">
      <c r="A430" s="6">
        <v>55543</v>
      </c>
      <c r="B430" s="10" t="str">
        <f>IF(_xlfn.XLOOKUP($A430,'RAWDATA Cars Buyers DB'!$A:$A,'RAWDATA Cars Buyers DB'!B:B)="S","Single","Married")</f>
        <v>Single</v>
      </c>
      <c r="C430" s="10" t="str">
        <f>IF(_xlfn.XLOOKUP($A430,'RAWDATA Cars Buyers DB'!$A:$A,'RAWDATA Cars Buyers DB'!C:C)="F","Female","Male")</f>
        <v>Male</v>
      </c>
      <c r="D430" s="7">
        <f>_xlfn.XLOOKUP($A430,'RAWDATA Cars Buyers DB'!$A:$A,'RAWDATA Cars Buyers DB'!D:D)</f>
        <v>48220</v>
      </c>
      <c r="E430" s="8">
        <f>_xlfn.XLOOKUP($A430,'RAWDATA Cars Buyers DB'!$A:$A,'RAWDATA Cars Buyers DB'!E:E)</f>
        <v>0</v>
      </c>
      <c r="F430" s="8" t="str">
        <f>_xlfn.XLOOKUP($A430,'RAWDATA Cars Buyers DB'!$A:$A,'RAWDATA Cars Buyers DB'!F:F)</f>
        <v>High School</v>
      </c>
      <c r="G430" s="8" t="str">
        <f>_xlfn.XLOOKUP($A430,'RAWDATA Cars Buyers DB'!$A:$A,'RAWDATA Cars Buyers DB'!G:G)</f>
        <v>Professional</v>
      </c>
      <c r="H430" s="8" t="str">
        <f>_xlfn.XLOOKUP($A430,'RAWDATA Cars Buyers DB'!$A:$A,'RAWDATA Cars Buyers DB'!H:H)</f>
        <v>No</v>
      </c>
      <c r="I430" s="8" t="str">
        <f>_xlfn.XLOOKUP($A430,'RAWDATA Cars Buyers DB'!$A:$A,'RAWDATA Cars Buyers DB'!I:I)</f>
        <v>2–4 Kilometre</v>
      </c>
      <c r="J430" s="8" t="str">
        <f>_xlfn.XLOOKUP($A430,'RAWDATA Cars Buyers DB'!$A:$A,'RAWDATA Cars Buyers DB'!J:J)</f>
        <v>Bavaria</v>
      </c>
      <c r="K430" s="8">
        <f>_xlfn.XLOOKUP($A430,'RAWDATA Cars Buyers DB'!$A:$A,'RAWDATA Cars Buyers DB'!K:K)</f>
        <v>66</v>
      </c>
      <c r="L430" s="10" t="str">
        <f>IF(_xlfn.XLOOKUP($A430,'RAWDATA Cars Buyers DB'!$A:$A,'RAWDATA Cars Buyers DB'!K:K)&gt;54,"Old ",IF(_xlfn.XLOOKUP($A430,'RAWDATA Cars Buyers DB'!$A:$A,'RAWDATA Cars Buyers DB'!K:K)&gt;=31,"Middle Age ",IF(_xlfn.XLOOKUP($A430,'RAWDATA Cars Buyers DB'!$A:$A,'RAWDATA Cars Buyers DB'!K:K)&lt;31,"Adolescent","Invalid")))</f>
        <v xml:space="preserve">Old </v>
      </c>
      <c r="M430" s="8" t="str">
        <f>_xlfn.XLOOKUP($A430,'RAWDATA Cars Buyers DB'!$A:$A,'RAWDATA Cars Buyers DB'!L:L)</f>
        <v>Yes</v>
      </c>
    </row>
    <row r="431" spans="1:13">
      <c r="A431" s="6">
        <v>66556</v>
      </c>
      <c r="B431" s="10" t="str">
        <f>IF(_xlfn.XLOOKUP($A431,'RAWDATA Cars Buyers DB'!$A:$A,'RAWDATA Cars Buyers DB'!B:B)="S","Single","Married")</f>
        <v>Married</v>
      </c>
      <c r="C431" s="10" t="str">
        <f>IF(_xlfn.XLOOKUP($A431,'RAWDATA Cars Buyers DB'!$A:$A,'RAWDATA Cars Buyers DB'!C:C)="F","Female","Male")</f>
        <v>Female</v>
      </c>
      <c r="D431" s="7">
        <f>_xlfn.XLOOKUP($A431,'RAWDATA Cars Buyers DB'!$A:$A,'RAWDATA Cars Buyers DB'!D:D)</f>
        <v>104050</v>
      </c>
      <c r="E431" s="8">
        <f>_xlfn.XLOOKUP($A431,'RAWDATA Cars Buyers DB'!$A:$A,'RAWDATA Cars Buyers DB'!E:E)</f>
        <v>5</v>
      </c>
      <c r="F431" s="8" t="str">
        <f>_xlfn.XLOOKUP($A431,'RAWDATA Cars Buyers DB'!$A:$A,'RAWDATA Cars Buyers DB'!F:F)</f>
        <v>Bachelors</v>
      </c>
      <c r="G431" s="8" t="str">
        <f>_xlfn.XLOOKUP($A431,'RAWDATA Cars Buyers DB'!$A:$A,'RAWDATA Cars Buyers DB'!G:G)</f>
        <v>Professional</v>
      </c>
      <c r="H431" s="8" t="str">
        <f>_xlfn.XLOOKUP($A431,'RAWDATA Cars Buyers DB'!$A:$A,'RAWDATA Cars Buyers DB'!H:H)</f>
        <v>Yes</v>
      </c>
      <c r="I431" s="8" t="str">
        <f>_xlfn.XLOOKUP($A431,'RAWDATA Cars Buyers DB'!$A:$A,'RAWDATA Cars Buyers DB'!I:I)</f>
        <v>4–6 Kilometre</v>
      </c>
      <c r="J431" s="8" t="str">
        <f>_xlfn.XLOOKUP($A431,'RAWDATA Cars Buyers DB'!$A:$A,'RAWDATA Cars Buyers DB'!J:J)</f>
        <v>Bavaria</v>
      </c>
      <c r="K431" s="8">
        <f>_xlfn.XLOOKUP($A431,'RAWDATA Cars Buyers DB'!$A:$A,'RAWDATA Cars Buyers DB'!K:K)</f>
        <v>22</v>
      </c>
      <c r="L431" s="10" t="str">
        <f>IF(_xlfn.XLOOKUP($A431,'RAWDATA Cars Buyers DB'!$A:$A,'RAWDATA Cars Buyers DB'!K:K)&gt;54,"Old ",IF(_xlfn.XLOOKUP($A431,'RAWDATA Cars Buyers DB'!$A:$A,'RAWDATA Cars Buyers DB'!K:K)&gt;=31,"Middle Age ",IF(_xlfn.XLOOKUP($A431,'RAWDATA Cars Buyers DB'!$A:$A,'RAWDATA Cars Buyers DB'!K:K)&lt;31,"Adolescent","Invalid")))</f>
        <v>Adolescent</v>
      </c>
      <c r="M431" s="8" t="str">
        <f>_xlfn.XLOOKUP($A431,'RAWDATA Cars Buyers DB'!$A:$A,'RAWDATA Cars Buyers DB'!L:L)</f>
        <v>Yes</v>
      </c>
    </row>
    <row r="432" spans="1:13">
      <c r="A432" s="6">
        <v>13343</v>
      </c>
      <c r="B432" s="10" t="str">
        <f>IF(_xlfn.XLOOKUP($A432,'RAWDATA Cars Buyers DB'!$A:$A,'RAWDATA Cars Buyers DB'!B:B)="S","Single","Married")</f>
        <v>Married</v>
      </c>
      <c r="C432" s="10" t="str">
        <f>IF(_xlfn.XLOOKUP($A432,'RAWDATA Cars Buyers DB'!$A:$A,'RAWDATA Cars Buyers DB'!C:C)="F","Female","Male")</f>
        <v>Male</v>
      </c>
      <c r="D432" s="7">
        <f>_xlfn.XLOOKUP($A432,'RAWDATA Cars Buyers DB'!$A:$A,'RAWDATA Cars Buyers DB'!D:D)</f>
        <v>94085</v>
      </c>
      <c r="E432" s="8">
        <f>_xlfn.XLOOKUP($A432,'RAWDATA Cars Buyers DB'!$A:$A,'RAWDATA Cars Buyers DB'!E:E)</f>
        <v>2</v>
      </c>
      <c r="F432" s="8" t="str">
        <f>_xlfn.XLOOKUP($A432,'RAWDATA Cars Buyers DB'!$A:$A,'RAWDATA Cars Buyers DB'!F:F)</f>
        <v>Bachelors</v>
      </c>
      <c r="G432" s="8" t="str">
        <f>_xlfn.XLOOKUP($A432,'RAWDATA Cars Buyers DB'!$A:$A,'RAWDATA Cars Buyers DB'!G:G)</f>
        <v>Professional</v>
      </c>
      <c r="H432" s="8" t="str">
        <f>_xlfn.XLOOKUP($A432,'RAWDATA Cars Buyers DB'!$A:$A,'RAWDATA Cars Buyers DB'!H:H)</f>
        <v>No</v>
      </c>
      <c r="I432" s="8" t="str">
        <f>_xlfn.XLOOKUP($A432,'RAWDATA Cars Buyers DB'!$A:$A,'RAWDATA Cars Buyers DB'!I:I)</f>
        <v>6+ Kilometre</v>
      </c>
      <c r="J432" s="8" t="str">
        <f>_xlfn.XLOOKUP($A432,'RAWDATA Cars Buyers DB'!$A:$A,'RAWDATA Cars Buyers DB'!J:J)</f>
        <v>Saxony-Anhalt</v>
      </c>
      <c r="K432" s="8">
        <f>_xlfn.XLOOKUP($A432,'RAWDATA Cars Buyers DB'!$A:$A,'RAWDATA Cars Buyers DB'!K:K)</f>
        <v>20</v>
      </c>
      <c r="L432" s="10" t="str">
        <f>IF(_xlfn.XLOOKUP($A432,'RAWDATA Cars Buyers DB'!$A:$A,'RAWDATA Cars Buyers DB'!K:K)&gt;54,"Old ",IF(_xlfn.XLOOKUP($A432,'RAWDATA Cars Buyers DB'!$A:$A,'RAWDATA Cars Buyers DB'!K:K)&gt;=31,"Middle Age ",IF(_xlfn.XLOOKUP($A432,'RAWDATA Cars Buyers DB'!$A:$A,'RAWDATA Cars Buyers DB'!K:K)&lt;31,"Adolescent","Invalid")))</f>
        <v>Adolescent</v>
      </c>
      <c r="M432" s="8" t="str">
        <f>_xlfn.XLOOKUP($A432,'RAWDATA Cars Buyers DB'!$A:$A,'RAWDATA Cars Buyers DB'!L:L)</f>
        <v>No</v>
      </c>
    </row>
    <row r="433" spans="1:13">
      <c r="A433" s="6">
        <v>23500</v>
      </c>
      <c r="B433" s="10" t="str">
        <f>IF(_xlfn.XLOOKUP($A433,'RAWDATA Cars Buyers DB'!$A:$A,'RAWDATA Cars Buyers DB'!B:B)="S","Single","Married")</f>
        <v>Married</v>
      </c>
      <c r="C433" s="10" t="str">
        <f>IF(_xlfn.XLOOKUP($A433,'RAWDATA Cars Buyers DB'!$A:$A,'RAWDATA Cars Buyers DB'!C:C)="F","Female","Male")</f>
        <v>Male</v>
      </c>
      <c r="D433" s="7">
        <f>_xlfn.XLOOKUP($A433,'RAWDATA Cars Buyers DB'!$A:$A,'RAWDATA Cars Buyers DB'!D:D)</f>
        <v>42031</v>
      </c>
      <c r="E433" s="8">
        <f>_xlfn.XLOOKUP($A433,'RAWDATA Cars Buyers DB'!$A:$A,'RAWDATA Cars Buyers DB'!E:E)</f>
        <v>1</v>
      </c>
      <c r="F433" s="8" t="str">
        <f>_xlfn.XLOOKUP($A433,'RAWDATA Cars Buyers DB'!$A:$A,'RAWDATA Cars Buyers DB'!F:F)</f>
        <v>Graduate Degree</v>
      </c>
      <c r="G433" s="8" t="str">
        <f>_xlfn.XLOOKUP($A433,'RAWDATA Cars Buyers DB'!$A:$A,'RAWDATA Cars Buyers DB'!G:G)</f>
        <v>Skilled Manual</v>
      </c>
      <c r="H433" s="8" t="str">
        <f>_xlfn.XLOOKUP($A433,'RAWDATA Cars Buyers DB'!$A:$A,'RAWDATA Cars Buyers DB'!H:H)</f>
        <v>No</v>
      </c>
      <c r="I433" s="8" t="str">
        <f>_xlfn.XLOOKUP($A433,'RAWDATA Cars Buyers DB'!$A:$A,'RAWDATA Cars Buyers DB'!I:I)</f>
        <v>4–6 Kilometre</v>
      </c>
      <c r="J433" s="8" t="str">
        <f>_xlfn.XLOOKUP($A433,'RAWDATA Cars Buyers DB'!$A:$A,'RAWDATA Cars Buyers DB'!J:J)</f>
        <v>North Rhine-Westphalia</v>
      </c>
      <c r="K433" s="8">
        <f>_xlfn.XLOOKUP($A433,'RAWDATA Cars Buyers DB'!$A:$A,'RAWDATA Cars Buyers DB'!K:K)</f>
        <v>38</v>
      </c>
      <c r="L433" s="10" t="str">
        <f>IF(_xlfn.XLOOKUP($A433,'RAWDATA Cars Buyers DB'!$A:$A,'RAWDATA Cars Buyers DB'!K:K)&gt;54,"Old ",IF(_xlfn.XLOOKUP($A433,'RAWDATA Cars Buyers DB'!$A:$A,'RAWDATA Cars Buyers DB'!K:K)&gt;=31,"Middle Age ",IF(_xlfn.XLOOKUP($A433,'RAWDATA Cars Buyers DB'!$A:$A,'RAWDATA Cars Buyers DB'!K:K)&lt;31,"Adolescent","Invalid")))</f>
        <v xml:space="preserve">Middle Age </v>
      </c>
      <c r="M433" s="8" t="str">
        <f>_xlfn.XLOOKUP($A433,'RAWDATA Cars Buyers DB'!$A:$A,'RAWDATA Cars Buyers DB'!L:L)</f>
        <v>No</v>
      </c>
    </row>
    <row r="434" spans="1:13">
      <c r="A434" s="6">
        <v>63222</v>
      </c>
      <c r="B434" s="10" t="str">
        <f>IF(_xlfn.XLOOKUP($A434,'RAWDATA Cars Buyers DB'!$A:$A,'RAWDATA Cars Buyers DB'!B:B)="S","Single","Married")</f>
        <v>Married</v>
      </c>
      <c r="C434" s="10" t="str">
        <f>IF(_xlfn.XLOOKUP($A434,'RAWDATA Cars Buyers DB'!$A:$A,'RAWDATA Cars Buyers DB'!C:C)="F","Female","Male")</f>
        <v>Female</v>
      </c>
      <c r="D434" s="7">
        <f>_xlfn.XLOOKUP($A434,'RAWDATA Cars Buyers DB'!$A:$A,'RAWDATA Cars Buyers DB'!D:D)</f>
        <v>90721</v>
      </c>
      <c r="E434" s="8">
        <f>_xlfn.XLOOKUP($A434,'RAWDATA Cars Buyers DB'!$A:$A,'RAWDATA Cars Buyers DB'!E:E)</f>
        <v>2</v>
      </c>
      <c r="F434" s="8" t="str">
        <f>_xlfn.XLOOKUP($A434,'RAWDATA Cars Buyers DB'!$A:$A,'RAWDATA Cars Buyers DB'!F:F)</f>
        <v>Graduate Degree</v>
      </c>
      <c r="G434" s="8" t="str">
        <f>_xlfn.XLOOKUP($A434,'RAWDATA Cars Buyers DB'!$A:$A,'RAWDATA Cars Buyers DB'!G:G)</f>
        <v>Management</v>
      </c>
      <c r="H434" s="8" t="str">
        <f>_xlfn.XLOOKUP($A434,'RAWDATA Cars Buyers DB'!$A:$A,'RAWDATA Cars Buyers DB'!H:H)</f>
        <v>No</v>
      </c>
      <c r="I434" s="8" t="str">
        <f>_xlfn.XLOOKUP($A434,'RAWDATA Cars Buyers DB'!$A:$A,'RAWDATA Cars Buyers DB'!I:I)</f>
        <v>6+ Kilometre</v>
      </c>
      <c r="J434" s="8" t="str">
        <f>_xlfn.XLOOKUP($A434,'RAWDATA Cars Buyers DB'!$A:$A,'RAWDATA Cars Buyers DB'!J:J)</f>
        <v>Saxony-Anhalt</v>
      </c>
      <c r="K434" s="8">
        <f>_xlfn.XLOOKUP($A434,'RAWDATA Cars Buyers DB'!$A:$A,'RAWDATA Cars Buyers DB'!K:K)</f>
        <v>65</v>
      </c>
      <c r="L434" s="10" t="str">
        <f>IF(_xlfn.XLOOKUP($A434,'RAWDATA Cars Buyers DB'!$A:$A,'RAWDATA Cars Buyers DB'!K:K)&gt;54,"Old ",IF(_xlfn.XLOOKUP($A434,'RAWDATA Cars Buyers DB'!$A:$A,'RAWDATA Cars Buyers DB'!K:K)&gt;=31,"Middle Age ",IF(_xlfn.XLOOKUP($A434,'RAWDATA Cars Buyers DB'!$A:$A,'RAWDATA Cars Buyers DB'!K:K)&lt;31,"Adolescent","Invalid")))</f>
        <v xml:space="preserve">Old </v>
      </c>
      <c r="M434" s="8" t="str">
        <f>_xlfn.XLOOKUP($A434,'RAWDATA Cars Buyers DB'!$A:$A,'RAWDATA Cars Buyers DB'!L:L)</f>
        <v>No</v>
      </c>
    </row>
    <row r="435" spans="1:13">
      <c r="A435" s="6">
        <v>39375</v>
      </c>
      <c r="B435" s="10" t="str">
        <f>IF(_xlfn.XLOOKUP($A435,'RAWDATA Cars Buyers DB'!$A:$A,'RAWDATA Cars Buyers DB'!B:B)="S","Single","Married")</f>
        <v>Single</v>
      </c>
      <c r="C435" s="10" t="str">
        <f>IF(_xlfn.XLOOKUP($A435,'RAWDATA Cars Buyers DB'!$A:$A,'RAWDATA Cars Buyers DB'!C:C)="F","Female","Male")</f>
        <v>Male</v>
      </c>
      <c r="D435" s="7">
        <f>_xlfn.XLOOKUP($A435,'RAWDATA Cars Buyers DB'!$A:$A,'RAWDATA Cars Buyers DB'!D:D)</f>
        <v>100807</v>
      </c>
      <c r="E435" s="8">
        <f>_xlfn.XLOOKUP($A435,'RAWDATA Cars Buyers DB'!$A:$A,'RAWDATA Cars Buyers DB'!E:E)</f>
        <v>5</v>
      </c>
      <c r="F435" s="8" t="str">
        <f>_xlfn.XLOOKUP($A435,'RAWDATA Cars Buyers DB'!$A:$A,'RAWDATA Cars Buyers DB'!F:F)</f>
        <v>Bachelors</v>
      </c>
      <c r="G435" s="8" t="str">
        <f>_xlfn.XLOOKUP($A435,'RAWDATA Cars Buyers DB'!$A:$A,'RAWDATA Cars Buyers DB'!G:G)</f>
        <v>Clerical</v>
      </c>
      <c r="H435" s="8" t="str">
        <f>_xlfn.XLOOKUP($A435,'RAWDATA Cars Buyers DB'!$A:$A,'RAWDATA Cars Buyers DB'!H:H)</f>
        <v>Yes</v>
      </c>
      <c r="I435" s="8" t="str">
        <f>_xlfn.XLOOKUP($A435,'RAWDATA Cars Buyers DB'!$A:$A,'RAWDATA Cars Buyers DB'!I:I)</f>
        <v>0–1 Kilometre</v>
      </c>
      <c r="J435" s="8" t="str">
        <f>_xlfn.XLOOKUP($A435,'RAWDATA Cars Buyers DB'!$A:$A,'RAWDATA Cars Buyers DB'!J:J)</f>
        <v>Rhineland-Palatinate</v>
      </c>
      <c r="K435" s="8">
        <f>_xlfn.XLOOKUP($A435,'RAWDATA Cars Buyers DB'!$A:$A,'RAWDATA Cars Buyers DB'!K:K)</f>
        <v>68</v>
      </c>
      <c r="L435" s="10" t="str">
        <f>IF(_xlfn.XLOOKUP($A435,'RAWDATA Cars Buyers DB'!$A:$A,'RAWDATA Cars Buyers DB'!K:K)&gt;54,"Old ",IF(_xlfn.XLOOKUP($A435,'RAWDATA Cars Buyers DB'!$A:$A,'RAWDATA Cars Buyers DB'!K:K)&gt;=31,"Middle Age ",IF(_xlfn.XLOOKUP($A435,'RAWDATA Cars Buyers DB'!$A:$A,'RAWDATA Cars Buyers DB'!K:K)&lt;31,"Adolescent","Invalid")))</f>
        <v xml:space="preserve">Old </v>
      </c>
      <c r="M435" s="8" t="str">
        <f>_xlfn.XLOOKUP($A435,'RAWDATA Cars Buyers DB'!$A:$A,'RAWDATA Cars Buyers DB'!L:L)</f>
        <v>No</v>
      </c>
    </row>
    <row r="436" spans="1:13">
      <c r="A436" s="6">
        <v>19662</v>
      </c>
      <c r="B436" s="10" t="str">
        <f>IF(_xlfn.XLOOKUP($A436,'RAWDATA Cars Buyers DB'!$A:$A,'RAWDATA Cars Buyers DB'!B:B)="S","Single","Married")</f>
        <v>Married</v>
      </c>
      <c r="C436" s="10" t="str">
        <f>IF(_xlfn.XLOOKUP($A436,'RAWDATA Cars Buyers DB'!$A:$A,'RAWDATA Cars Buyers DB'!C:C)="F","Female","Male")</f>
        <v>Female</v>
      </c>
      <c r="D436" s="7">
        <f>_xlfn.XLOOKUP($A436,'RAWDATA Cars Buyers DB'!$A:$A,'RAWDATA Cars Buyers DB'!D:D)</f>
        <v>91312</v>
      </c>
      <c r="E436" s="8">
        <f>_xlfn.XLOOKUP($A436,'RAWDATA Cars Buyers DB'!$A:$A,'RAWDATA Cars Buyers DB'!E:E)</f>
        <v>1</v>
      </c>
      <c r="F436" s="8" t="str">
        <f>_xlfn.XLOOKUP($A436,'RAWDATA Cars Buyers DB'!$A:$A,'RAWDATA Cars Buyers DB'!F:F)</f>
        <v>Graduate Degree</v>
      </c>
      <c r="G436" s="8" t="str">
        <f>_xlfn.XLOOKUP($A436,'RAWDATA Cars Buyers DB'!$A:$A,'RAWDATA Cars Buyers DB'!G:G)</f>
        <v>Professional</v>
      </c>
      <c r="H436" s="8" t="str">
        <f>_xlfn.XLOOKUP($A436,'RAWDATA Cars Buyers DB'!$A:$A,'RAWDATA Cars Buyers DB'!H:H)</f>
        <v>No</v>
      </c>
      <c r="I436" s="8" t="str">
        <f>_xlfn.XLOOKUP($A436,'RAWDATA Cars Buyers DB'!$A:$A,'RAWDATA Cars Buyers DB'!I:I)</f>
        <v>1–2 Kilometre</v>
      </c>
      <c r="J436" s="8" t="str">
        <f>_xlfn.XLOOKUP($A436,'RAWDATA Cars Buyers DB'!$A:$A,'RAWDATA Cars Buyers DB'!J:J)</f>
        <v>Rhineland-Palatinate</v>
      </c>
      <c r="K436" s="8">
        <f>_xlfn.XLOOKUP($A436,'RAWDATA Cars Buyers DB'!$A:$A,'RAWDATA Cars Buyers DB'!K:K)</f>
        <v>41</v>
      </c>
      <c r="L436" s="10" t="str">
        <f>IF(_xlfn.XLOOKUP($A436,'RAWDATA Cars Buyers DB'!$A:$A,'RAWDATA Cars Buyers DB'!K:K)&gt;54,"Old ",IF(_xlfn.XLOOKUP($A436,'RAWDATA Cars Buyers DB'!$A:$A,'RAWDATA Cars Buyers DB'!K:K)&gt;=31,"Middle Age ",IF(_xlfn.XLOOKUP($A436,'RAWDATA Cars Buyers DB'!$A:$A,'RAWDATA Cars Buyers DB'!K:K)&lt;31,"Adolescent","Invalid")))</f>
        <v xml:space="preserve">Middle Age </v>
      </c>
      <c r="M436" s="8" t="str">
        <f>_xlfn.XLOOKUP($A436,'RAWDATA Cars Buyers DB'!$A:$A,'RAWDATA Cars Buyers DB'!L:L)</f>
        <v>Yes</v>
      </c>
    </row>
    <row r="437" spans="1:13">
      <c r="A437" s="6">
        <v>26964</v>
      </c>
      <c r="B437" s="10" t="str">
        <f>IF(_xlfn.XLOOKUP($A437,'RAWDATA Cars Buyers DB'!$A:$A,'RAWDATA Cars Buyers DB'!B:B)="S","Single","Married")</f>
        <v>Married</v>
      </c>
      <c r="C437" s="10" t="str">
        <f>IF(_xlfn.XLOOKUP($A437,'RAWDATA Cars Buyers DB'!$A:$A,'RAWDATA Cars Buyers DB'!C:C)="F","Female","Male")</f>
        <v>Female</v>
      </c>
      <c r="D437" s="7">
        <f>_xlfn.XLOOKUP($A437,'RAWDATA Cars Buyers DB'!$A:$A,'RAWDATA Cars Buyers DB'!D:D)</f>
        <v>79766</v>
      </c>
      <c r="E437" s="8">
        <f>_xlfn.XLOOKUP($A437,'RAWDATA Cars Buyers DB'!$A:$A,'RAWDATA Cars Buyers DB'!E:E)</f>
        <v>1</v>
      </c>
      <c r="F437" s="8" t="str">
        <f>_xlfn.XLOOKUP($A437,'RAWDATA Cars Buyers DB'!$A:$A,'RAWDATA Cars Buyers DB'!F:F)</f>
        <v>Partial College</v>
      </c>
      <c r="G437" s="8" t="str">
        <f>_xlfn.XLOOKUP($A437,'RAWDATA Cars Buyers DB'!$A:$A,'RAWDATA Cars Buyers DB'!G:G)</f>
        <v>Professional</v>
      </c>
      <c r="H437" s="8" t="str">
        <f>_xlfn.XLOOKUP($A437,'RAWDATA Cars Buyers DB'!$A:$A,'RAWDATA Cars Buyers DB'!H:H)</f>
        <v>No</v>
      </c>
      <c r="I437" s="8" t="str">
        <f>_xlfn.XLOOKUP($A437,'RAWDATA Cars Buyers DB'!$A:$A,'RAWDATA Cars Buyers DB'!I:I)</f>
        <v>4–6 Kilometre</v>
      </c>
      <c r="J437" s="8" t="str">
        <f>_xlfn.XLOOKUP($A437,'RAWDATA Cars Buyers DB'!$A:$A,'RAWDATA Cars Buyers DB'!J:J)</f>
        <v>Hesse</v>
      </c>
      <c r="K437" s="8">
        <f>_xlfn.XLOOKUP($A437,'RAWDATA Cars Buyers DB'!$A:$A,'RAWDATA Cars Buyers DB'!K:K)</f>
        <v>33</v>
      </c>
      <c r="L437" s="10" t="str">
        <f>IF(_xlfn.XLOOKUP($A437,'RAWDATA Cars Buyers DB'!$A:$A,'RAWDATA Cars Buyers DB'!K:K)&gt;54,"Old ",IF(_xlfn.XLOOKUP($A437,'RAWDATA Cars Buyers DB'!$A:$A,'RAWDATA Cars Buyers DB'!K:K)&gt;=31,"Middle Age ",IF(_xlfn.XLOOKUP($A437,'RAWDATA Cars Buyers DB'!$A:$A,'RAWDATA Cars Buyers DB'!K:K)&lt;31,"Adolescent","Invalid")))</f>
        <v xml:space="preserve">Middle Age </v>
      </c>
      <c r="M437" s="8" t="str">
        <f>_xlfn.XLOOKUP($A437,'RAWDATA Cars Buyers DB'!$A:$A,'RAWDATA Cars Buyers DB'!L:L)</f>
        <v>No</v>
      </c>
    </row>
    <row r="438" spans="1:13">
      <c r="A438" s="6">
        <v>69638</v>
      </c>
      <c r="B438" s="10" t="str">
        <f>IF(_xlfn.XLOOKUP($A438,'RAWDATA Cars Buyers DB'!$A:$A,'RAWDATA Cars Buyers DB'!B:B)="S","Single","Married")</f>
        <v>Single</v>
      </c>
      <c r="C438" s="10" t="str">
        <f>IF(_xlfn.XLOOKUP($A438,'RAWDATA Cars Buyers DB'!$A:$A,'RAWDATA Cars Buyers DB'!C:C)="F","Female","Male")</f>
        <v>Male</v>
      </c>
      <c r="D438" s="7">
        <f>_xlfn.XLOOKUP($A438,'RAWDATA Cars Buyers DB'!$A:$A,'RAWDATA Cars Buyers DB'!D:D)</f>
        <v>32449</v>
      </c>
      <c r="E438" s="8">
        <f>_xlfn.XLOOKUP($A438,'RAWDATA Cars Buyers DB'!$A:$A,'RAWDATA Cars Buyers DB'!E:E)</f>
        <v>3</v>
      </c>
      <c r="F438" s="8" t="str">
        <f>_xlfn.XLOOKUP($A438,'RAWDATA Cars Buyers DB'!$A:$A,'RAWDATA Cars Buyers DB'!F:F)</f>
        <v>Graduate Degree</v>
      </c>
      <c r="G438" s="8" t="str">
        <f>_xlfn.XLOOKUP($A438,'RAWDATA Cars Buyers DB'!$A:$A,'RAWDATA Cars Buyers DB'!G:G)</f>
        <v>Skilled Manual</v>
      </c>
      <c r="H438" s="8" t="str">
        <f>_xlfn.XLOOKUP($A438,'RAWDATA Cars Buyers DB'!$A:$A,'RAWDATA Cars Buyers DB'!H:H)</f>
        <v>Yes</v>
      </c>
      <c r="I438" s="8" t="str">
        <f>_xlfn.XLOOKUP($A438,'RAWDATA Cars Buyers DB'!$A:$A,'RAWDATA Cars Buyers DB'!I:I)</f>
        <v>4–6 Kilometre</v>
      </c>
      <c r="J438" s="8" t="str">
        <f>_xlfn.XLOOKUP($A438,'RAWDATA Cars Buyers DB'!$A:$A,'RAWDATA Cars Buyers DB'!J:J)</f>
        <v>Rhineland-Palatinate</v>
      </c>
      <c r="K438" s="8">
        <f>_xlfn.XLOOKUP($A438,'RAWDATA Cars Buyers DB'!$A:$A,'RAWDATA Cars Buyers DB'!K:K)</f>
        <v>68</v>
      </c>
      <c r="L438" s="10" t="str">
        <f>IF(_xlfn.XLOOKUP($A438,'RAWDATA Cars Buyers DB'!$A:$A,'RAWDATA Cars Buyers DB'!K:K)&gt;54,"Old ",IF(_xlfn.XLOOKUP($A438,'RAWDATA Cars Buyers DB'!$A:$A,'RAWDATA Cars Buyers DB'!K:K)&gt;=31,"Middle Age ",IF(_xlfn.XLOOKUP($A438,'RAWDATA Cars Buyers DB'!$A:$A,'RAWDATA Cars Buyers DB'!K:K)&lt;31,"Adolescent","Invalid")))</f>
        <v xml:space="preserve">Old </v>
      </c>
      <c r="M438" s="8" t="str">
        <f>_xlfn.XLOOKUP($A438,'RAWDATA Cars Buyers DB'!$A:$A,'RAWDATA Cars Buyers DB'!L:L)</f>
        <v>No</v>
      </c>
    </row>
    <row r="439" spans="1:13">
      <c r="A439" s="6">
        <v>83666</v>
      </c>
      <c r="B439" s="10" t="str">
        <f>IF(_xlfn.XLOOKUP($A439,'RAWDATA Cars Buyers DB'!$A:$A,'RAWDATA Cars Buyers DB'!B:B)="S","Single","Married")</f>
        <v>Single</v>
      </c>
      <c r="C439" s="10" t="str">
        <f>IF(_xlfn.XLOOKUP($A439,'RAWDATA Cars Buyers DB'!$A:$A,'RAWDATA Cars Buyers DB'!C:C)="F","Female","Male")</f>
        <v>Female</v>
      </c>
      <c r="D439" s="7">
        <f>_xlfn.XLOOKUP($A439,'RAWDATA Cars Buyers DB'!$A:$A,'RAWDATA Cars Buyers DB'!D:D)</f>
        <v>109833</v>
      </c>
      <c r="E439" s="8">
        <f>_xlfn.XLOOKUP($A439,'RAWDATA Cars Buyers DB'!$A:$A,'RAWDATA Cars Buyers DB'!E:E)</f>
        <v>2</v>
      </c>
      <c r="F439" s="8" t="str">
        <f>_xlfn.XLOOKUP($A439,'RAWDATA Cars Buyers DB'!$A:$A,'RAWDATA Cars Buyers DB'!F:F)</f>
        <v>Graduate Degree</v>
      </c>
      <c r="G439" s="8" t="str">
        <f>_xlfn.XLOOKUP($A439,'RAWDATA Cars Buyers DB'!$A:$A,'RAWDATA Cars Buyers DB'!G:G)</f>
        <v>Management</v>
      </c>
      <c r="H439" s="8" t="str">
        <f>_xlfn.XLOOKUP($A439,'RAWDATA Cars Buyers DB'!$A:$A,'RAWDATA Cars Buyers DB'!H:H)</f>
        <v>Yes</v>
      </c>
      <c r="I439" s="8" t="str">
        <f>_xlfn.XLOOKUP($A439,'RAWDATA Cars Buyers DB'!$A:$A,'RAWDATA Cars Buyers DB'!I:I)</f>
        <v>1–2 Kilometre</v>
      </c>
      <c r="J439" s="8" t="str">
        <f>_xlfn.XLOOKUP($A439,'RAWDATA Cars Buyers DB'!$A:$A,'RAWDATA Cars Buyers DB'!J:J)</f>
        <v>Schleswig-Holstein</v>
      </c>
      <c r="K439" s="8">
        <f>_xlfn.XLOOKUP($A439,'RAWDATA Cars Buyers DB'!$A:$A,'RAWDATA Cars Buyers DB'!K:K)</f>
        <v>33</v>
      </c>
      <c r="L439" s="10" t="str">
        <f>IF(_xlfn.XLOOKUP($A439,'RAWDATA Cars Buyers DB'!$A:$A,'RAWDATA Cars Buyers DB'!K:K)&gt;54,"Old ",IF(_xlfn.XLOOKUP($A439,'RAWDATA Cars Buyers DB'!$A:$A,'RAWDATA Cars Buyers DB'!K:K)&gt;=31,"Middle Age ",IF(_xlfn.XLOOKUP($A439,'RAWDATA Cars Buyers DB'!$A:$A,'RAWDATA Cars Buyers DB'!K:K)&lt;31,"Adolescent","Invalid")))</f>
        <v xml:space="preserve">Middle Age </v>
      </c>
      <c r="M439" s="8" t="str">
        <f>_xlfn.XLOOKUP($A439,'RAWDATA Cars Buyers DB'!$A:$A,'RAWDATA Cars Buyers DB'!L:L)</f>
        <v>Yes</v>
      </c>
    </row>
    <row r="440" spans="1:13">
      <c r="A440" s="6">
        <v>95067</v>
      </c>
      <c r="B440" s="10" t="str">
        <f>IF(_xlfn.XLOOKUP($A440,'RAWDATA Cars Buyers DB'!$A:$A,'RAWDATA Cars Buyers DB'!B:B)="S","Single","Married")</f>
        <v>Married</v>
      </c>
      <c r="C440" s="10" t="str">
        <f>IF(_xlfn.XLOOKUP($A440,'RAWDATA Cars Buyers DB'!$A:$A,'RAWDATA Cars Buyers DB'!C:C)="F","Female","Male")</f>
        <v>Female</v>
      </c>
      <c r="D440" s="7">
        <f>_xlfn.XLOOKUP($A440,'RAWDATA Cars Buyers DB'!$A:$A,'RAWDATA Cars Buyers DB'!D:D)</f>
        <v>76699</v>
      </c>
      <c r="E440" s="8">
        <f>_xlfn.XLOOKUP($A440,'RAWDATA Cars Buyers DB'!$A:$A,'RAWDATA Cars Buyers DB'!E:E)</f>
        <v>3</v>
      </c>
      <c r="F440" s="8" t="str">
        <f>_xlfn.XLOOKUP($A440,'RAWDATA Cars Buyers DB'!$A:$A,'RAWDATA Cars Buyers DB'!F:F)</f>
        <v>Graduate Degree</v>
      </c>
      <c r="G440" s="8" t="str">
        <f>_xlfn.XLOOKUP($A440,'RAWDATA Cars Buyers DB'!$A:$A,'RAWDATA Cars Buyers DB'!G:G)</f>
        <v>Professional</v>
      </c>
      <c r="H440" s="8" t="str">
        <f>_xlfn.XLOOKUP($A440,'RAWDATA Cars Buyers DB'!$A:$A,'RAWDATA Cars Buyers DB'!H:H)</f>
        <v>Yes</v>
      </c>
      <c r="I440" s="8" t="str">
        <f>_xlfn.XLOOKUP($A440,'RAWDATA Cars Buyers DB'!$A:$A,'RAWDATA Cars Buyers DB'!I:I)</f>
        <v>4–6 Kilometre</v>
      </c>
      <c r="J440" s="8" t="str">
        <f>_xlfn.XLOOKUP($A440,'RAWDATA Cars Buyers DB'!$A:$A,'RAWDATA Cars Buyers DB'!J:J)</f>
        <v>Mecklenburg-Vorpommern</v>
      </c>
      <c r="K440" s="8">
        <f>_xlfn.XLOOKUP($A440,'RAWDATA Cars Buyers DB'!$A:$A,'RAWDATA Cars Buyers DB'!K:K)</f>
        <v>63</v>
      </c>
      <c r="L440" s="10" t="str">
        <f>IF(_xlfn.XLOOKUP($A440,'RAWDATA Cars Buyers DB'!$A:$A,'RAWDATA Cars Buyers DB'!K:K)&gt;54,"Old ",IF(_xlfn.XLOOKUP($A440,'RAWDATA Cars Buyers DB'!$A:$A,'RAWDATA Cars Buyers DB'!K:K)&gt;=31,"Middle Age ",IF(_xlfn.XLOOKUP($A440,'RAWDATA Cars Buyers DB'!$A:$A,'RAWDATA Cars Buyers DB'!K:K)&lt;31,"Adolescent","Invalid")))</f>
        <v xml:space="preserve">Old </v>
      </c>
      <c r="M440" s="8" t="str">
        <f>_xlfn.XLOOKUP($A440,'RAWDATA Cars Buyers DB'!$A:$A,'RAWDATA Cars Buyers DB'!L:L)</f>
        <v>No</v>
      </c>
    </row>
    <row r="441" spans="1:13">
      <c r="A441" s="6">
        <v>77215</v>
      </c>
      <c r="B441" s="10" t="str">
        <f>IF(_xlfn.XLOOKUP($A441,'RAWDATA Cars Buyers DB'!$A:$A,'RAWDATA Cars Buyers DB'!B:B)="S","Single","Married")</f>
        <v>Single</v>
      </c>
      <c r="C441" s="10" t="str">
        <f>IF(_xlfn.XLOOKUP($A441,'RAWDATA Cars Buyers DB'!$A:$A,'RAWDATA Cars Buyers DB'!C:C)="F","Female","Male")</f>
        <v>Female</v>
      </c>
      <c r="D441" s="7">
        <f>_xlfn.XLOOKUP($A441,'RAWDATA Cars Buyers DB'!$A:$A,'RAWDATA Cars Buyers DB'!D:D)</f>
        <v>101253</v>
      </c>
      <c r="E441" s="8">
        <f>_xlfn.XLOOKUP($A441,'RAWDATA Cars Buyers DB'!$A:$A,'RAWDATA Cars Buyers DB'!E:E)</f>
        <v>1</v>
      </c>
      <c r="F441" s="8" t="str">
        <f>_xlfn.XLOOKUP($A441,'RAWDATA Cars Buyers DB'!$A:$A,'RAWDATA Cars Buyers DB'!F:F)</f>
        <v>Graduate Degree</v>
      </c>
      <c r="G441" s="8" t="str">
        <f>_xlfn.XLOOKUP($A441,'RAWDATA Cars Buyers DB'!$A:$A,'RAWDATA Cars Buyers DB'!G:G)</f>
        <v>Skilled Manual</v>
      </c>
      <c r="H441" s="8" t="str">
        <f>_xlfn.XLOOKUP($A441,'RAWDATA Cars Buyers DB'!$A:$A,'RAWDATA Cars Buyers DB'!H:H)</f>
        <v>Yes</v>
      </c>
      <c r="I441" s="8" t="str">
        <f>_xlfn.XLOOKUP($A441,'RAWDATA Cars Buyers DB'!$A:$A,'RAWDATA Cars Buyers DB'!I:I)</f>
        <v>4–6 Kilometre</v>
      </c>
      <c r="J441" s="8" t="str">
        <f>_xlfn.XLOOKUP($A441,'RAWDATA Cars Buyers DB'!$A:$A,'RAWDATA Cars Buyers DB'!J:J)</f>
        <v>Rhineland-Palatinate</v>
      </c>
      <c r="K441" s="8">
        <f>_xlfn.XLOOKUP($A441,'RAWDATA Cars Buyers DB'!$A:$A,'RAWDATA Cars Buyers DB'!K:K)</f>
        <v>35</v>
      </c>
      <c r="L441" s="10" t="str">
        <f>IF(_xlfn.XLOOKUP($A441,'RAWDATA Cars Buyers DB'!$A:$A,'RAWDATA Cars Buyers DB'!K:K)&gt;54,"Old ",IF(_xlfn.XLOOKUP($A441,'RAWDATA Cars Buyers DB'!$A:$A,'RAWDATA Cars Buyers DB'!K:K)&gt;=31,"Middle Age ",IF(_xlfn.XLOOKUP($A441,'RAWDATA Cars Buyers DB'!$A:$A,'RAWDATA Cars Buyers DB'!K:K)&lt;31,"Adolescent","Invalid")))</f>
        <v xml:space="preserve">Middle Age </v>
      </c>
      <c r="M441" s="8" t="str">
        <f>_xlfn.XLOOKUP($A441,'RAWDATA Cars Buyers DB'!$A:$A,'RAWDATA Cars Buyers DB'!L:L)</f>
        <v>No</v>
      </c>
    </row>
    <row r="442" spans="1:13">
      <c r="A442" s="6">
        <v>79042</v>
      </c>
      <c r="B442" s="10" t="str">
        <f>IF(_xlfn.XLOOKUP($A442,'RAWDATA Cars Buyers DB'!$A:$A,'RAWDATA Cars Buyers DB'!B:B)="S","Single","Married")</f>
        <v>Single</v>
      </c>
      <c r="C442" s="10" t="str">
        <f>IF(_xlfn.XLOOKUP($A442,'RAWDATA Cars Buyers DB'!$A:$A,'RAWDATA Cars Buyers DB'!C:C)="F","Female","Male")</f>
        <v>Female</v>
      </c>
      <c r="D442" s="7">
        <f>_xlfn.XLOOKUP($A442,'RAWDATA Cars Buyers DB'!$A:$A,'RAWDATA Cars Buyers DB'!D:D)</f>
        <v>66092</v>
      </c>
      <c r="E442" s="8">
        <f>_xlfn.XLOOKUP($A442,'RAWDATA Cars Buyers DB'!$A:$A,'RAWDATA Cars Buyers DB'!E:E)</f>
        <v>0</v>
      </c>
      <c r="F442" s="8" t="str">
        <f>_xlfn.XLOOKUP($A442,'RAWDATA Cars Buyers DB'!$A:$A,'RAWDATA Cars Buyers DB'!F:F)</f>
        <v>High School</v>
      </c>
      <c r="G442" s="8" t="str">
        <f>_xlfn.XLOOKUP($A442,'RAWDATA Cars Buyers DB'!$A:$A,'RAWDATA Cars Buyers DB'!G:G)</f>
        <v>Clerical</v>
      </c>
      <c r="H442" s="8" t="str">
        <f>_xlfn.XLOOKUP($A442,'RAWDATA Cars Buyers DB'!$A:$A,'RAWDATA Cars Buyers DB'!H:H)</f>
        <v>Yes</v>
      </c>
      <c r="I442" s="8" t="str">
        <f>_xlfn.XLOOKUP($A442,'RAWDATA Cars Buyers DB'!$A:$A,'RAWDATA Cars Buyers DB'!I:I)</f>
        <v>6+ Kilometre</v>
      </c>
      <c r="J442" s="8" t="str">
        <f>_xlfn.XLOOKUP($A442,'RAWDATA Cars Buyers DB'!$A:$A,'RAWDATA Cars Buyers DB'!J:J)</f>
        <v>Saxony</v>
      </c>
      <c r="K442" s="8">
        <f>_xlfn.XLOOKUP($A442,'RAWDATA Cars Buyers DB'!$A:$A,'RAWDATA Cars Buyers DB'!K:K)</f>
        <v>52</v>
      </c>
      <c r="L442" s="10" t="str">
        <f>IF(_xlfn.XLOOKUP($A442,'RAWDATA Cars Buyers DB'!$A:$A,'RAWDATA Cars Buyers DB'!K:K)&gt;54,"Old ",IF(_xlfn.XLOOKUP($A442,'RAWDATA Cars Buyers DB'!$A:$A,'RAWDATA Cars Buyers DB'!K:K)&gt;=31,"Middle Age ",IF(_xlfn.XLOOKUP($A442,'RAWDATA Cars Buyers DB'!$A:$A,'RAWDATA Cars Buyers DB'!K:K)&lt;31,"Adolescent","Invalid")))</f>
        <v xml:space="preserve">Middle Age </v>
      </c>
      <c r="M442" s="8" t="str">
        <f>_xlfn.XLOOKUP($A442,'RAWDATA Cars Buyers DB'!$A:$A,'RAWDATA Cars Buyers DB'!L:L)</f>
        <v>Yes</v>
      </c>
    </row>
    <row r="443" spans="1:13">
      <c r="A443" s="6">
        <v>23284</v>
      </c>
      <c r="B443" s="10" t="str">
        <f>IF(_xlfn.XLOOKUP($A443,'RAWDATA Cars Buyers DB'!$A:$A,'RAWDATA Cars Buyers DB'!B:B)="S","Single","Married")</f>
        <v>Married</v>
      </c>
      <c r="C443" s="10" t="str">
        <f>IF(_xlfn.XLOOKUP($A443,'RAWDATA Cars Buyers DB'!$A:$A,'RAWDATA Cars Buyers DB'!C:C)="F","Female","Male")</f>
        <v>Female</v>
      </c>
      <c r="D443" s="7">
        <f>_xlfn.XLOOKUP($A443,'RAWDATA Cars Buyers DB'!$A:$A,'RAWDATA Cars Buyers DB'!D:D)</f>
        <v>83671</v>
      </c>
      <c r="E443" s="8">
        <f>_xlfn.XLOOKUP($A443,'RAWDATA Cars Buyers DB'!$A:$A,'RAWDATA Cars Buyers DB'!E:E)</f>
        <v>1</v>
      </c>
      <c r="F443" s="8" t="str">
        <f>_xlfn.XLOOKUP($A443,'RAWDATA Cars Buyers DB'!$A:$A,'RAWDATA Cars Buyers DB'!F:F)</f>
        <v>High School</v>
      </c>
      <c r="G443" s="8" t="str">
        <f>_xlfn.XLOOKUP($A443,'RAWDATA Cars Buyers DB'!$A:$A,'RAWDATA Cars Buyers DB'!G:G)</f>
        <v>Clerical</v>
      </c>
      <c r="H443" s="8" t="str">
        <f>_xlfn.XLOOKUP($A443,'RAWDATA Cars Buyers DB'!$A:$A,'RAWDATA Cars Buyers DB'!H:H)</f>
        <v>No</v>
      </c>
      <c r="I443" s="8" t="str">
        <f>_xlfn.XLOOKUP($A443,'RAWDATA Cars Buyers DB'!$A:$A,'RAWDATA Cars Buyers DB'!I:I)</f>
        <v>6+ Kilometre</v>
      </c>
      <c r="J443" s="8" t="str">
        <f>_xlfn.XLOOKUP($A443,'RAWDATA Cars Buyers DB'!$A:$A,'RAWDATA Cars Buyers DB'!J:J)</f>
        <v>Thuringia</v>
      </c>
      <c r="K443" s="8">
        <f>_xlfn.XLOOKUP($A443,'RAWDATA Cars Buyers DB'!$A:$A,'RAWDATA Cars Buyers DB'!K:K)</f>
        <v>32</v>
      </c>
      <c r="L443" s="10" t="str">
        <f>IF(_xlfn.XLOOKUP($A443,'RAWDATA Cars Buyers DB'!$A:$A,'RAWDATA Cars Buyers DB'!K:K)&gt;54,"Old ",IF(_xlfn.XLOOKUP($A443,'RAWDATA Cars Buyers DB'!$A:$A,'RAWDATA Cars Buyers DB'!K:K)&gt;=31,"Middle Age ",IF(_xlfn.XLOOKUP($A443,'RAWDATA Cars Buyers DB'!$A:$A,'RAWDATA Cars Buyers DB'!K:K)&lt;31,"Adolescent","Invalid")))</f>
        <v xml:space="preserve">Middle Age </v>
      </c>
      <c r="M443" s="8" t="str">
        <f>_xlfn.XLOOKUP($A443,'RAWDATA Cars Buyers DB'!$A:$A,'RAWDATA Cars Buyers DB'!L:L)</f>
        <v>Yes</v>
      </c>
    </row>
    <row r="444" spans="1:13">
      <c r="A444" s="6">
        <v>82789</v>
      </c>
      <c r="B444" s="10" t="str">
        <f>IF(_xlfn.XLOOKUP($A444,'RAWDATA Cars Buyers DB'!$A:$A,'RAWDATA Cars Buyers DB'!B:B)="S","Single","Married")</f>
        <v>Single</v>
      </c>
      <c r="C444" s="10" t="str">
        <f>IF(_xlfn.XLOOKUP($A444,'RAWDATA Cars Buyers DB'!$A:$A,'RAWDATA Cars Buyers DB'!C:C)="F","Female","Male")</f>
        <v>Male</v>
      </c>
      <c r="D444" s="7">
        <f>_xlfn.XLOOKUP($A444,'RAWDATA Cars Buyers DB'!$A:$A,'RAWDATA Cars Buyers DB'!D:D)</f>
        <v>30350</v>
      </c>
      <c r="E444" s="8">
        <f>_xlfn.XLOOKUP($A444,'RAWDATA Cars Buyers DB'!$A:$A,'RAWDATA Cars Buyers DB'!E:E)</f>
        <v>3</v>
      </c>
      <c r="F444" s="8" t="str">
        <f>_xlfn.XLOOKUP($A444,'RAWDATA Cars Buyers DB'!$A:$A,'RAWDATA Cars Buyers DB'!F:F)</f>
        <v>High School</v>
      </c>
      <c r="G444" s="8" t="str">
        <f>_xlfn.XLOOKUP($A444,'RAWDATA Cars Buyers DB'!$A:$A,'RAWDATA Cars Buyers DB'!G:G)</f>
        <v>Professional</v>
      </c>
      <c r="H444" s="8" t="str">
        <f>_xlfn.XLOOKUP($A444,'RAWDATA Cars Buyers DB'!$A:$A,'RAWDATA Cars Buyers DB'!H:H)</f>
        <v>No</v>
      </c>
      <c r="I444" s="8" t="str">
        <f>_xlfn.XLOOKUP($A444,'RAWDATA Cars Buyers DB'!$A:$A,'RAWDATA Cars Buyers DB'!I:I)</f>
        <v>1–2 Kilometre</v>
      </c>
      <c r="J444" s="8" t="str">
        <f>_xlfn.XLOOKUP($A444,'RAWDATA Cars Buyers DB'!$A:$A,'RAWDATA Cars Buyers DB'!J:J)</f>
        <v>Hesse</v>
      </c>
      <c r="K444" s="8">
        <f>_xlfn.XLOOKUP($A444,'RAWDATA Cars Buyers DB'!$A:$A,'RAWDATA Cars Buyers DB'!K:K)</f>
        <v>57</v>
      </c>
      <c r="L444" s="10" t="str">
        <f>IF(_xlfn.XLOOKUP($A444,'RAWDATA Cars Buyers DB'!$A:$A,'RAWDATA Cars Buyers DB'!K:K)&gt;54,"Old ",IF(_xlfn.XLOOKUP($A444,'RAWDATA Cars Buyers DB'!$A:$A,'RAWDATA Cars Buyers DB'!K:K)&gt;=31,"Middle Age ",IF(_xlfn.XLOOKUP($A444,'RAWDATA Cars Buyers DB'!$A:$A,'RAWDATA Cars Buyers DB'!K:K)&lt;31,"Adolescent","Invalid")))</f>
        <v xml:space="preserve">Old </v>
      </c>
      <c r="M444" s="8" t="str">
        <f>_xlfn.XLOOKUP($A444,'RAWDATA Cars Buyers DB'!$A:$A,'RAWDATA Cars Buyers DB'!L:L)</f>
        <v>Yes</v>
      </c>
    </row>
    <row r="445" spans="1:13">
      <c r="A445" s="6">
        <v>94664</v>
      </c>
      <c r="B445" s="10" t="str">
        <f>IF(_xlfn.XLOOKUP($A445,'RAWDATA Cars Buyers DB'!$A:$A,'RAWDATA Cars Buyers DB'!B:B)="S","Single","Married")</f>
        <v>Single</v>
      </c>
      <c r="C445" s="10" t="str">
        <f>IF(_xlfn.XLOOKUP($A445,'RAWDATA Cars Buyers DB'!$A:$A,'RAWDATA Cars Buyers DB'!C:C)="F","Female","Male")</f>
        <v>Male</v>
      </c>
      <c r="D445" s="7">
        <f>_xlfn.XLOOKUP($A445,'RAWDATA Cars Buyers DB'!$A:$A,'RAWDATA Cars Buyers DB'!D:D)</f>
        <v>116158</v>
      </c>
      <c r="E445" s="8">
        <f>_xlfn.XLOOKUP($A445,'RAWDATA Cars Buyers DB'!$A:$A,'RAWDATA Cars Buyers DB'!E:E)</f>
        <v>2</v>
      </c>
      <c r="F445" s="8" t="str">
        <f>_xlfn.XLOOKUP($A445,'RAWDATA Cars Buyers DB'!$A:$A,'RAWDATA Cars Buyers DB'!F:F)</f>
        <v>Bachelors</v>
      </c>
      <c r="G445" s="8" t="str">
        <f>_xlfn.XLOOKUP($A445,'RAWDATA Cars Buyers DB'!$A:$A,'RAWDATA Cars Buyers DB'!G:G)</f>
        <v>Professional</v>
      </c>
      <c r="H445" s="8" t="str">
        <f>_xlfn.XLOOKUP($A445,'RAWDATA Cars Buyers DB'!$A:$A,'RAWDATA Cars Buyers DB'!H:H)</f>
        <v>No</v>
      </c>
      <c r="I445" s="8" t="str">
        <f>_xlfn.XLOOKUP($A445,'RAWDATA Cars Buyers DB'!$A:$A,'RAWDATA Cars Buyers DB'!I:I)</f>
        <v>0–1 Kilometre</v>
      </c>
      <c r="J445" s="8" t="str">
        <f>_xlfn.XLOOKUP($A445,'RAWDATA Cars Buyers DB'!$A:$A,'RAWDATA Cars Buyers DB'!J:J)</f>
        <v>Brandenburg</v>
      </c>
      <c r="K445" s="8">
        <f>_xlfn.XLOOKUP($A445,'RAWDATA Cars Buyers DB'!$A:$A,'RAWDATA Cars Buyers DB'!K:K)</f>
        <v>68</v>
      </c>
      <c r="L445" s="10" t="str">
        <f>IF(_xlfn.XLOOKUP($A445,'RAWDATA Cars Buyers DB'!$A:$A,'RAWDATA Cars Buyers DB'!K:K)&gt;54,"Old ",IF(_xlfn.XLOOKUP($A445,'RAWDATA Cars Buyers DB'!$A:$A,'RAWDATA Cars Buyers DB'!K:K)&gt;=31,"Middle Age ",IF(_xlfn.XLOOKUP($A445,'RAWDATA Cars Buyers DB'!$A:$A,'RAWDATA Cars Buyers DB'!K:K)&lt;31,"Adolescent","Invalid")))</f>
        <v xml:space="preserve">Old </v>
      </c>
      <c r="M445" s="8" t="str">
        <f>_xlfn.XLOOKUP($A445,'RAWDATA Cars Buyers DB'!$A:$A,'RAWDATA Cars Buyers DB'!L:L)</f>
        <v>No</v>
      </c>
    </row>
    <row r="446" spans="1:13">
      <c r="A446" s="6">
        <v>71389</v>
      </c>
      <c r="B446" s="10" t="str">
        <f>IF(_xlfn.XLOOKUP($A446,'RAWDATA Cars Buyers DB'!$A:$A,'RAWDATA Cars Buyers DB'!B:B)="S","Single","Married")</f>
        <v>Married</v>
      </c>
      <c r="C446" s="10" t="str">
        <f>IF(_xlfn.XLOOKUP($A446,'RAWDATA Cars Buyers DB'!$A:$A,'RAWDATA Cars Buyers DB'!C:C)="F","Female","Male")</f>
        <v>Female</v>
      </c>
      <c r="D446" s="7">
        <f>_xlfn.XLOOKUP($A446,'RAWDATA Cars Buyers DB'!$A:$A,'RAWDATA Cars Buyers DB'!D:D)</f>
        <v>88487</v>
      </c>
      <c r="E446" s="8">
        <f>_xlfn.XLOOKUP($A446,'RAWDATA Cars Buyers DB'!$A:$A,'RAWDATA Cars Buyers DB'!E:E)</f>
        <v>5</v>
      </c>
      <c r="F446" s="8" t="str">
        <f>_xlfn.XLOOKUP($A446,'RAWDATA Cars Buyers DB'!$A:$A,'RAWDATA Cars Buyers DB'!F:F)</f>
        <v>Bachelors</v>
      </c>
      <c r="G446" s="8" t="str">
        <f>_xlfn.XLOOKUP($A446,'RAWDATA Cars Buyers DB'!$A:$A,'RAWDATA Cars Buyers DB'!G:G)</f>
        <v>Management</v>
      </c>
      <c r="H446" s="8" t="str">
        <f>_xlfn.XLOOKUP($A446,'RAWDATA Cars Buyers DB'!$A:$A,'RAWDATA Cars Buyers DB'!H:H)</f>
        <v>Yes</v>
      </c>
      <c r="I446" s="8" t="str">
        <f>_xlfn.XLOOKUP($A446,'RAWDATA Cars Buyers DB'!$A:$A,'RAWDATA Cars Buyers DB'!I:I)</f>
        <v>4–6 Kilometre</v>
      </c>
      <c r="J446" s="8" t="str">
        <f>_xlfn.XLOOKUP($A446,'RAWDATA Cars Buyers DB'!$A:$A,'RAWDATA Cars Buyers DB'!J:J)</f>
        <v>Schleswig-Holstein</v>
      </c>
      <c r="K446" s="8">
        <f>_xlfn.XLOOKUP($A446,'RAWDATA Cars Buyers DB'!$A:$A,'RAWDATA Cars Buyers DB'!K:K)</f>
        <v>31</v>
      </c>
      <c r="L446" s="10" t="str">
        <f>IF(_xlfn.XLOOKUP($A446,'RAWDATA Cars Buyers DB'!$A:$A,'RAWDATA Cars Buyers DB'!K:K)&gt;54,"Old ",IF(_xlfn.XLOOKUP($A446,'RAWDATA Cars Buyers DB'!$A:$A,'RAWDATA Cars Buyers DB'!K:K)&gt;=31,"Middle Age ",IF(_xlfn.XLOOKUP($A446,'RAWDATA Cars Buyers DB'!$A:$A,'RAWDATA Cars Buyers DB'!K:K)&lt;31,"Adolescent","Invalid")))</f>
        <v xml:space="preserve">Middle Age </v>
      </c>
      <c r="M446" s="8" t="str">
        <f>_xlfn.XLOOKUP($A446,'RAWDATA Cars Buyers DB'!$A:$A,'RAWDATA Cars Buyers DB'!L:L)</f>
        <v>Yes</v>
      </c>
    </row>
    <row r="447" spans="1:13">
      <c r="A447" s="6">
        <v>19435</v>
      </c>
      <c r="B447" s="10" t="str">
        <f>IF(_xlfn.XLOOKUP($A447,'RAWDATA Cars Buyers DB'!$A:$A,'RAWDATA Cars Buyers DB'!B:B)="S","Single","Married")</f>
        <v>Married</v>
      </c>
      <c r="C447" s="10" t="str">
        <f>IF(_xlfn.XLOOKUP($A447,'RAWDATA Cars Buyers DB'!$A:$A,'RAWDATA Cars Buyers DB'!C:C)="F","Female","Male")</f>
        <v>Female</v>
      </c>
      <c r="D447" s="7">
        <f>_xlfn.XLOOKUP($A447,'RAWDATA Cars Buyers DB'!$A:$A,'RAWDATA Cars Buyers DB'!D:D)</f>
        <v>37622</v>
      </c>
      <c r="E447" s="8">
        <f>_xlfn.XLOOKUP($A447,'RAWDATA Cars Buyers DB'!$A:$A,'RAWDATA Cars Buyers DB'!E:E)</f>
        <v>5</v>
      </c>
      <c r="F447" s="8" t="str">
        <f>_xlfn.XLOOKUP($A447,'RAWDATA Cars Buyers DB'!$A:$A,'RAWDATA Cars Buyers DB'!F:F)</f>
        <v>Partial College</v>
      </c>
      <c r="G447" s="8" t="str">
        <f>_xlfn.XLOOKUP($A447,'RAWDATA Cars Buyers DB'!$A:$A,'RAWDATA Cars Buyers DB'!G:G)</f>
        <v>Management</v>
      </c>
      <c r="H447" s="8" t="str">
        <f>_xlfn.XLOOKUP($A447,'RAWDATA Cars Buyers DB'!$A:$A,'RAWDATA Cars Buyers DB'!H:H)</f>
        <v>No</v>
      </c>
      <c r="I447" s="8" t="str">
        <f>_xlfn.XLOOKUP($A447,'RAWDATA Cars Buyers DB'!$A:$A,'RAWDATA Cars Buyers DB'!I:I)</f>
        <v>0–1 Kilometre</v>
      </c>
      <c r="J447" s="8" t="str">
        <f>_xlfn.XLOOKUP($A447,'RAWDATA Cars Buyers DB'!$A:$A,'RAWDATA Cars Buyers DB'!J:J)</f>
        <v>North Rhine-Westphalia</v>
      </c>
      <c r="K447" s="8">
        <f>_xlfn.XLOOKUP($A447,'RAWDATA Cars Buyers DB'!$A:$A,'RAWDATA Cars Buyers DB'!K:K)</f>
        <v>57</v>
      </c>
      <c r="L447" s="10" t="str">
        <f>IF(_xlfn.XLOOKUP($A447,'RAWDATA Cars Buyers DB'!$A:$A,'RAWDATA Cars Buyers DB'!K:K)&gt;54,"Old ",IF(_xlfn.XLOOKUP($A447,'RAWDATA Cars Buyers DB'!$A:$A,'RAWDATA Cars Buyers DB'!K:K)&gt;=31,"Middle Age ",IF(_xlfn.XLOOKUP($A447,'RAWDATA Cars Buyers DB'!$A:$A,'RAWDATA Cars Buyers DB'!K:K)&lt;31,"Adolescent","Invalid")))</f>
        <v xml:space="preserve">Old </v>
      </c>
      <c r="M447" s="8" t="str">
        <f>_xlfn.XLOOKUP($A447,'RAWDATA Cars Buyers DB'!$A:$A,'RAWDATA Cars Buyers DB'!L:L)</f>
        <v>Yes</v>
      </c>
    </row>
    <row r="448" spans="1:13">
      <c r="A448" s="6">
        <v>64340</v>
      </c>
      <c r="B448" s="10" t="str">
        <f>IF(_xlfn.XLOOKUP($A448,'RAWDATA Cars Buyers DB'!$A:$A,'RAWDATA Cars Buyers DB'!B:B)="S","Single","Married")</f>
        <v>Married</v>
      </c>
      <c r="C448" s="10" t="str">
        <f>IF(_xlfn.XLOOKUP($A448,'RAWDATA Cars Buyers DB'!$A:$A,'RAWDATA Cars Buyers DB'!C:C)="F","Female","Male")</f>
        <v>Male</v>
      </c>
      <c r="D448" s="7">
        <f>_xlfn.XLOOKUP($A448,'RAWDATA Cars Buyers DB'!$A:$A,'RAWDATA Cars Buyers DB'!D:D)</f>
        <v>90263</v>
      </c>
      <c r="E448" s="8">
        <f>_xlfn.XLOOKUP($A448,'RAWDATA Cars Buyers DB'!$A:$A,'RAWDATA Cars Buyers DB'!E:E)</f>
        <v>2</v>
      </c>
      <c r="F448" s="8" t="str">
        <f>_xlfn.XLOOKUP($A448,'RAWDATA Cars Buyers DB'!$A:$A,'RAWDATA Cars Buyers DB'!F:F)</f>
        <v>High School</v>
      </c>
      <c r="G448" s="8" t="str">
        <f>_xlfn.XLOOKUP($A448,'RAWDATA Cars Buyers DB'!$A:$A,'RAWDATA Cars Buyers DB'!G:G)</f>
        <v>Professional</v>
      </c>
      <c r="H448" s="8" t="str">
        <f>_xlfn.XLOOKUP($A448,'RAWDATA Cars Buyers DB'!$A:$A,'RAWDATA Cars Buyers DB'!H:H)</f>
        <v>Yes</v>
      </c>
      <c r="I448" s="8" t="str">
        <f>_xlfn.XLOOKUP($A448,'RAWDATA Cars Buyers DB'!$A:$A,'RAWDATA Cars Buyers DB'!I:I)</f>
        <v>1–2 Kilometre</v>
      </c>
      <c r="J448" s="8" t="str">
        <f>_xlfn.XLOOKUP($A448,'RAWDATA Cars Buyers DB'!$A:$A,'RAWDATA Cars Buyers DB'!J:J)</f>
        <v>Brandenburg</v>
      </c>
      <c r="K448" s="8">
        <f>_xlfn.XLOOKUP($A448,'RAWDATA Cars Buyers DB'!$A:$A,'RAWDATA Cars Buyers DB'!K:K)</f>
        <v>58</v>
      </c>
      <c r="L448" s="10" t="str">
        <f>IF(_xlfn.XLOOKUP($A448,'RAWDATA Cars Buyers DB'!$A:$A,'RAWDATA Cars Buyers DB'!K:K)&gt;54,"Old ",IF(_xlfn.XLOOKUP($A448,'RAWDATA Cars Buyers DB'!$A:$A,'RAWDATA Cars Buyers DB'!K:K)&gt;=31,"Middle Age ",IF(_xlfn.XLOOKUP($A448,'RAWDATA Cars Buyers DB'!$A:$A,'RAWDATA Cars Buyers DB'!K:K)&lt;31,"Adolescent","Invalid")))</f>
        <v xml:space="preserve">Old </v>
      </c>
      <c r="M448" s="8" t="str">
        <f>_xlfn.XLOOKUP($A448,'RAWDATA Cars Buyers DB'!$A:$A,'RAWDATA Cars Buyers DB'!L:L)</f>
        <v>Yes</v>
      </c>
    </row>
    <row r="449" spans="1:13">
      <c r="A449" s="6">
        <v>54078</v>
      </c>
      <c r="B449" s="10" t="str">
        <f>IF(_xlfn.XLOOKUP($A449,'RAWDATA Cars Buyers DB'!$A:$A,'RAWDATA Cars Buyers DB'!B:B)="S","Single","Married")</f>
        <v>Single</v>
      </c>
      <c r="C449" s="10" t="str">
        <f>IF(_xlfn.XLOOKUP($A449,'RAWDATA Cars Buyers DB'!$A:$A,'RAWDATA Cars Buyers DB'!C:C)="F","Female","Male")</f>
        <v>Female</v>
      </c>
      <c r="D449" s="7">
        <f>_xlfn.XLOOKUP($A449,'RAWDATA Cars Buyers DB'!$A:$A,'RAWDATA Cars Buyers DB'!D:D)</f>
        <v>73117</v>
      </c>
      <c r="E449" s="8">
        <f>_xlfn.XLOOKUP($A449,'RAWDATA Cars Buyers DB'!$A:$A,'RAWDATA Cars Buyers DB'!E:E)</f>
        <v>5</v>
      </c>
      <c r="F449" s="8" t="str">
        <f>_xlfn.XLOOKUP($A449,'RAWDATA Cars Buyers DB'!$A:$A,'RAWDATA Cars Buyers DB'!F:F)</f>
        <v>Bachelors</v>
      </c>
      <c r="G449" s="8" t="str">
        <f>_xlfn.XLOOKUP($A449,'RAWDATA Cars Buyers DB'!$A:$A,'RAWDATA Cars Buyers DB'!G:G)</f>
        <v>Skilled Manual</v>
      </c>
      <c r="H449" s="8" t="str">
        <f>_xlfn.XLOOKUP($A449,'RAWDATA Cars Buyers DB'!$A:$A,'RAWDATA Cars Buyers DB'!H:H)</f>
        <v>Yes</v>
      </c>
      <c r="I449" s="8" t="str">
        <f>_xlfn.XLOOKUP($A449,'RAWDATA Cars Buyers DB'!$A:$A,'RAWDATA Cars Buyers DB'!I:I)</f>
        <v>1–2 Kilometre</v>
      </c>
      <c r="J449" s="8" t="str">
        <f>_xlfn.XLOOKUP($A449,'RAWDATA Cars Buyers DB'!$A:$A,'RAWDATA Cars Buyers DB'!J:J)</f>
        <v>Baden-Württemberg</v>
      </c>
      <c r="K449" s="8">
        <f>_xlfn.XLOOKUP($A449,'RAWDATA Cars Buyers DB'!$A:$A,'RAWDATA Cars Buyers DB'!K:K)</f>
        <v>52</v>
      </c>
      <c r="L449" s="10" t="str">
        <f>IF(_xlfn.XLOOKUP($A449,'RAWDATA Cars Buyers DB'!$A:$A,'RAWDATA Cars Buyers DB'!K:K)&gt;54,"Old ",IF(_xlfn.XLOOKUP($A449,'RAWDATA Cars Buyers DB'!$A:$A,'RAWDATA Cars Buyers DB'!K:K)&gt;=31,"Middle Age ",IF(_xlfn.XLOOKUP($A449,'RAWDATA Cars Buyers DB'!$A:$A,'RAWDATA Cars Buyers DB'!K:K)&lt;31,"Adolescent","Invalid")))</f>
        <v xml:space="preserve">Middle Age </v>
      </c>
      <c r="M449" s="8" t="str">
        <f>_xlfn.XLOOKUP($A449,'RAWDATA Cars Buyers DB'!$A:$A,'RAWDATA Cars Buyers DB'!L:L)</f>
        <v>No</v>
      </c>
    </row>
    <row r="450" spans="1:13">
      <c r="A450" s="6">
        <v>88832</v>
      </c>
      <c r="B450" s="10" t="str">
        <f>IF(_xlfn.XLOOKUP($A450,'RAWDATA Cars Buyers DB'!$A:$A,'RAWDATA Cars Buyers DB'!B:B)="S","Single","Married")</f>
        <v>Single</v>
      </c>
      <c r="C450" s="10" t="str">
        <f>IF(_xlfn.XLOOKUP($A450,'RAWDATA Cars Buyers DB'!$A:$A,'RAWDATA Cars Buyers DB'!C:C)="F","Female","Male")</f>
        <v>Male</v>
      </c>
      <c r="D450" s="7">
        <f>_xlfn.XLOOKUP($A450,'RAWDATA Cars Buyers DB'!$A:$A,'RAWDATA Cars Buyers DB'!D:D)</f>
        <v>78394</v>
      </c>
      <c r="E450" s="8">
        <f>_xlfn.XLOOKUP($A450,'RAWDATA Cars Buyers DB'!$A:$A,'RAWDATA Cars Buyers DB'!E:E)</f>
        <v>5</v>
      </c>
      <c r="F450" s="8" t="str">
        <f>_xlfn.XLOOKUP($A450,'RAWDATA Cars Buyers DB'!$A:$A,'RAWDATA Cars Buyers DB'!F:F)</f>
        <v>Graduate Degree</v>
      </c>
      <c r="G450" s="8" t="str">
        <f>_xlfn.XLOOKUP($A450,'RAWDATA Cars Buyers DB'!$A:$A,'RAWDATA Cars Buyers DB'!G:G)</f>
        <v>Management</v>
      </c>
      <c r="H450" s="8" t="str">
        <f>_xlfn.XLOOKUP($A450,'RAWDATA Cars Buyers DB'!$A:$A,'RAWDATA Cars Buyers DB'!H:H)</f>
        <v>No</v>
      </c>
      <c r="I450" s="8" t="str">
        <f>_xlfn.XLOOKUP($A450,'RAWDATA Cars Buyers DB'!$A:$A,'RAWDATA Cars Buyers DB'!I:I)</f>
        <v>6+ Kilometre</v>
      </c>
      <c r="J450" s="8" t="str">
        <f>_xlfn.XLOOKUP($A450,'RAWDATA Cars Buyers DB'!$A:$A,'RAWDATA Cars Buyers DB'!J:J)</f>
        <v>Lower Saxony</v>
      </c>
      <c r="K450" s="8">
        <f>_xlfn.XLOOKUP($A450,'RAWDATA Cars Buyers DB'!$A:$A,'RAWDATA Cars Buyers DB'!K:K)</f>
        <v>52</v>
      </c>
      <c r="L450" s="10" t="str">
        <f>IF(_xlfn.XLOOKUP($A450,'RAWDATA Cars Buyers DB'!$A:$A,'RAWDATA Cars Buyers DB'!K:K)&gt;54,"Old ",IF(_xlfn.XLOOKUP($A450,'RAWDATA Cars Buyers DB'!$A:$A,'RAWDATA Cars Buyers DB'!K:K)&gt;=31,"Middle Age ",IF(_xlfn.XLOOKUP($A450,'RAWDATA Cars Buyers DB'!$A:$A,'RAWDATA Cars Buyers DB'!K:K)&lt;31,"Adolescent","Invalid")))</f>
        <v xml:space="preserve">Middle Age </v>
      </c>
      <c r="M450" s="8" t="str">
        <f>_xlfn.XLOOKUP($A450,'RAWDATA Cars Buyers DB'!$A:$A,'RAWDATA Cars Buyers DB'!L:L)</f>
        <v>No</v>
      </c>
    </row>
    <row r="451" spans="1:13">
      <c r="A451" s="6">
        <v>61293</v>
      </c>
      <c r="B451" s="10" t="str">
        <f>IF(_xlfn.XLOOKUP($A451,'RAWDATA Cars Buyers DB'!$A:$A,'RAWDATA Cars Buyers DB'!B:B)="S","Single","Married")</f>
        <v>Single</v>
      </c>
      <c r="C451" s="10" t="str">
        <f>IF(_xlfn.XLOOKUP($A451,'RAWDATA Cars Buyers DB'!$A:$A,'RAWDATA Cars Buyers DB'!C:C)="F","Female","Male")</f>
        <v>Female</v>
      </c>
      <c r="D451" s="7">
        <f>_xlfn.XLOOKUP($A451,'RAWDATA Cars Buyers DB'!$A:$A,'RAWDATA Cars Buyers DB'!D:D)</f>
        <v>43782</v>
      </c>
      <c r="E451" s="8">
        <f>_xlfn.XLOOKUP($A451,'RAWDATA Cars Buyers DB'!$A:$A,'RAWDATA Cars Buyers DB'!E:E)</f>
        <v>3</v>
      </c>
      <c r="F451" s="8" t="str">
        <f>_xlfn.XLOOKUP($A451,'RAWDATA Cars Buyers DB'!$A:$A,'RAWDATA Cars Buyers DB'!F:F)</f>
        <v>Graduate Degree</v>
      </c>
      <c r="G451" s="8" t="str">
        <f>_xlfn.XLOOKUP($A451,'RAWDATA Cars Buyers DB'!$A:$A,'RAWDATA Cars Buyers DB'!G:G)</f>
        <v>Professional</v>
      </c>
      <c r="H451" s="8" t="str">
        <f>_xlfn.XLOOKUP($A451,'RAWDATA Cars Buyers DB'!$A:$A,'RAWDATA Cars Buyers DB'!H:H)</f>
        <v>Yes</v>
      </c>
      <c r="I451" s="8" t="str">
        <f>_xlfn.XLOOKUP($A451,'RAWDATA Cars Buyers DB'!$A:$A,'RAWDATA Cars Buyers DB'!I:I)</f>
        <v>4–6 Kilometre</v>
      </c>
      <c r="J451" s="8" t="str">
        <f>_xlfn.XLOOKUP($A451,'RAWDATA Cars Buyers DB'!$A:$A,'RAWDATA Cars Buyers DB'!J:J)</f>
        <v>Saxony-Anhalt</v>
      </c>
      <c r="K451" s="8">
        <f>_xlfn.XLOOKUP($A451,'RAWDATA Cars Buyers DB'!$A:$A,'RAWDATA Cars Buyers DB'!K:K)</f>
        <v>48</v>
      </c>
      <c r="L451" s="10" t="str">
        <f>IF(_xlfn.XLOOKUP($A451,'RAWDATA Cars Buyers DB'!$A:$A,'RAWDATA Cars Buyers DB'!K:K)&gt;54,"Old ",IF(_xlfn.XLOOKUP($A451,'RAWDATA Cars Buyers DB'!$A:$A,'RAWDATA Cars Buyers DB'!K:K)&gt;=31,"Middle Age ",IF(_xlfn.XLOOKUP($A451,'RAWDATA Cars Buyers DB'!$A:$A,'RAWDATA Cars Buyers DB'!K:K)&lt;31,"Adolescent","Invalid")))</f>
        <v xml:space="preserve">Middle Age </v>
      </c>
      <c r="M451" s="8" t="str">
        <f>_xlfn.XLOOKUP($A451,'RAWDATA Cars Buyers DB'!$A:$A,'RAWDATA Cars Buyers DB'!L:L)</f>
        <v>No</v>
      </c>
    </row>
    <row r="452" spans="1:13">
      <c r="A452" s="6">
        <v>88781</v>
      </c>
      <c r="B452" s="10" t="str">
        <f>IF(_xlfn.XLOOKUP($A452,'RAWDATA Cars Buyers DB'!$A:$A,'RAWDATA Cars Buyers DB'!B:B)="S","Single","Married")</f>
        <v>Married</v>
      </c>
      <c r="C452" s="10" t="str">
        <f>IF(_xlfn.XLOOKUP($A452,'RAWDATA Cars Buyers DB'!$A:$A,'RAWDATA Cars Buyers DB'!C:C)="F","Female","Male")</f>
        <v>Female</v>
      </c>
      <c r="D452" s="7">
        <f>_xlfn.XLOOKUP($A452,'RAWDATA Cars Buyers DB'!$A:$A,'RAWDATA Cars Buyers DB'!D:D)</f>
        <v>48454</v>
      </c>
      <c r="E452" s="8">
        <f>_xlfn.XLOOKUP($A452,'RAWDATA Cars Buyers DB'!$A:$A,'RAWDATA Cars Buyers DB'!E:E)</f>
        <v>2</v>
      </c>
      <c r="F452" s="8" t="str">
        <f>_xlfn.XLOOKUP($A452,'RAWDATA Cars Buyers DB'!$A:$A,'RAWDATA Cars Buyers DB'!F:F)</f>
        <v>High School</v>
      </c>
      <c r="G452" s="8" t="str">
        <f>_xlfn.XLOOKUP($A452,'RAWDATA Cars Buyers DB'!$A:$A,'RAWDATA Cars Buyers DB'!G:G)</f>
        <v>Management</v>
      </c>
      <c r="H452" s="8" t="str">
        <f>_xlfn.XLOOKUP($A452,'RAWDATA Cars Buyers DB'!$A:$A,'RAWDATA Cars Buyers DB'!H:H)</f>
        <v>Yes</v>
      </c>
      <c r="I452" s="8" t="str">
        <f>_xlfn.XLOOKUP($A452,'RAWDATA Cars Buyers DB'!$A:$A,'RAWDATA Cars Buyers DB'!I:I)</f>
        <v>2–4 Kilometre</v>
      </c>
      <c r="J452" s="8" t="str">
        <f>_xlfn.XLOOKUP($A452,'RAWDATA Cars Buyers DB'!$A:$A,'RAWDATA Cars Buyers DB'!J:J)</f>
        <v>Baden-Württemberg</v>
      </c>
      <c r="K452" s="8">
        <f>_xlfn.XLOOKUP($A452,'RAWDATA Cars Buyers DB'!$A:$A,'RAWDATA Cars Buyers DB'!K:K)</f>
        <v>24</v>
      </c>
      <c r="L452" s="10" t="str">
        <f>IF(_xlfn.XLOOKUP($A452,'RAWDATA Cars Buyers DB'!$A:$A,'RAWDATA Cars Buyers DB'!K:K)&gt;54,"Old ",IF(_xlfn.XLOOKUP($A452,'RAWDATA Cars Buyers DB'!$A:$A,'RAWDATA Cars Buyers DB'!K:K)&gt;=31,"Middle Age ",IF(_xlfn.XLOOKUP($A452,'RAWDATA Cars Buyers DB'!$A:$A,'RAWDATA Cars Buyers DB'!K:K)&lt;31,"Adolescent","Invalid")))</f>
        <v>Adolescent</v>
      </c>
      <c r="M452" s="8" t="str">
        <f>_xlfn.XLOOKUP($A452,'RAWDATA Cars Buyers DB'!$A:$A,'RAWDATA Cars Buyers DB'!L:L)</f>
        <v>Yes</v>
      </c>
    </row>
    <row r="453" spans="1:13">
      <c r="A453" s="6">
        <v>70403</v>
      </c>
      <c r="B453" s="10" t="str">
        <f>IF(_xlfn.XLOOKUP($A453,'RAWDATA Cars Buyers DB'!$A:$A,'RAWDATA Cars Buyers DB'!B:B)="S","Single","Married")</f>
        <v>Single</v>
      </c>
      <c r="C453" s="10" t="str">
        <f>IF(_xlfn.XLOOKUP($A453,'RAWDATA Cars Buyers DB'!$A:$A,'RAWDATA Cars Buyers DB'!C:C)="F","Female","Male")</f>
        <v>Female</v>
      </c>
      <c r="D453" s="7">
        <f>_xlfn.XLOOKUP($A453,'RAWDATA Cars Buyers DB'!$A:$A,'RAWDATA Cars Buyers DB'!D:D)</f>
        <v>87904</v>
      </c>
      <c r="E453" s="8">
        <f>_xlfn.XLOOKUP($A453,'RAWDATA Cars Buyers DB'!$A:$A,'RAWDATA Cars Buyers DB'!E:E)</f>
        <v>4</v>
      </c>
      <c r="F453" s="8" t="str">
        <f>_xlfn.XLOOKUP($A453,'RAWDATA Cars Buyers DB'!$A:$A,'RAWDATA Cars Buyers DB'!F:F)</f>
        <v>Partial College</v>
      </c>
      <c r="G453" s="8" t="str">
        <f>_xlfn.XLOOKUP($A453,'RAWDATA Cars Buyers DB'!$A:$A,'RAWDATA Cars Buyers DB'!G:G)</f>
        <v>Professional</v>
      </c>
      <c r="H453" s="8" t="str">
        <f>_xlfn.XLOOKUP($A453,'RAWDATA Cars Buyers DB'!$A:$A,'RAWDATA Cars Buyers DB'!H:H)</f>
        <v>No</v>
      </c>
      <c r="I453" s="8" t="str">
        <f>_xlfn.XLOOKUP($A453,'RAWDATA Cars Buyers DB'!$A:$A,'RAWDATA Cars Buyers DB'!I:I)</f>
        <v>1–2 Kilometre</v>
      </c>
      <c r="J453" s="8" t="str">
        <f>_xlfn.XLOOKUP($A453,'RAWDATA Cars Buyers DB'!$A:$A,'RAWDATA Cars Buyers DB'!J:J)</f>
        <v>Saxony</v>
      </c>
      <c r="K453" s="8">
        <f>_xlfn.XLOOKUP($A453,'RAWDATA Cars Buyers DB'!$A:$A,'RAWDATA Cars Buyers DB'!K:K)</f>
        <v>25</v>
      </c>
      <c r="L453" s="10" t="str">
        <f>IF(_xlfn.XLOOKUP($A453,'RAWDATA Cars Buyers DB'!$A:$A,'RAWDATA Cars Buyers DB'!K:K)&gt;54,"Old ",IF(_xlfn.XLOOKUP($A453,'RAWDATA Cars Buyers DB'!$A:$A,'RAWDATA Cars Buyers DB'!K:K)&gt;=31,"Middle Age ",IF(_xlfn.XLOOKUP($A453,'RAWDATA Cars Buyers DB'!$A:$A,'RAWDATA Cars Buyers DB'!K:K)&lt;31,"Adolescent","Invalid")))</f>
        <v>Adolescent</v>
      </c>
      <c r="M453" s="8" t="str">
        <f>_xlfn.XLOOKUP($A453,'RAWDATA Cars Buyers DB'!$A:$A,'RAWDATA Cars Buyers DB'!L:L)</f>
        <v>No</v>
      </c>
    </row>
    <row r="454" spans="1:13">
      <c r="A454" s="6">
        <v>39124</v>
      </c>
      <c r="B454" s="10" t="str">
        <f>IF(_xlfn.XLOOKUP($A454,'RAWDATA Cars Buyers DB'!$A:$A,'RAWDATA Cars Buyers DB'!B:B)="S","Single","Married")</f>
        <v>Single</v>
      </c>
      <c r="C454" s="10" t="str">
        <f>IF(_xlfn.XLOOKUP($A454,'RAWDATA Cars Buyers DB'!$A:$A,'RAWDATA Cars Buyers DB'!C:C)="F","Female","Male")</f>
        <v>Female</v>
      </c>
      <c r="D454" s="7">
        <f>_xlfn.XLOOKUP($A454,'RAWDATA Cars Buyers DB'!$A:$A,'RAWDATA Cars Buyers DB'!D:D)</f>
        <v>35592</v>
      </c>
      <c r="E454" s="8">
        <f>_xlfn.XLOOKUP($A454,'RAWDATA Cars Buyers DB'!$A:$A,'RAWDATA Cars Buyers DB'!E:E)</f>
        <v>0</v>
      </c>
      <c r="F454" s="8" t="str">
        <f>_xlfn.XLOOKUP($A454,'RAWDATA Cars Buyers DB'!$A:$A,'RAWDATA Cars Buyers DB'!F:F)</f>
        <v>Partial College</v>
      </c>
      <c r="G454" s="8" t="str">
        <f>_xlfn.XLOOKUP($A454,'RAWDATA Cars Buyers DB'!$A:$A,'RAWDATA Cars Buyers DB'!G:G)</f>
        <v>Clerical</v>
      </c>
      <c r="H454" s="8" t="str">
        <f>_xlfn.XLOOKUP($A454,'RAWDATA Cars Buyers DB'!$A:$A,'RAWDATA Cars Buyers DB'!H:H)</f>
        <v>Yes</v>
      </c>
      <c r="I454" s="8" t="str">
        <f>_xlfn.XLOOKUP($A454,'RAWDATA Cars Buyers DB'!$A:$A,'RAWDATA Cars Buyers DB'!I:I)</f>
        <v>4–6 Kilometre</v>
      </c>
      <c r="J454" s="8" t="str">
        <f>_xlfn.XLOOKUP($A454,'RAWDATA Cars Buyers DB'!$A:$A,'RAWDATA Cars Buyers DB'!J:J)</f>
        <v>Saxony-Anhalt</v>
      </c>
      <c r="K454" s="8">
        <f>_xlfn.XLOOKUP($A454,'RAWDATA Cars Buyers DB'!$A:$A,'RAWDATA Cars Buyers DB'!K:K)</f>
        <v>50</v>
      </c>
      <c r="L454" s="10" t="str">
        <f>IF(_xlfn.XLOOKUP($A454,'RAWDATA Cars Buyers DB'!$A:$A,'RAWDATA Cars Buyers DB'!K:K)&gt;54,"Old ",IF(_xlfn.XLOOKUP($A454,'RAWDATA Cars Buyers DB'!$A:$A,'RAWDATA Cars Buyers DB'!K:K)&gt;=31,"Middle Age ",IF(_xlfn.XLOOKUP($A454,'RAWDATA Cars Buyers DB'!$A:$A,'RAWDATA Cars Buyers DB'!K:K)&lt;31,"Adolescent","Invalid")))</f>
        <v xml:space="preserve">Middle Age </v>
      </c>
      <c r="M454" s="8" t="str">
        <f>_xlfn.XLOOKUP($A454,'RAWDATA Cars Buyers DB'!$A:$A,'RAWDATA Cars Buyers DB'!L:L)</f>
        <v>No</v>
      </c>
    </row>
    <row r="455" spans="1:13">
      <c r="A455" s="6">
        <v>53919</v>
      </c>
      <c r="B455" s="10" t="str">
        <f>IF(_xlfn.XLOOKUP($A455,'RAWDATA Cars Buyers DB'!$A:$A,'RAWDATA Cars Buyers DB'!B:B)="S","Single","Married")</f>
        <v>Married</v>
      </c>
      <c r="C455" s="10" t="str">
        <f>IF(_xlfn.XLOOKUP($A455,'RAWDATA Cars Buyers DB'!$A:$A,'RAWDATA Cars Buyers DB'!C:C)="F","Female","Male")</f>
        <v>Female</v>
      </c>
      <c r="D455" s="7">
        <f>_xlfn.XLOOKUP($A455,'RAWDATA Cars Buyers DB'!$A:$A,'RAWDATA Cars Buyers DB'!D:D)</f>
        <v>42173</v>
      </c>
      <c r="E455" s="8">
        <f>_xlfn.XLOOKUP($A455,'RAWDATA Cars Buyers DB'!$A:$A,'RAWDATA Cars Buyers DB'!E:E)</f>
        <v>0</v>
      </c>
      <c r="F455" s="8" t="str">
        <f>_xlfn.XLOOKUP($A455,'RAWDATA Cars Buyers DB'!$A:$A,'RAWDATA Cars Buyers DB'!F:F)</f>
        <v>Graduate Degree</v>
      </c>
      <c r="G455" s="8" t="str">
        <f>_xlfn.XLOOKUP($A455,'RAWDATA Cars Buyers DB'!$A:$A,'RAWDATA Cars Buyers DB'!G:G)</f>
        <v>Professional</v>
      </c>
      <c r="H455" s="8" t="str">
        <f>_xlfn.XLOOKUP($A455,'RAWDATA Cars Buyers DB'!$A:$A,'RAWDATA Cars Buyers DB'!H:H)</f>
        <v>Yes</v>
      </c>
      <c r="I455" s="8" t="str">
        <f>_xlfn.XLOOKUP($A455,'RAWDATA Cars Buyers DB'!$A:$A,'RAWDATA Cars Buyers DB'!I:I)</f>
        <v>0–1 Kilometre</v>
      </c>
      <c r="J455" s="8" t="str">
        <f>_xlfn.XLOOKUP($A455,'RAWDATA Cars Buyers DB'!$A:$A,'RAWDATA Cars Buyers DB'!J:J)</f>
        <v>Hamburg</v>
      </c>
      <c r="K455" s="8">
        <f>_xlfn.XLOOKUP($A455,'RAWDATA Cars Buyers DB'!$A:$A,'RAWDATA Cars Buyers DB'!K:K)</f>
        <v>35</v>
      </c>
      <c r="L455" s="10" t="str">
        <f>IF(_xlfn.XLOOKUP($A455,'RAWDATA Cars Buyers DB'!$A:$A,'RAWDATA Cars Buyers DB'!K:K)&gt;54,"Old ",IF(_xlfn.XLOOKUP($A455,'RAWDATA Cars Buyers DB'!$A:$A,'RAWDATA Cars Buyers DB'!K:K)&gt;=31,"Middle Age ",IF(_xlfn.XLOOKUP($A455,'RAWDATA Cars Buyers DB'!$A:$A,'RAWDATA Cars Buyers DB'!K:K)&lt;31,"Adolescent","Invalid")))</f>
        <v xml:space="preserve">Middle Age </v>
      </c>
      <c r="M455" s="8" t="str">
        <f>_xlfn.XLOOKUP($A455,'RAWDATA Cars Buyers DB'!$A:$A,'RAWDATA Cars Buyers DB'!L:L)</f>
        <v>No</v>
      </c>
    </row>
    <row r="456" spans="1:13">
      <c r="A456" s="6">
        <v>45247</v>
      </c>
      <c r="B456" s="10" t="str">
        <f>IF(_xlfn.XLOOKUP($A456,'RAWDATA Cars Buyers DB'!$A:$A,'RAWDATA Cars Buyers DB'!B:B)="S","Single","Married")</f>
        <v>Married</v>
      </c>
      <c r="C456" s="10" t="str">
        <f>IF(_xlfn.XLOOKUP($A456,'RAWDATA Cars Buyers DB'!$A:$A,'RAWDATA Cars Buyers DB'!C:C)="F","Female","Male")</f>
        <v>Female</v>
      </c>
      <c r="D456" s="7">
        <f>_xlfn.XLOOKUP($A456,'RAWDATA Cars Buyers DB'!$A:$A,'RAWDATA Cars Buyers DB'!D:D)</f>
        <v>53204</v>
      </c>
      <c r="E456" s="8">
        <f>_xlfn.XLOOKUP($A456,'RAWDATA Cars Buyers DB'!$A:$A,'RAWDATA Cars Buyers DB'!E:E)</f>
        <v>5</v>
      </c>
      <c r="F456" s="8" t="str">
        <f>_xlfn.XLOOKUP($A456,'RAWDATA Cars Buyers DB'!$A:$A,'RAWDATA Cars Buyers DB'!F:F)</f>
        <v>Partial College</v>
      </c>
      <c r="G456" s="8" t="str">
        <f>_xlfn.XLOOKUP($A456,'RAWDATA Cars Buyers DB'!$A:$A,'RAWDATA Cars Buyers DB'!G:G)</f>
        <v>Clerical</v>
      </c>
      <c r="H456" s="8" t="str">
        <f>_xlfn.XLOOKUP($A456,'RAWDATA Cars Buyers DB'!$A:$A,'RAWDATA Cars Buyers DB'!H:H)</f>
        <v>No</v>
      </c>
      <c r="I456" s="8" t="str">
        <f>_xlfn.XLOOKUP($A456,'RAWDATA Cars Buyers DB'!$A:$A,'RAWDATA Cars Buyers DB'!I:I)</f>
        <v>6+ Kilometre</v>
      </c>
      <c r="J456" s="8" t="str">
        <f>_xlfn.XLOOKUP($A456,'RAWDATA Cars Buyers DB'!$A:$A,'RAWDATA Cars Buyers DB'!J:J)</f>
        <v>Brandenburg</v>
      </c>
      <c r="K456" s="8">
        <f>_xlfn.XLOOKUP($A456,'RAWDATA Cars Buyers DB'!$A:$A,'RAWDATA Cars Buyers DB'!K:K)</f>
        <v>50</v>
      </c>
      <c r="L456" s="10" t="str">
        <f>IF(_xlfn.XLOOKUP($A456,'RAWDATA Cars Buyers DB'!$A:$A,'RAWDATA Cars Buyers DB'!K:K)&gt;54,"Old ",IF(_xlfn.XLOOKUP($A456,'RAWDATA Cars Buyers DB'!$A:$A,'RAWDATA Cars Buyers DB'!K:K)&gt;=31,"Middle Age ",IF(_xlfn.XLOOKUP($A456,'RAWDATA Cars Buyers DB'!$A:$A,'RAWDATA Cars Buyers DB'!K:K)&lt;31,"Adolescent","Invalid")))</f>
        <v xml:space="preserve">Middle Age </v>
      </c>
      <c r="M456" s="8" t="str">
        <f>_xlfn.XLOOKUP($A456,'RAWDATA Cars Buyers DB'!$A:$A,'RAWDATA Cars Buyers DB'!L:L)</f>
        <v>Yes</v>
      </c>
    </row>
    <row r="457" spans="1:13">
      <c r="A457" s="6">
        <v>72752</v>
      </c>
      <c r="B457" s="10" t="str">
        <f>IF(_xlfn.XLOOKUP($A457,'RAWDATA Cars Buyers DB'!$A:$A,'RAWDATA Cars Buyers DB'!B:B)="S","Single","Married")</f>
        <v>Single</v>
      </c>
      <c r="C457" s="10" t="str">
        <f>IF(_xlfn.XLOOKUP($A457,'RAWDATA Cars Buyers DB'!$A:$A,'RAWDATA Cars Buyers DB'!C:C)="F","Female","Male")</f>
        <v>Female</v>
      </c>
      <c r="D457" s="7">
        <f>_xlfn.XLOOKUP($A457,'RAWDATA Cars Buyers DB'!$A:$A,'RAWDATA Cars Buyers DB'!D:D)</f>
        <v>55596</v>
      </c>
      <c r="E457" s="8">
        <f>_xlfn.XLOOKUP($A457,'RAWDATA Cars Buyers DB'!$A:$A,'RAWDATA Cars Buyers DB'!E:E)</f>
        <v>0</v>
      </c>
      <c r="F457" s="8" t="str">
        <f>_xlfn.XLOOKUP($A457,'RAWDATA Cars Buyers DB'!$A:$A,'RAWDATA Cars Buyers DB'!F:F)</f>
        <v>High School</v>
      </c>
      <c r="G457" s="8" t="str">
        <f>_xlfn.XLOOKUP($A457,'RAWDATA Cars Buyers DB'!$A:$A,'RAWDATA Cars Buyers DB'!G:G)</f>
        <v>Management</v>
      </c>
      <c r="H457" s="8" t="str">
        <f>_xlfn.XLOOKUP($A457,'RAWDATA Cars Buyers DB'!$A:$A,'RAWDATA Cars Buyers DB'!H:H)</f>
        <v>Yes</v>
      </c>
      <c r="I457" s="8" t="str">
        <f>_xlfn.XLOOKUP($A457,'RAWDATA Cars Buyers DB'!$A:$A,'RAWDATA Cars Buyers DB'!I:I)</f>
        <v>0–1 Kilometre</v>
      </c>
      <c r="J457" s="8" t="str">
        <f>_xlfn.XLOOKUP($A457,'RAWDATA Cars Buyers DB'!$A:$A,'RAWDATA Cars Buyers DB'!J:J)</f>
        <v>Saxony</v>
      </c>
      <c r="K457" s="8">
        <f>_xlfn.XLOOKUP($A457,'RAWDATA Cars Buyers DB'!$A:$A,'RAWDATA Cars Buyers DB'!K:K)</f>
        <v>44</v>
      </c>
      <c r="L457" s="10" t="str">
        <f>IF(_xlfn.XLOOKUP($A457,'RAWDATA Cars Buyers DB'!$A:$A,'RAWDATA Cars Buyers DB'!K:K)&gt;54,"Old ",IF(_xlfn.XLOOKUP($A457,'RAWDATA Cars Buyers DB'!$A:$A,'RAWDATA Cars Buyers DB'!K:K)&gt;=31,"Middle Age ",IF(_xlfn.XLOOKUP($A457,'RAWDATA Cars Buyers DB'!$A:$A,'RAWDATA Cars Buyers DB'!K:K)&lt;31,"Adolescent","Invalid")))</f>
        <v xml:space="preserve">Middle Age </v>
      </c>
      <c r="M457" s="8" t="str">
        <f>_xlfn.XLOOKUP($A457,'RAWDATA Cars Buyers DB'!$A:$A,'RAWDATA Cars Buyers DB'!L:L)</f>
        <v>Yes</v>
      </c>
    </row>
    <row r="458" spans="1:13">
      <c r="A458" s="6">
        <v>66573</v>
      </c>
      <c r="B458" s="10" t="str">
        <f>IF(_xlfn.XLOOKUP($A458,'RAWDATA Cars Buyers DB'!$A:$A,'RAWDATA Cars Buyers DB'!B:B)="S","Single","Married")</f>
        <v>Married</v>
      </c>
      <c r="C458" s="10" t="str">
        <f>IF(_xlfn.XLOOKUP($A458,'RAWDATA Cars Buyers DB'!$A:$A,'RAWDATA Cars Buyers DB'!C:C)="F","Female","Male")</f>
        <v>Male</v>
      </c>
      <c r="D458" s="7">
        <f>_xlfn.XLOOKUP($A458,'RAWDATA Cars Buyers DB'!$A:$A,'RAWDATA Cars Buyers DB'!D:D)</f>
        <v>54324</v>
      </c>
      <c r="E458" s="8">
        <f>_xlfn.XLOOKUP($A458,'RAWDATA Cars Buyers DB'!$A:$A,'RAWDATA Cars Buyers DB'!E:E)</f>
        <v>2</v>
      </c>
      <c r="F458" s="8" t="str">
        <f>_xlfn.XLOOKUP($A458,'RAWDATA Cars Buyers DB'!$A:$A,'RAWDATA Cars Buyers DB'!F:F)</f>
        <v>Graduate Degree</v>
      </c>
      <c r="G458" s="8" t="str">
        <f>_xlfn.XLOOKUP($A458,'RAWDATA Cars Buyers DB'!$A:$A,'RAWDATA Cars Buyers DB'!G:G)</f>
        <v>Professional</v>
      </c>
      <c r="H458" s="8" t="str">
        <f>_xlfn.XLOOKUP($A458,'RAWDATA Cars Buyers DB'!$A:$A,'RAWDATA Cars Buyers DB'!H:H)</f>
        <v>Yes</v>
      </c>
      <c r="I458" s="8" t="str">
        <f>_xlfn.XLOOKUP($A458,'RAWDATA Cars Buyers DB'!$A:$A,'RAWDATA Cars Buyers DB'!I:I)</f>
        <v>1–2 Kilometre</v>
      </c>
      <c r="J458" s="8" t="str">
        <f>_xlfn.XLOOKUP($A458,'RAWDATA Cars Buyers DB'!$A:$A,'RAWDATA Cars Buyers DB'!J:J)</f>
        <v>Mecklenburg-Vorpommern</v>
      </c>
      <c r="K458" s="8">
        <f>_xlfn.XLOOKUP($A458,'RAWDATA Cars Buyers DB'!$A:$A,'RAWDATA Cars Buyers DB'!K:K)</f>
        <v>67</v>
      </c>
      <c r="L458" s="10" t="str">
        <f>IF(_xlfn.XLOOKUP($A458,'RAWDATA Cars Buyers DB'!$A:$A,'RAWDATA Cars Buyers DB'!K:K)&gt;54,"Old ",IF(_xlfn.XLOOKUP($A458,'RAWDATA Cars Buyers DB'!$A:$A,'RAWDATA Cars Buyers DB'!K:K)&gt;=31,"Middle Age ",IF(_xlfn.XLOOKUP($A458,'RAWDATA Cars Buyers DB'!$A:$A,'RAWDATA Cars Buyers DB'!K:K)&lt;31,"Adolescent","Invalid")))</f>
        <v xml:space="preserve">Old </v>
      </c>
      <c r="M458" s="8" t="str">
        <f>_xlfn.XLOOKUP($A458,'RAWDATA Cars Buyers DB'!$A:$A,'RAWDATA Cars Buyers DB'!L:L)</f>
        <v>No</v>
      </c>
    </row>
    <row r="459" spans="1:13">
      <c r="A459" s="6">
        <v>69101</v>
      </c>
      <c r="B459" s="10" t="str">
        <f>IF(_xlfn.XLOOKUP($A459,'RAWDATA Cars Buyers DB'!$A:$A,'RAWDATA Cars Buyers DB'!B:B)="S","Single","Married")</f>
        <v>Single</v>
      </c>
      <c r="C459" s="10" t="str">
        <f>IF(_xlfn.XLOOKUP($A459,'RAWDATA Cars Buyers DB'!$A:$A,'RAWDATA Cars Buyers DB'!C:C)="F","Female","Male")</f>
        <v>Male</v>
      </c>
      <c r="D459" s="7">
        <f>_xlfn.XLOOKUP($A459,'RAWDATA Cars Buyers DB'!$A:$A,'RAWDATA Cars Buyers DB'!D:D)</f>
        <v>81202</v>
      </c>
      <c r="E459" s="8">
        <f>_xlfn.XLOOKUP($A459,'RAWDATA Cars Buyers DB'!$A:$A,'RAWDATA Cars Buyers DB'!E:E)</f>
        <v>2</v>
      </c>
      <c r="F459" s="8" t="str">
        <f>_xlfn.XLOOKUP($A459,'RAWDATA Cars Buyers DB'!$A:$A,'RAWDATA Cars Buyers DB'!F:F)</f>
        <v>Bachelors</v>
      </c>
      <c r="G459" s="8" t="str">
        <f>_xlfn.XLOOKUP($A459,'RAWDATA Cars Buyers DB'!$A:$A,'RAWDATA Cars Buyers DB'!G:G)</f>
        <v>Management</v>
      </c>
      <c r="H459" s="8" t="str">
        <f>_xlfn.XLOOKUP($A459,'RAWDATA Cars Buyers DB'!$A:$A,'RAWDATA Cars Buyers DB'!H:H)</f>
        <v>No</v>
      </c>
      <c r="I459" s="8" t="str">
        <f>_xlfn.XLOOKUP($A459,'RAWDATA Cars Buyers DB'!$A:$A,'RAWDATA Cars Buyers DB'!I:I)</f>
        <v>1–2 Kilometre</v>
      </c>
      <c r="J459" s="8" t="str">
        <f>_xlfn.XLOOKUP($A459,'RAWDATA Cars Buyers DB'!$A:$A,'RAWDATA Cars Buyers DB'!J:J)</f>
        <v>Saxony</v>
      </c>
      <c r="K459" s="8">
        <f>_xlfn.XLOOKUP($A459,'RAWDATA Cars Buyers DB'!$A:$A,'RAWDATA Cars Buyers DB'!K:K)</f>
        <v>65</v>
      </c>
      <c r="L459" s="10" t="str">
        <f>IF(_xlfn.XLOOKUP($A459,'RAWDATA Cars Buyers DB'!$A:$A,'RAWDATA Cars Buyers DB'!K:K)&gt;54,"Old ",IF(_xlfn.XLOOKUP($A459,'RAWDATA Cars Buyers DB'!$A:$A,'RAWDATA Cars Buyers DB'!K:K)&gt;=31,"Middle Age ",IF(_xlfn.XLOOKUP($A459,'RAWDATA Cars Buyers DB'!$A:$A,'RAWDATA Cars Buyers DB'!K:K)&lt;31,"Adolescent","Invalid")))</f>
        <v xml:space="preserve">Old </v>
      </c>
      <c r="M459" s="8" t="str">
        <f>_xlfn.XLOOKUP($A459,'RAWDATA Cars Buyers DB'!$A:$A,'RAWDATA Cars Buyers DB'!L:L)</f>
        <v>Yes</v>
      </c>
    </row>
    <row r="460" spans="1:13">
      <c r="A460" s="6">
        <v>36646</v>
      </c>
      <c r="B460" s="10" t="str">
        <f>IF(_xlfn.XLOOKUP($A460,'RAWDATA Cars Buyers DB'!$A:$A,'RAWDATA Cars Buyers DB'!B:B)="S","Single","Married")</f>
        <v>Married</v>
      </c>
      <c r="C460" s="10" t="str">
        <f>IF(_xlfn.XLOOKUP($A460,'RAWDATA Cars Buyers DB'!$A:$A,'RAWDATA Cars Buyers DB'!C:C)="F","Female","Male")</f>
        <v>Male</v>
      </c>
      <c r="D460" s="7">
        <f>_xlfn.XLOOKUP($A460,'RAWDATA Cars Buyers DB'!$A:$A,'RAWDATA Cars Buyers DB'!D:D)</f>
        <v>109400</v>
      </c>
      <c r="E460" s="8">
        <f>_xlfn.XLOOKUP($A460,'RAWDATA Cars Buyers DB'!$A:$A,'RAWDATA Cars Buyers DB'!E:E)</f>
        <v>1</v>
      </c>
      <c r="F460" s="8" t="str">
        <f>_xlfn.XLOOKUP($A460,'RAWDATA Cars Buyers DB'!$A:$A,'RAWDATA Cars Buyers DB'!F:F)</f>
        <v>Bachelors</v>
      </c>
      <c r="G460" s="8" t="str">
        <f>_xlfn.XLOOKUP($A460,'RAWDATA Cars Buyers DB'!$A:$A,'RAWDATA Cars Buyers DB'!G:G)</f>
        <v>Clerical</v>
      </c>
      <c r="H460" s="8" t="str">
        <f>_xlfn.XLOOKUP($A460,'RAWDATA Cars Buyers DB'!$A:$A,'RAWDATA Cars Buyers DB'!H:H)</f>
        <v>No</v>
      </c>
      <c r="I460" s="8" t="str">
        <f>_xlfn.XLOOKUP($A460,'RAWDATA Cars Buyers DB'!$A:$A,'RAWDATA Cars Buyers DB'!I:I)</f>
        <v>0–1 Kilometre</v>
      </c>
      <c r="J460" s="8" t="str">
        <f>_xlfn.XLOOKUP($A460,'RAWDATA Cars Buyers DB'!$A:$A,'RAWDATA Cars Buyers DB'!J:J)</f>
        <v>Saxony-Anhalt</v>
      </c>
      <c r="K460" s="8">
        <f>_xlfn.XLOOKUP($A460,'RAWDATA Cars Buyers DB'!$A:$A,'RAWDATA Cars Buyers DB'!K:K)</f>
        <v>52</v>
      </c>
      <c r="L460" s="10" t="str">
        <f>IF(_xlfn.XLOOKUP($A460,'RAWDATA Cars Buyers DB'!$A:$A,'RAWDATA Cars Buyers DB'!K:K)&gt;54,"Old ",IF(_xlfn.XLOOKUP($A460,'RAWDATA Cars Buyers DB'!$A:$A,'RAWDATA Cars Buyers DB'!K:K)&gt;=31,"Middle Age ",IF(_xlfn.XLOOKUP($A460,'RAWDATA Cars Buyers DB'!$A:$A,'RAWDATA Cars Buyers DB'!K:K)&lt;31,"Adolescent","Invalid")))</f>
        <v xml:space="preserve">Middle Age </v>
      </c>
      <c r="M460" s="8" t="str">
        <f>_xlfn.XLOOKUP($A460,'RAWDATA Cars Buyers DB'!$A:$A,'RAWDATA Cars Buyers DB'!L:L)</f>
        <v>No</v>
      </c>
    </row>
    <row r="461" spans="1:13">
      <c r="A461" s="6">
        <v>33049</v>
      </c>
      <c r="B461" s="10" t="str">
        <f>IF(_xlfn.XLOOKUP($A461,'RAWDATA Cars Buyers DB'!$A:$A,'RAWDATA Cars Buyers DB'!B:B)="S","Single","Married")</f>
        <v>Married</v>
      </c>
      <c r="C461" s="10" t="str">
        <f>IF(_xlfn.XLOOKUP($A461,'RAWDATA Cars Buyers DB'!$A:$A,'RAWDATA Cars Buyers DB'!C:C)="F","Female","Male")</f>
        <v>Female</v>
      </c>
      <c r="D461" s="7">
        <f>_xlfn.XLOOKUP($A461,'RAWDATA Cars Buyers DB'!$A:$A,'RAWDATA Cars Buyers DB'!D:D)</f>
        <v>50750</v>
      </c>
      <c r="E461" s="8">
        <f>_xlfn.XLOOKUP($A461,'RAWDATA Cars Buyers DB'!$A:$A,'RAWDATA Cars Buyers DB'!E:E)</f>
        <v>1</v>
      </c>
      <c r="F461" s="8" t="str">
        <f>_xlfn.XLOOKUP($A461,'RAWDATA Cars Buyers DB'!$A:$A,'RAWDATA Cars Buyers DB'!F:F)</f>
        <v>Partial College</v>
      </c>
      <c r="G461" s="8" t="str">
        <f>_xlfn.XLOOKUP($A461,'RAWDATA Cars Buyers DB'!$A:$A,'RAWDATA Cars Buyers DB'!G:G)</f>
        <v>Professional</v>
      </c>
      <c r="H461" s="8" t="str">
        <f>_xlfn.XLOOKUP($A461,'RAWDATA Cars Buyers DB'!$A:$A,'RAWDATA Cars Buyers DB'!H:H)</f>
        <v>No</v>
      </c>
      <c r="I461" s="8" t="str">
        <f>_xlfn.XLOOKUP($A461,'RAWDATA Cars Buyers DB'!$A:$A,'RAWDATA Cars Buyers DB'!I:I)</f>
        <v>1–2 Kilometre</v>
      </c>
      <c r="J461" s="8" t="str">
        <f>_xlfn.XLOOKUP($A461,'RAWDATA Cars Buyers DB'!$A:$A,'RAWDATA Cars Buyers DB'!J:J)</f>
        <v>Bremen</v>
      </c>
      <c r="K461" s="8">
        <f>_xlfn.XLOOKUP($A461,'RAWDATA Cars Buyers DB'!$A:$A,'RAWDATA Cars Buyers DB'!K:K)</f>
        <v>32</v>
      </c>
      <c r="L461" s="10" t="str">
        <f>IF(_xlfn.XLOOKUP($A461,'RAWDATA Cars Buyers DB'!$A:$A,'RAWDATA Cars Buyers DB'!K:K)&gt;54,"Old ",IF(_xlfn.XLOOKUP($A461,'RAWDATA Cars Buyers DB'!$A:$A,'RAWDATA Cars Buyers DB'!K:K)&gt;=31,"Middle Age ",IF(_xlfn.XLOOKUP($A461,'RAWDATA Cars Buyers DB'!$A:$A,'RAWDATA Cars Buyers DB'!K:K)&lt;31,"Adolescent","Invalid")))</f>
        <v xml:space="preserve">Middle Age </v>
      </c>
      <c r="M461" s="8" t="str">
        <f>_xlfn.XLOOKUP($A461,'RAWDATA Cars Buyers DB'!$A:$A,'RAWDATA Cars Buyers DB'!L:L)</f>
        <v>No</v>
      </c>
    </row>
    <row r="462" spans="1:13">
      <c r="A462" s="6">
        <v>89605</v>
      </c>
      <c r="B462" s="10" t="str">
        <f>IF(_xlfn.XLOOKUP($A462,'RAWDATA Cars Buyers DB'!$A:$A,'RAWDATA Cars Buyers DB'!B:B)="S","Single","Married")</f>
        <v>Married</v>
      </c>
      <c r="C462" s="10" t="str">
        <f>IF(_xlfn.XLOOKUP($A462,'RAWDATA Cars Buyers DB'!$A:$A,'RAWDATA Cars Buyers DB'!C:C)="F","Female","Male")</f>
        <v>Female</v>
      </c>
      <c r="D462" s="7">
        <f>_xlfn.XLOOKUP($A462,'RAWDATA Cars Buyers DB'!$A:$A,'RAWDATA Cars Buyers DB'!D:D)</f>
        <v>96112</v>
      </c>
      <c r="E462" s="8">
        <f>_xlfn.XLOOKUP($A462,'RAWDATA Cars Buyers DB'!$A:$A,'RAWDATA Cars Buyers DB'!E:E)</f>
        <v>0</v>
      </c>
      <c r="F462" s="8" t="str">
        <f>_xlfn.XLOOKUP($A462,'RAWDATA Cars Buyers DB'!$A:$A,'RAWDATA Cars Buyers DB'!F:F)</f>
        <v>Graduate Degree</v>
      </c>
      <c r="G462" s="8" t="str">
        <f>_xlfn.XLOOKUP($A462,'RAWDATA Cars Buyers DB'!$A:$A,'RAWDATA Cars Buyers DB'!G:G)</f>
        <v>Management</v>
      </c>
      <c r="H462" s="8" t="str">
        <f>_xlfn.XLOOKUP($A462,'RAWDATA Cars Buyers DB'!$A:$A,'RAWDATA Cars Buyers DB'!H:H)</f>
        <v>No</v>
      </c>
      <c r="I462" s="8" t="str">
        <f>_xlfn.XLOOKUP($A462,'RAWDATA Cars Buyers DB'!$A:$A,'RAWDATA Cars Buyers DB'!I:I)</f>
        <v>4–6 Kilometre</v>
      </c>
      <c r="J462" s="8" t="str">
        <f>_xlfn.XLOOKUP($A462,'RAWDATA Cars Buyers DB'!$A:$A,'RAWDATA Cars Buyers DB'!J:J)</f>
        <v>Berlin</v>
      </c>
      <c r="K462" s="8">
        <f>_xlfn.XLOOKUP($A462,'RAWDATA Cars Buyers DB'!$A:$A,'RAWDATA Cars Buyers DB'!K:K)</f>
        <v>29</v>
      </c>
      <c r="L462" s="10" t="str">
        <f>IF(_xlfn.XLOOKUP($A462,'RAWDATA Cars Buyers DB'!$A:$A,'RAWDATA Cars Buyers DB'!K:K)&gt;54,"Old ",IF(_xlfn.XLOOKUP($A462,'RAWDATA Cars Buyers DB'!$A:$A,'RAWDATA Cars Buyers DB'!K:K)&gt;=31,"Middle Age ",IF(_xlfn.XLOOKUP($A462,'RAWDATA Cars Buyers DB'!$A:$A,'RAWDATA Cars Buyers DB'!K:K)&lt;31,"Adolescent","Invalid")))</f>
        <v>Adolescent</v>
      </c>
      <c r="M462" s="8" t="str">
        <f>_xlfn.XLOOKUP($A462,'RAWDATA Cars Buyers DB'!$A:$A,'RAWDATA Cars Buyers DB'!L:L)</f>
        <v>No</v>
      </c>
    </row>
    <row r="463" spans="1:13">
      <c r="A463" s="6">
        <v>78385</v>
      </c>
      <c r="B463" s="10" t="str">
        <f>IF(_xlfn.XLOOKUP($A463,'RAWDATA Cars Buyers DB'!$A:$A,'RAWDATA Cars Buyers DB'!B:B)="S","Single","Married")</f>
        <v>Married</v>
      </c>
      <c r="C463" s="10" t="str">
        <f>IF(_xlfn.XLOOKUP($A463,'RAWDATA Cars Buyers DB'!$A:$A,'RAWDATA Cars Buyers DB'!C:C)="F","Female","Male")</f>
        <v>Female</v>
      </c>
      <c r="D463" s="7">
        <f>_xlfn.XLOOKUP($A463,'RAWDATA Cars Buyers DB'!$A:$A,'RAWDATA Cars Buyers DB'!D:D)</f>
        <v>36566</v>
      </c>
      <c r="E463" s="8">
        <f>_xlfn.XLOOKUP($A463,'RAWDATA Cars Buyers DB'!$A:$A,'RAWDATA Cars Buyers DB'!E:E)</f>
        <v>4</v>
      </c>
      <c r="F463" s="8" t="str">
        <f>_xlfn.XLOOKUP($A463,'RAWDATA Cars Buyers DB'!$A:$A,'RAWDATA Cars Buyers DB'!F:F)</f>
        <v>Graduate Degree</v>
      </c>
      <c r="G463" s="8" t="str">
        <f>_xlfn.XLOOKUP($A463,'RAWDATA Cars Buyers DB'!$A:$A,'RAWDATA Cars Buyers DB'!G:G)</f>
        <v>Clerical</v>
      </c>
      <c r="H463" s="8" t="str">
        <f>_xlfn.XLOOKUP($A463,'RAWDATA Cars Buyers DB'!$A:$A,'RAWDATA Cars Buyers DB'!H:H)</f>
        <v>Yes</v>
      </c>
      <c r="I463" s="8" t="str">
        <f>_xlfn.XLOOKUP($A463,'RAWDATA Cars Buyers DB'!$A:$A,'RAWDATA Cars Buyers DB'!I:I)</f>
        <v>1–2 Kilometre</v>
      </c>
      <c r="J463" s="8" t="str">
        <f>_xlfn.XLOOKUP($A463,'RAWDATA Cars Buyers DB'!$A:$A,'RAWDATA Cars Buyers DB'!J:J)</f>
        <v>North Rhine-Westphalia</v>
      </c>
      <c r="K463" s="8">
        <f>_xlfn.XLOOKUP($A463,'RAWDATA Cars Buyers DB'!$A:$A,'RAWDATA Cars Buyers DB'!K:K)</f>
        <v>43</v>
      </c>
      <c r="L463" s="10" t="str">
        <f>IF(_xlfn.XLOOKUP($A463,'RAWDATA Cars Buyers DB'!$A:$A,'RAWDATA Cars Buyers DB'!K:K)&gt;54,"Old ",IF(_xlfn.XLOOKUP($A463,'RAWDATA Cars Buyers DB'!$A:$A,'RAWDATA Cars Buyers DB'!K:K)&gt;=31,"Middle Age ",IF(_xlfn.XLOOKUP($A463,'RAWDATA Cars Buyers DB'!$A:$A,'RAWDATA Cars Buyers DB'!K:K)&lt;31,"Adolescent","Invalid")))</f>
        <v xml:space="preserve">Middle Age </v>
      </c>
      <c r="M463" s="8" t="str">
        <f>_xlfn.XLOOKUP($A463,'RAWDATA Cars Buyers DB'!$A:$A,'RAWDATA Cars Buyers DB'!L:L)</f>
        <v>No</v>
      </c>
    </row>
    <row r="464" spans="1:13">
      <c r="A464" s="6">
        <v>50158</v>
      </c>
      <c r="B464" s="10" t="str">
        <f>IF(_xlfn.XLOOKUP($A464,'RAWDATA Cars Buyers DB'!$A:$A,'RAWDATA Cars Buyers DB'!B:B)="S","Single","Married")</f>
        <v>Single</v>
      </c>
      <c r="C464" s="10" t="str">
        <f>IF(_xlfn.XLOOKUP($A464,'RAWDATA Cars Buyers DB'!$A:$A,'RAWDATA Cars Buyers DB'!C:C)="F","Female","Male")</f>
        <v>Female</v>
      </c>
      <c r="D464" s="7">
        <f>_xlfn.XLOOKUP($A464,'RAWDATA Cars Buyers DB'!$A:$A,'RAWDATA Cars Buyers DB'!D:D)</f>
        <v>27190</v>
      </c>
      <c r="E464" s="8">
        <f>_xlfn.XLOOKUP($A464,'RAWDATA Cars Buyers DB'!$A:$A,'RAWDATA Cars Buyers DB'!E:E)</f>
        <v>1</v>
      </c>
      <c r="F464" s="8" t="str">
        <f>_xlfn.XLOOKUP($A464,'RAWDATA Cars Buyers DB'!$A:$A,'RAWDATA Cars Buyers DB'!F:F)</f>
        <v>Bachelors</v>
      </c>
      <c r="G464" s="8" t="str">
        <f>_xlfn.XLOOKUP($A464,'RAWDATA Cars Buyers DB'!$A:$A,'RAWDATA Cars Buyers DB'!G:G)</f>
        <v>Management</v>
      </c>
      <c r="H464" s="8" t="str">
        <f>_xlfn.XLOOKUP($A464,'RAWDATA Cars Buyers DB'!$A:$A,'RAWDATA Cars Buyers DB'!H:H)</f>
        <v>Yes</v>
      </c>
      <c r="I464" s="8" t="str">
        <f>_xlfn.XLOOKUP($A464,'RAWDATA Cars Buyers DB'!$A:$A,'RAWDATA Cars Buyers DB'!I:I)</f>
        <v>6+ Kilometre</v>
      </c>
      <c r="J464" s="8" t="str">
        <f>_xlfn.XLOOKUP($A464,'RAWDATA Cars Buyers DB'!$A:$A,'RAWDATA Cars Buyers DB'!J:J)</f>
        <v>Baden-Württemberg</v>
      </c>
      <c r="K464" s="8">
        <f>_xlfn.XLOOKUP($A464,'RAWDATA Cars Buyers DB'!$A:$A,'RAWDATA Cars Buyers DB'!K:K)</f>
        <v>29</v>
      </c>
      <c r="L464" s="10" t="str">
        <f>IF(_xlfn.XLOOKUP($A464,'RAWDATA Cars Buyers DB'!$A:$A,'RAWDATA Cars Buyers DB'!K:K)&gt;54,"Old ",IF(_xlfn.XLOOKUP($A464,'RAWDATA Cars Buyers DB'!$A:$A,'RAWDATA Cars Buyers DB'!K:K)&gt;=31,"Middle Age ",IF(_xlfn.XLOOKUP($A464,'RAWDATA Cars Buyers DB'!$A:$A,'RAWDATA Cars Buyers DB'!K:K)&lt;31,"Adolescent","Invalid")))</f>
        <v>Adolescent</v>
      </c>
      <c r="M464" s="8" t="str">
        <f>_xlfn.XLOOKUP($A464,'RAWDATA Cars Buyers DB'!$A:$A,'RAWDATA Cars Buyers DB'!L:L)</f>
        <v>No</v>
      </c>
    </row>
    <row r="465" spans="1:13">
      <c r="A465" s="6">
        <v>75417</v>
      </c>
      <c r="B465" s="10" t="str">
        <f>IF(_xlfn.XLOOKUP($A465,'RAWDATA Cars Buyers DB'!$A:$A,'RAWDATA Cars Buyers DB'!B:B)="S","Single","Married")</f>
        <v>Married</v>
      </c>
      <c r="C465" s="10" t="str">
        <f>IF(_xlfn.XLOOKUP($A465,'RAWDATA Cars Buyers DB'!$A:$A,'RAWDATA Cars Buyers DB'!C:C)="F","Female","Male")</f>
        <v>Female</v>
      </c>
      <c r="D465" s="7">
        <f>_xlfn.XLOOKUP($A465,'RAWDATA Cars Buyers DB'!$A:$A,'RAWDATA Cars Buyers DB'!D:D)</f>
        <v>108607</v>
      </c>
      <c r="E465" s="8">
        <f>_xlfn.XLOOKUP($A465,'RAWDATA Cars Buyers DB'!$A:$A,'RAWDATA Cars Buyers DB'!E:E)</f>
        <v>1</v>
      </c>
      <c r="F465" s="8" t="str">
        <f>_xlfn.XLOOKUP($A465,'RAWDATA Cars Buyers DB'!$A:$A,'RAWDATA Cars Buyers DB'!F:F)</f>
        <v>Graduate Degree</v>
      </c>
      <c r="G465" s="8" t="str">
        <f>_xlfn.XLOOKUP($A465,'RAWDATA Cars Buyers DB'!$A:$A,'RAWDATA Cars Buyers DB'!G:G)</f>
        <v>Skilled Manual</v>
      </c>
      <c r="H465" s="8" t="str">
        <f>_xlfn.XLOOKUP($A465,'RAWDATA Cars Buyers DB'!$A:$A,'RAWDATA Cars Buyers DB'!H:H)</f>
        <v>No</v>
      </c>
      <c r="I465" s="8" t="str">
        <f>_xlfn.XLOOKUP($A465,'RAWDATA Cars Buyers DB'!$A:$A,'RAWDATA Cars Buyers DB'!I:I)</f>
        <v>4–6 Kilometre</v>
      </c>
      <c r="J465" s="8" t="str">
        <f>_xlfn.XLOOKUP($A465,'RAWDATA Cars Buyers DB'!$A:$A,'RAWDATA Cars Buyers DB'!J:J)</f>
        <v>Rhineland-Palatinate</v>
      </c>
      <c r="K465" s="8">
        <f>_xlfn.XLOOKUP($A465,'RAWDATA Cars Buyers DB'!$A:$A,'RAWDATA Cars Buyers DB'!K:K)</f>
        <v>60</v>
      </c>
      <c r="L465" s="10" t="str">
        <f>IF(_xlfn.XLOOKUP($A465,'RAWDATA Cars Buyers DB'!$A:$A,'RAWDATA Cars Buyers DB'!K:K)&gt;54,"Old ",IF(_xlfn.XLOOKUP($A465,'RAWDATA Cars Buyers DB'!$A:$A,'RAWDATA Cars Buyers DB'!K:K)&gt;=31,"Middle Age ",IF(_xlfn.XLOOKUP($A465,'RAWDATA Cars Buyers DB'!$A:$A,'RAWDATA Cars Buyers DB'!K:K)&lt;31,"Adolescent","Invalid")))</f>
        <v xml:space="preserve">Old </v>
      </c>
      <c r="M465" s="8" t="str">
        <f>_xlfn.XLOOKUP($A465,'RAWDATA Cars Buyers DB'!$A:$A,'RAWDATA Cars Buyers DB'!L:L)</f>
        <v>Yes</v>
      </c>
    </row>
    <row r="466" spans="1:13">
      <c r="A466" s="6">
        <v>33289</v>
      </c>
      <c r="B466" s="10" t="str">
        <f>IF(_xlfn.XLOOKUP($A466,'RAWDATA Cars Buyers DB'!$A:$A,'RAWDATA Cars Buyers DB'!B:B)="S","Single","Married")</f>
        <v>Single</v>
      </c>
      <c r="C466" s="10" t="str">
        <f>IF(_xlfn.XLOOKUP($A466,'RAWDATA Cars Buyers DB'!$A:$A,'RAWDATA Cars Buyers DB'!C:C)="F","Female","Male")</f>
        <v>Female</v>
      </c>
      <c r="D466" s="7">
        <f>_xlfn.XLOOKUP($A466,'RAWDATA Cars Buyers DB'!$A:$A,'RAWDATA Cars Buyers DB'!D:D)</f>
        <v>58333</v>
      </c>
      <c r="E466" s="8">
        <f>_xlfn.XLOOKUP($A466,'RAWDATA Cars Buyers DB'!$A:$A,'RAWDATA Cars Buyers DB'!E:E)</f>
        <v>2</v>
      </c>
      <c r="F466" s="8" t="str">
        <f>_xlfn.XLOOKUP($A466,'RAWDATA Cars Buyers DB'!$A:$A,'RAWDATA Cars Buyers DB'!F:F)</f>
        <v>Graduate Degree</v>
      </c>
      <c r="G466" s="8" t="str">
        <f>_xlfn.XLOOKUP($A466,'RAWDATA Cars Buyers DB'!$A:$A,'RAWDATA Cars Buyers DB'!G:G)</f>
        <v>Clerical</v>
      </c>
      <c r="H466" s="8" t="str">
        <f>_xlfn.XLOOKUP($A466,'RAWDATA Cars Buyers DB'!$A:$A,'RAWDATA Cars Buyers DB'!H:H)</f>
        <v>Yes</v>
      </c>
      <c r="I466" s="8" t="str">
        <f>_xlfn.XLOOKUP($A466,'RAWDATA Cars Buyers DB'!$A:$A,'RAWDATA Cars Buyers DB'!I:I)</f>
        <v>2–4 Kilometre</v>
      </c>
      <c r="J466" s="8" t="str">
        <f>_xlfn.XLOOKUP($A466,'RAWDATA Cars Buyers DB'!$A:$A,'RAWDATA Cars Buyers DB'!J:J)</f>
        <v>Saarland</v>
      </c>
      <c r="K466" s="8">
        <f>_xlfn.XLOOKUP($A466,'RAWDATA Cars Buyers DB'!$A:$A,'RAWDATA Cars Buyers DB'!K:K)</f>
        <v>50</v>
      </c>
      <c r="L466" s="10" t="str">
        <f>IF(_xlfn.XLOOKUP($A466,'RAWDATA Cars Buyers DB'!$A:$A,'RAWDATA Cars Buyers DB'!K:K)&gt;54,"Old ",IF(_xlfn.XLOOKUP($A466,'RAWDATA Cars Buyers DB'!$A:$A,'RAWDATA Cars Buyers DB'!K:K)&gt;=31,"Middle Age ",IF(_xlfn.XLOOKUP($A466,'RAWDATA Cars Buyers DB'!$A:$A,'RAWDATA Cars Buyers DB'!K:K)&lt;31,"Adolescent","Invalid")))</f>
        <v xml:space="preserve">Middle Age </v>
      </c>
      <c r="M466" s="8" t="str">
        <f>_xlfn.XLOOKUP($A466,'RAWDATA Cars Buyers DB'!$A:$A,'RAWDATA Cars Buyers DB'!L:L)</f>
        <v>Yes</v>
      </c>
    </row>
    <row r="467" spans="1:13">
      <c r="A467" s="6">
        <v>19823</v>
      </c>
      <c r="B467" s="10" t="str">
        <f>IF(_xlfn.XLOOKUP($A467,'RAWDATA Cars Buyers DB'!$A:$A,'RAWDATA Cars Buyers DB'!B:B)="S","Single","Married")</f>
        <v>Married</v>
      </c>
      <c r="C467" s="10" t="str">
        <f>IF(_xlfn.XLOOKUP($A467,'RAWDATA Cars Buyers DB'!$A:$A,'RAWDATA Cars Buyers DB'!C:C)="F","Female","Male")</f>
        <v>Female</v>
      </c>
      <c r="D467" s="7">
        <f>_xlfn.XLOOKUP($A467,'RAWDATA Cars Buyers DB'!$A:$A,'RAWDATA Cars Buyers DB'!D:D)</f>
        <v>100905</v>
      </c>
      <c r="E467" s="8">
        <f>_xlfn.XLOOKUP($A467,'RAWDATA Cars Buyers DB'!$A:$A,'RAWDATA Cars Buyers DB'!E:E)</f>
        <v>4</v>
      </c>
      <c r="F467" s="8" t="str">
        <f>_xlfn.XLOOKUP($A467,'RAWDATA Cars Buyers DB'!$A:$A,'RAWDATA Cars Buyers DB'!F:F)</f>
        <v>Graduate Degree</v>
      </c>
      <c r="G467" s="8" t="str">
        <f>_xlfn.XLOOKUP($A467,'RAWDATA Cars Buyers DB'!$A:$A,'RAWDATA Cars Buyers DB'!G:G)</f>
        <v>Clerical</v>
      </c>
      <c r="H467" s="8" t="str">
        <f>_xlfn.XLOOKUP($A467,'RAWDATA Cars Buyers DB'!$A:$A,'RAWDATA Cars Buyers DB'!H:H)</f>
        <v>Yes</v>
      </c>
      <c r="I467" s="8" t="str">
        <f>_xlfn.XLOOKUP($A467,'RAWDATA Cars Buyers DB'!$A:$A,'RAWDATA Cars Buyers DB'!I:I)</f>
        <v>1–2 Kilometre</v>
      </c>
      <c r="J467" s="8" t="str">
        <f>_xlfn.XLOOKUP($A467,'RAWDATA Cars Buyers DB'!$A:$A,'RAWDATA Cars Buyers DB'!J:J)</f>
        <v>Bavaria</v>
      </c>
      <c r="K467" s="8">
        <f>_xlfn.XLOOKUP($A467,'RAWDATA Cars Buyers DB'!$A:$A,'RAWDATA Cars Buyers DB'!K:K)</f>
        <v>32</v>
      </c>
      <c r="L467" s="10" t="str">
        <f>IF(_xlfn.XLOOKUP($A467,'RAWDATA Cars Buyers DB'!$A:$A,'RAWDATA Cars Buyers DB'!K:K)&gt;54,"Old ",IF(_xlfn.XLOOKUP($A467,'RAWDATA Cars Buyers DB'!$A:$A,'RAWDATA Cars Buyers DB'!K:K)&gt;=31,"Middle Age ",IF(_xlfn.XLOOKUP($A467,'RAWDATA Cars Buyers DB'!$A:$A,'RAWDATA Cars Buyers DB'!K:K)&lt;31,"Adolescent","Invalid")))</f>
        <v xml:space="preserve">Middle Age </v>
      </c>
      <c r="M467" s="8" t="str">
        <f>_xlfn.XLOOKUP($A467,'RAWDATA Cars Buyers DB'!$A:$A,'RAWDATA Cars Buyers DB'!L:L)</f>
        <v>Yes</v>
      </c>
    </row>
    <row r="468" spans="1:13">
      <c r="A468" s="6">
        <v>70160</v>
      </c>
      <c r="B468" s="10" t="str">
        <f>IF(_xlfn.XLOOKUP($A468,'RAWDATA Cars Buyers DB'!$A:$A,'RAWDATA Cars Buyers DB'!B:B)="S","Single","Married")</f>
        <v>Single</v>
      </c>
      <c r="C468" s="10" t="str">
        <f>IF(_xlfn.XLOOKUP($A468,'RAWDATA Cars Buyers DB'!$A:$A,'RAWDATA Cars Buyers DB'!C:C)="F","Female","Male")</f>
        <v>Male</v>
      </c>
      <c r="D468" s="7">
        <f>_xlfn.XLOOKUP($A468,'RAWDATA Cars Buyers DB'!$A:$A,'RAWDATA Cars Buyers DB'!D:D)</f>
        <v>109571</v>
      </c>
      <c r="E468" s="8">
        <f>_xlfn.XLOOKUP($A468,'RAWDATA Cars Buyers DB'!$A:$A,'RAWDATA Cars Buyers DB'!E:E)</f>
        <v>5</v>
      </c>
      <c r="F468" s="8" t="str">
        <f>_xlfn.XLOOKUP($A468,'RAWDATA Cars Buyers DB'!$A:$A,'RAWDATA Cars Buyers DB'!F:F)</f>
        <v>Partial College</v>
      </c>
      <c r="G468" s="8" t="str">
        <f>_xlfn.XLOOKUP($A468,'RAWDATA Cars Buyers DB'!$A:$A,'RAWDATA Cars Buyers DB'!G:G)</f>
        <v>Clerical</v>
      </c>
      <c r="H468" s="8" t="str">
        <f>_xlfn.XLOOKUP($A468,'RAWDATA Cars Buyers DB'!$A:$A,'RAWDATA Cars Buyers DB'!H:H)</f>
        <v>No</v>
      </c>
      <c r="I468" s="8" t="str">
        <f>_xlfn.XLOOKUP($A468,'RAWDATA Cars Buyers DB'!$A:$A,'RAWDATA Cars Buyers DB'!I:I)</f>
        <v>1–2 Kilometre</v>
      </c>
      <c r="J468" s="8" t="str">
        <f>_xlfn.XLOOKUP($A468,'RAWDATA Cars Buyers DB'!$A:$A,'RAWDATA Cars Buyers DB'!J:J)</f>
        <v>Mecklenburg-Vorpommern</v>
      </c>
      <c r="K468" s="8">
        <f>_xlfn.XLOOKUP($A468,'RAWDATA Cars Buyers DB'!$A:$A,'RAWDATA Cars Buyers DB'!K:K)</f>
        <v>22</v>
      </c>
      <c r="L468" s="10" t="str">
        <f>IF(_xlfn.XLOOKUP($A468,'RAWDATA Cars Buyers DB'!$A:$A,'RAWDATA Cars Buyers DB'!K:K)&gt;54,"Old ",IF(_xlfn.XLOOKUP($A468,'RAWDATA Cars Buyers DB'!$A:$A,'RAWDATA Cars Buyers DB'!K:K)&gt;=31,"Middle Age ",IF(_xlfn.XLOOKUP($A468,'RAWDATA Cars Buyers DB'!$A:$A,'RAWDATA Cars Buyers DB'!K:K)&lt;31,"Adolescent","Invalid")))</f>
        <v>Adolescent</v>
      </c>
      <c r="M468" s="8" t="str">
        <f>_xlfn.XLOOKUP($A468,'RAWDATA Cars Buyers DB'!$A:$A,'RAWDATA Cars Buyers DB'!L:L)</f>
        <v>No</v>
      </c>
    </row>
    <row r="469" spans="1:13">
      <c r="A469" s="6">
        <v>51975</v>
      </c>
      <c r="B469" s="10" t="str">
        <f>IF(_xlfn.XLOOKUP($A469,'RAWDATA Cars Buyers DB'!$A:$A,'RAWDATA Cars Buyers DB'!B:B)="S","Single","Married")</f>
        <v>Married</v>
      </c>
      <c r="C469" s="10" t="str">
        <f>IF(_xlfn.XLOOKUP($A469,'RAWDATA Cars Buyers DB'!$A:$A,'RAWDATA Cars Buyers DB'!C:C)="F","Female","Male")</f>
        <v>Female</v>
      </c>
      <c r="D469" s="7">
        <f>_xlfn.XLOOKUP($A469,'RAWDATA Cars Buyers DB'!$A:$A,'RAWDATA Cars Buyers DB'!D:D)</f>
        <v>21589</v>
      </c>
      <c r="E469" s="8">
        <f>_xlfn.XLOOKUP($A469,'RAWDATA Cars Buyers DB'!$A:$A,'RAWDATA Cars Buyers DB'!E:E)</f>
        <v>0</v>
      </c>
      <c r="F469" s="8" t="str">
        <f>_xlfn.XLOOKUP($A469,'RAWDATA Cars Buyers DB'!$A:$A,'RAWDATA Cars Buyers DB'!F:F)</f>
        <v>Graduate Degree</v>
      </c>
      <c r="G469" s="8" t="str">
        <f>_xlfn.XLOOKUP($A469,'RAWDATA Cars Buyers DB'!$A:$A,'RAWDATA Cars Buyers DB'!G:G)</f>
        <v>Professional</v>
      </c>
      <c r="H469" s="8" t="str">
        <f>_xlfn.XLOOKUP($A469,'RAWDATA Cars Buyers DB'!$A:$A,'RAWDATA Cars Buyers DB'!H:H)</f>
        <v>No</v>
      </c>
      <c r="I469" s="8" t="str">
        <f>_xlfn.XLOOKUP($A469,'RAWDATA Cars Buyers DB'!$A:$A,'RAWDATA Cars Buyers DB'!I:I)</f>
        <v>6+ Kilometre</v>
      </c>
      <c r="J469" s="8" t="str">
        <f>_xlfn.XLOOKUP($A469,'RAWDATA Cars Buyers DB'!$A:$A,'RAWDATA Cars Buyers DB'!J:J)</f>
        <v>Mecklenburg-Vorpommern</v>
      </c>
      <c r="K469" s="8">
        <f>_xlfn.XLOOKUP($A469,'RAWDATA Cars Buyers DB'!$A:$A,'RAWDATA Cars Buyers DB'!K:K)</f>
        <v>69</v>
      </c>
      <c r="L469" s="10" t="str">
        <f>IF(_xlfn.XLOOKUP($A469,'RAWDATA Cars Buyers DB'!$A:$A,'RAWDATA Cars Buyers DB'!K:K)&gt;54,"Old ",IF(_xlfn.XLOOKUP($A469,'RAWDATA Cars Buyers DB'!$A:$A,'RAWDATA Cars Buyers DB'!K:K)&gt;=31,"Middle Age ",IF(_xlfn.XLOOKUP($A469,'RAWDATA Cars Buyers DB'!$A:$A,'RAWDATA Cars Buyers DB'!K:K)&lt;31,"Adolescent","Invalid")))</f>
        <v xml:space="preserve">Old </v>
      </c>
      <c r="M469" s="8" t="str">
        <f>_xlfn.XLOOKUP($A469,'RAWDATA Cars Buyers DB'!$A:$A,'RAWDATA Cars Buyers DB'!L:L)</f>
        <v>Yes</v>
      </c>
    </row>
    <row r="470" spans="1:13">
      <c r="A470" s="6">
        <v>19540</v>
      </c>
      <c r="B470" s="10" t="str">
        <f>IF(_xlfn.XLOOKUP($A470,'RAWDATA Cars Buyers DB'!$A:$A,'RAWDATA Cars Buyers DB'!B:B)="S","Single","Married")</f>
        <v>Single</v>
      </c>
      <c r="C470" s="10" t="str">
        <f>IF(_xlfn.XLOOKUP($A470,'RAWDATA Cars Buyers DB'!$A:$A,'RAWDATA Cars Buyers DB'!C:C)="F","Female","Male")</f>
        <v>Male</v>
      </c>
      <c r="D470" s="7">
        <f>_xlfn.XLOOKUP($A470,'RAWDATA Cars Buyers DB'!$A:$A,'RAWDATA Cars Buyers DB'!D:D)</f>
        <v>45235</v>
      </c>
      <c r="E470" s="8">
        <f>_xlfn.XLOOKUP($A470,'RAWDATA Cars Buyers DB'!$A:$A,'RAWDATA Cars Buyers DB'!E:E)</f>
        <v>1</v>
      </c>
      <c r="F470" s="8" t="str">
        <f>_xlfn.XLOOKUP($A470,'RAWDATA Cars Buyers DB'!$A:$A,'RAWDATA Cars Buyers DB'!F:F)</f>
        <v>High School</v>
      </c>
      <c r="G470" s="8" t="str">
        <f>_xlfn.XLOOKUP($A470,'RAWDATA Cars Buyers DB'!$A:$A,'RAWDATA Cars Buyers DB'!G:G)</f>
        <v>Professional</v>
      </c>
      <c r="H470" s="8" t="str">
        <f>_xlfn.XLOOKUP($A470,'RAWDATA Cars Buyers DB'!$A:$A,'RAWDATA Cars Buyers DB'!H:H)</f>
        <v>Yes</v>
      </c>
      <c r="I470" s="8" t="str">
        <f>_xlfn.XLOOKUP($A470,'RAWDATA Cars Buyers DB'!$A:$A,'RAWDATA Cars Buyers DB'!I:I)</f>
        <v>6+ Kilometre</v>
      </c>
      <c r="J470" s="8" t="str">
        <f>_xlfn.XLOOKUP($A470,'RAWDATA Cars Buyers DB'!$A:$A,'RAWDATA Cars Buyers DB'!J:J)</f>
        <v>North Rhine-Westphalia</v>
      </c>
      <c r="K470" s="8">
        <f>_xlfn.XLOOKUP($A470,'RAWDATA Cars Buyers DB'!$A:$A,'RAWDATA Cars Buyers DB'!K:K)</f>
        <v>53</v>
      </c>
      <c r="L470" s="10" t="str">
        <f>IF(_xlfn.XLOOKUP($A470,'RAWDATA Cars Buyers DB'!$A:$A,'RAWDATA Cars Buyers DB'!K:K)&gt;54,"Old ",IF(_xlfn.XLOOKUP($A470,'RAWDATA Cars Buyers DB'!$A:$A,'RAWDATA Cars Buyers DB'!K:K)&gt;=31,"Middle Age ",IF(_xlfn.XLOOKUP($A470,'RAWDATA Cars Buyers DB'!$A:$A,'RAWDATA Cars Buyers DB'!K:K)&lt;31,"Adolescent","Invalid")))</f>
        <v xml:space="preserve">Middle Age </v>
      </c>
      <c r="M470" s="8" t="str">
        <f>_xlfn.XLOOKUP($A470,'RAWDATA Cars Buyers DB'!$A:$A,'RAWDATA Cars Buyers DB'!L:L)</f>
        <v>Yes</v>
      </c>
    </row>
    <row r="471" spans="1:13">
      <c r="A471" s="6">
        <v>26364</v>
      </c>
      <c r="B471" s="10" t="str">
        <f>IF(_xlfn.XLOOKUP($A471,'RAWDATA Cars Buyers DB'!$A:$A,'RAWDATA Cars Buyers DB'!B:B)="S","Single","Married")</f>
        <v>Single</v>
      </c>
      <c r="C471" s="10" t="str">
        <f>IF(_xlfn.XLOOKUP($A471,'RAWDATA Cars Buyers DB'!$A:$A,'RAWDATA Cars Buyers DB'!C:C)="F","Female","Male")</f>
        <v>Male</v>
      </c>
      <c r="D471" s="7">
        <f>_xlfn.XLOOKUP($A471,'RAWDATA Cars Buyers DB'!$A:$A,'RAWDATA Cars Buyers DB'!D:D)</f>
        <v>20159</v>
      </c>
      <c r="E471" s="8">
        <f>_xlfn.XLOOKUP($A471,'RAWDATA Cars Buyers DB'!$A:$A,'RAWDATA Cars Buyers DB'!E:E)</f>
        <v>4</v>
      </c>
      <c r="F471" s="8" t="str">
        <f>_xlfn.XLOOKUP($A471,'RAWDATA Cars Buyers DB'!$A:$A,'RAWDATA Cars Buyers DB'!F:F)</f>
        <v>Partial College</v>
      </c>
      <c r="G471" s="8" t="str">
        <f>_xlfn.XLOOKUP($A471,'RAWDATA Cars Buyers DB'!$A:$A,'RAWDATA Cars Buyers DB'!G:G)</f>
        <v>Professional</v>
      </c>
      <c r="H471" s="8" t="str">
        <f>_xlfn.XLOOKUP($A471,'RAWDATA Cars Buyers DB'!$A:$A,'RAWDATA Cars Buyers DB'!H:H)</f>
        <v>No</v>
      </c>
      <c r="I471" s="8" t="str">
        <f>_xlfn.XLOOKUP($A471,'RAWDATA Cars Buyers DB'!$A:$A,'RAWDATA Cars Buyers DB'!I:I)</f>
        <v>0–1 Kilometre</v>
      </c>
      <c r="J471" s="8" t="str">
        <f>_xlfn.XLOOKUP($A471,'RAWDATA Cars Buyers DB'!$A:$A,'RAWDATA Cars Buyers DB'!J:J)</f>
        <v>Saxony</v>
      </c>
      <c r="K471" s="8">
        <f>_xlfn.XLOOKUP($A471,'RAWDATA Cars Buyers DB'!$A:$A,'RAWDATA Cars Buyers DB'!K:K)</f>
        <v>68</v>
      </c>
      <c r="L471" s="10" t="str">
        <f>IF(_xlfn.XLOOKUP($A471,'RAWDATA Cars Buyers DB'!$A:$A,'RAWDATA Cars Buyers DB'!K:K)&gt;54,"Old ",IF(_xlfn.XLOOKUP($A471,'RAWDATA Cars Buyers DB'!$A:$A,'RAWDATA Cars Buyers DB'!K:K)&gt;=31,"Middle Age ",IF(_xlfn.XLOOKUP($A471,'RAWDATA Cars Buyers DB'!$A:$A,'RAWDATA Cars Buyers DB'!K:K)&lt;31,"Adolescent","Invalid")))</f>
        <v xml:space="preserve">Old </v>
      </c>
      <c r="M471" s="8" t="str">
        <f>_xlfn.XLOOKUP($A471,'RAWDATA Cars Buyers DB'!$A:$A,'RAWDATA Cars Buyers DB'!L:L)</f>
        <v>No</v>
      </c>
    </row>
    <row r="472" spans="1:13">
      <c r="A472" s="6">
        <v>14611</v>
      </c>
      <c r="B472" s="10" t="str">
        <f>IF(_xlfn.XLOOKUP($A472,'RAWDATA Cars Buyers DB'!$A:$A,'RAWDATA Cars Buyers DB'!B:B)="S","Single","Married")</f>
        <v>Married</v>
      </c>
      <c r="C472" s="10" t="str">
        <f>IF(_xlfn.XLOOKUP($A472,'RAWDATA Cars Buyers DB'!$A:$A,'RAWDATA Cars Buyers DB'!C:C)="F","Female","Male")</f>
        <v>Female</v>
      </c>
      <c r="D472" s="7">
        <f>_xlfn.XLOOKUP($A472,'RAWDATA Cars Buyers DB'!$A:$A,'RAWDATA Cars Buyers DB'!D:D)</f>
        <v>32145</v>
      </c>
      <c r="E472" s="8">
        <f>_xlfn.XLOOKUP($A472,'RAWDATA Cars Buyers DB'!$A:$A,'RAWDATA Cars Buyers DB'!E:E)</f>
        <v>4</v>
      </c>
      <c r="F472" s="8" t="str">
        <f>_xlfn.XLOOKUP($A472,'RAWDATA Cars Buyers DB'!$A:$A,'RAWDATA Cars Buyers DB'!F:F)</f>
        <v>Graduate Degree</v>
      </c>
      <c r="G472" s="8" t="str">
        <f>_xlfn.XLOOKUP($A472,'RAWDATA Cars Buyers DB'!$A:$A,'RAWDATA Cars Buyers DB'!G:G)</f>
        <v>Skilled Manual</v>
      </c>
      <c r="H472" s="8" t="str">
        <f>_xlfn.XLOOKUP($A472,'RAWDATA Cars Buyers DB'!$A:$A,'RAWDATA Cars Buyers DB'!H:H)</f>
        <v>No</v>
      </c>
      <c r="I472" s="8" t="str">
        <f>_xlfn.XLOOKUP($A472,'RAWDATA Cars Buyers DB'!$A:$A,'RAWDATA Cars Buyers DB'!I:I)</f>
        <v>0–1 Kilometre</v>
      </c>
      <c r="J472" s="8" t="str">
        <f>_xlfn.XLOOKUP($A472,'RAWDATA Cars Buyers DB'!$A:$A,'RAWDATA Cars Buyers DB'!J:J)</f>
        <v>Bavaria</v>
      </c>
      <c r="K472" s="8">
        <f>_xlfn.XLOOKUP($A472,'RAWDATA Cars Buyers DB'!$A:$A,'RAWDATA Cars Buyers DB'!K:K)</f>
        <v>47</v>
      </c>
      <c r="L472" s="10" t="str">
        <f>IF(_xlfn.XLOOKUP($A472,'RAWDATA Cars Buyers DB'!$A:$A,'RAWDATA Cars Buyers DB'!K:K)&gt;54,"Old ",IF(_xlfn.XLOOKUP($A472,'RAWDATA Cars Buyers DB'!$A:$A,'RAWDATA Cars Buyers DB'!K:K)&gt;=31,"Middle Age ",IF(_xlfn.XLOOKUP($A472,'RAWDATA Cars Buyers DB'!$A:$A,'RAWDATA Cars Buyers DB'!K:K)&lt;31,"Adolescent","Invalid")))</f>
        <v xml:space="preserve">Middle Age </v>
      </c>
      <c r="M472" s="8" t="str">
        <f>_xlfn.XLOOKUP($A472,'RAWDATA Cars Buyers DB'!$A:$A,'RAWDATA Cars Buyers DB'!L:L)</f>
        <v>No</v>
      </c>
    </row>
    <row r="473" spans="1:13">
      <c r="A473" s="6">
        <v>37663</v>
      </c>
      <c r="B473" s="10" t="str">
        <f>IF(_xlfn.XLOOKUP($A473,'RAWDATA Cars Buyers DB'!$A:$A,'RAWDATA Cars Buyers DB'!B:B)="S","Single","Married")</f>
        <v>Married</v>
      </c>
      <c r="C473" s="10" t="str">
        <f>IF(_xlfn.XLOOKUP($A473,'RAWDATA Cars Buyers DB'!$A:$A,'RAWDATA Cars Buyers DB'!C:C)="F","Female","Male")</f>
        <v>Female</v>
      </c>
      <c r="D473" s="7">
        <f>_xlfn.XLOOKUP($A473,'RAWDATA Cars Buyers DB'!$A:$A,'RAWDATA Cars Buyers DB'!D:D)</f>
        <v>100909</v>
      </c>
      <c r="E473" s="8">
        <f>_xlfn.XLOOKUP($A473,'RAWDATA Cars Buyers DB'!$A:$A,'RAWDATA Cars Buyers DB'!E:E)</f>
        <v>0</v>
      </c>
      <c r="F473" s="8" t="str">
        <f>_xlfn.XLOOKUP($A473,'RAWDATA Cars Buyers DB'!$A:$A,'RAWDATA Cars Buyers DB'!F:F)</f>
        <v>Graduate Degree</v>
      </c>
      <c r="G473" s="8" t="str">
        <f>_xlfn.XLOOKUP($A473,'RAWDATA Cars Buyers DB'!$A:$A,'RAWDATA Cars Buyers DB'!G:G)</f>
        <v>Skilled Manual</v>
      </c>
      <c r="H473" s="8" t="str">
        <f>_xlfn.XLOOKUP($A473,'RAWDATA Cars Buyers DB'!$A:$A,'RAWDATA Cars Buyers DB'!H:H)</f>
        <v>No</v>
      </c>
      <c r="I473" s="8" t="str">
        <f>_xlfn.XLOOKUP($A473,'RAWDATA Cars Buyers DB'!$A:$A,'RAWDATA Cars Buyers DB'!I:I)</f>
        <v>0–1 Kilometre</v>
      </c>
      <c r="J473" s="8" t="str">
        <f>_xlfn.XLOOKUP($A473,'RAWDATA Cars Buyers DB'!$A:$A,'RAWDATA Cars Buyers DB'!J:J)</f>
        <v>Bremen</v>
      </c>
      <c r="K473" s="8">
        <f>_xlfn.XLOOKUP($A473,'RAWDATA Cars Buyers DB'!$A:$A,'RAWDATA Cars Buyers DB'!K:K)</f>
        <v>38</v>
      </c>
      <c r="L473" s="10" t="str">
        <f>IF(_xlfn.XLOOKUP($A473,'RAWDATA Cars Buyers DB'!$A:$A,'RAWDATA Cars Buyers DB'!K:K)&gt;54,"Old ",IF(_xlfn.XLOOKUP($A473,'RAWDATA Cars Buyers DB'!$A:$A,'RAWDATA Cars Buyers DB'!K:K)&gt;=31,"Middle Age ",IF(_xlfn.XLOOKUP($A473,'RAWDATA Cars Buyers DB'!$A:$A,'RAWDATA Cars Buyers DB'!K:K)&lt;31,"Adolescent","Invalid")))</f>
        <v xml:space="preserve">Middle Age </v>
      </c>
      <c r="M473" s="8" t="str">
        <f>_xlfn.XLOOKUP($A473,'RAWDATA Cars Buyers DB'!$A:$A,'RAWDATA Cars Buyers DB'!L:L)</f>
        <v>No</v>
      </c>
    </row>
    <row r="474" spans="1:13">
      <c r="A474" s="6">
        <v>61991</v>
      </c>
      <c r="B474" s="10" t="str">
        <f>IF(_xlfn.XLOOKUP($A474,'RAWDATA Cars Buyers DB'!$A:$A,'RAWDATA Cars Buyers DB'!B:B)="S","Single","Married")</f>
        <v>Single</v>
      </c>
      <c r="C474" s="10" t="str">
        <f>IF(_xlfn.XLOOKUP($A474,'RAWDATA Cars Buyers DB'!$A:$A,'RAWDATA Cars Buyers DB'!C:C)="F","Female","Male")</f>
        <v>Male</v>
      </c>
      <c r="D474" s="7">
        <f>_xlfn.XLOOKUP($A474,'RAWDATA Cars Buyers DB'!$A:$A,'RAWDATA Cars Buyers DB'!D:D)</f>
        <v>51921</v>
      </c>
      <c r="E474" s="8">
        <f>_xlfn.XLOOKUP($A474,'RAWDATA Cars Buyers DB'!$A:$A,'RAWDATA Cars Buyers DB'!E:E)</f>
        <v>4</v>
      </c>
      <c r="F474" s="8" t="str">
        <f>_xlfn.XLOOKUP($A474,'RAWDATA Cars Buyers DB'!$A:$A,'RAWDATA Cars Buyers DB'!F:F)</f>
        <v>High School</v>
      </c>
      <c r="G474" s="8" t="str">
        <f>_xlfn.XLOOKUP($A474,'RAWDATA Cars Buyers DB'!$A:$A,'RAWDATA Cars Buyers DB'!G:G)</f>
        <v>Clerical</v>
      </c>
      <c r="H474" s="8" t="str">
        <f>_xlfn.XLOOKUP($A474,'RAWDATA Cars Buyers DB'!$A:$A,'RAWDATA Cars Buyers DB'!H:H)</f>
        <v>Yes</v>
      </c>
      <c r="I474" s="8" t="str">
        <f>_xlfn.XLOOKUP($A474,'RAWDATA Cars Buyers DB'!$A:$A,'RAWDATA Cars Buyers DB'!I:I)</f>
        <v>6+ Kilometre</v>
      </c>
      <c r="J474" s="8" t="str">
        <f>_xlfn.XLOOKUP($A474,'RAWDATA Cars Buyers DB'!$A:$A,'RAWDATA Cars Buyers DB'!J:J)</f>
        <v>Hamburg</v>
      </c>
      <c r="K474" s="8">
        <f>_xlfn.XLOOKUP($A474,'RAWDATA Cars Buyers DB'!$A:$A,'RAWDATA Cars Buyers DB'!K:K)</f>
        <v>42</v>
      </c>
      <c r="L474" s="10" t="str">
        <f>IF(_xlfn.XLOOKUP($A474,'RAWDATA Cars Buyers DB'!$A:$A,'RAWDATA Cars Buyers DB'!K:K)&gt;54,"Old ",IF(_xlfn.XLOOKUP($A474,'RAWDATA Cars Buyers DB'!$A:$A,'RAWDATA Cars Buyers DB'!K:K)&gt;=31,"Middle Age ",IF(_xlfn.XLOOKUP($A474,'RAWDATA Cars Buyers DB'!$A:$A,'RAWDATA Cars Buyers DB'!K:K)&lt;31,"Adolescent","Invalid")))</f>
        <v xml:space="preserve">Middle Age </v>
      </c>
      <c r="M474" s="8" t="str">
        <f>_xlfn.XLOOKUP($A474,'RAWDATA Cars Buyers DB'!$A:$A,'RAWDATA Cars Buyers DB'!L:L)</f>
        <v>No</v>
      </c>
    </row>
    <row r="475" spans="1:13">
      <c r="A475" s="6">
        <v>67679</v>
      </c>
      <c r="B475" s="10" t="str">
        <f>IF(_xlfn.XLOOKUP($A475,'RAWDATA Cars Buyers DB'!$A:$A,'RAWDATA Cars Buyers DB'!B:B)="S","Single","Married")</f>
        <v>Single</v>
      </c>
      <c r="C475" s="10" t="str">
        <f>IF(_xlfn.XLOOKUP($A475,'RAWDATA Cars Buyers DB'!$A:$A,'RAWDATA Cars Buyers DB'!C:C)="F","Female","Male")</f>
        <v>Male</v>
      </c>
      <c r="D475" s="7">
        <f>_xlfn.XLOOKUP($A475,'RAWDATA Cars Buyers DB'!$A:$A,'RAWDATA Cars Buyers DB'!D:D)</f>
        <v>36237</v>
      </c>
      <c r="E475" s="8">
        <f>_xlfn.XLOOKUP($A475,'RAWDATA Cars Buyers DB'!$A:$A,'RAWDATA Cars Buyers DB'!E:E)</f>
        <v>4</v>
      </c>
      <c r="F475" s="8" t="str">
        <f>_xlfn.XLOOKUP($A475,'RAWDATA Cars Buyers DB'!$A:$A,'RAWDATA Cars Buyers DB'!F:F)</f>
        <v>Partial College</v>
      </c>
      <c r="G475" s="8" t="str">
        <f>_xlfn.XLOOKUP($A475,'RAWDATA Cars Buyers DB'!$A:$A,'RAWDATA Cars Buyers DB'!G:G)</f>
        <v>Skilled Manual</v>
      </c>
      <c r="H475" s="8" t="str">
        <f>_xlfn.XLOOKUP($A475,'RAWDATA Cars Buyers DB'!$A:$A,'RAWDATA Cars Buyers DB'!H:H)</f>
        <v>No</v>
      </c>
      <c r="I475" s="8" t="str">
        <f>_xlfn.XLOOKUP($A475,'RAWDATA Cars Buyers DB'!$A:$A,'RAWDATA Cars Buyers DB'!I:I)</f>
        <v>0–1 Kilometre</v>
      </c>
      <c r="J475" s="8" t="str">
        <f>_xlfn.XLOOKUP($A475,'RAWDATA Cars Buyers DB'!$A:$A,'RAWDATA Cars Buyers DB'!J:J)</f>
        <v>Schleswig-Holstein</v>
      </c>
      <c r="K475" s="8">
        <f>_xlfn.XLOOKUP($A475,'RAWDATA Cars Buyers DB'!$A:$A,'RAWDATA Cars Buyers DB'!K:K)</f>
        <v>64</v>
      </c>
      <c r="L475" s="10" t="str">
        <f>IF(_xlfn.XLOOKUP($A475,'RAWDATA Cars Buyers DB'!$A:$A,'RAWDATA Cars Buyers DB'!K:K)&gt;54,"Old ",IF(_xlfn.XLOOKUP($A475,'RAWDATA Cars Buyers DB'!$A:$A,'RAWDATA Cars Buyers DB'!K:K)&gt;=31,"Middle Age ",IF(_xlfn.XLOOKUP($A475,'RAWDATA Cars Buyers DB'!$A:$A,'RAWDATA Cars Buyers DB'!K:K)&lt;31,"Adolescent","Invalid")))</f>
        <v xml:space="preserve">Old </v>
      </c>
      <c r="M475" s="8" t="str">
        <f>_xlfn.XLOOKUP($A475,'RAWDATA Cars Buyers DB'!$A:$A,'RAWDATA Cars Buyers DB'!L:L)</f>
        <v>No</v>
      </c>
    </row>
    <row r="476" spans="1:13">
      <c r="A476" s="6">
        <v>40977</v>
      </c>
      <c r="B476" s="10" t="str">
        <f>IF(_xlfn.XLOOKUP($A476,'RAWDATA Cars Buyers DB'!$A:$A,'RAWDATA Cars Buyers DB'!B:B)="S","Single","Married")</f>
        <v>Married</v>
      </c>
      <c r="C476" s="10" t="str">
        <f>IF(_xlfn.XLOOKUP($A476,'RAWDATA Cars Buyers DB'!$A:$A,'RAWDATA Cars Buyers DB'!C:C)="F","Female","Male")</f>
        <v>Female</v>
      </c>
      <c r="D476" s="7">
        <f>_xlfn.XLOOKUP($A476,'RAWDATA Cars Buyers DB'!$A:$A,'RAWDATA Cars Buyers DB'!D:D)</f>
        <v>28244</v>
      </c>
      <c r="E476" s="8">
        <f>_xlfn.XLOOKUP($A476,'RAWDATA Cars Buyers DB'!$A:$A,'RAWDATA Cars Buyers DB'!E:E)</f>
        <v>4</v>
      </c>
      <c r="F476" s="8" t="str">
        <f>_xlfn.XLOOKUP($A476,'RAWDATA Cars Buyers DB'!$A:$A,'RAWDATA Cars Buyers DB'!F:F)</f>
        <v>Bachelors</v>
      </c>
      <c r="G476" s="8" t="str">
        <f>_xlfn.XLOOKUP($A476,'RAWDATA Cars Buyers DB'!$A:$A,'RAWDATA Cars Buyers DB'!G:G)</f>
        <v>Management</v>
      </c>
      <c r="H476" s="8" t="str">
        <f>_xlfn.XLOOKUP($A476,'RAWDATA Cars Buyers DB'!$A:$A,'RAWDATA Cars Buyers DB'!H:H)</f>
        <v>Yes</v>
      </c>
      <c r="I476" s="8" t="str">
        <f>_xlfn.XLOOKUP($A476,'RAWDATA Cars Buyers DB'!$A:$A,'RAWDATA Cars Buyers DB'!I:I)</f>
        <v>0–1 Kilometre</v>
      </c>
      <c r="J476" s="8" t="str">
        <f>_xlfn.XLOOKUP($A476,'RAWDATA Cars Buyers DB'!$A:$A,'RAWDATA Cars Buyers DB'!J:J)</f>
        <v>Baden-Württemberg</v>
      </c>
      <c r="K476" s="8">
        <f>_xlfn.XLOOKUP($A476,'RAWDATA Cars Buyers DB'!$A:$A,'RAWDATA Cars Buyers DB'!K:K)</f>
        <v>51</v>
      </c>
      <c r="L476" s="10" t="str">
        <f>IF(_xlfn.XLOOKUP($A476,'RAWDATA Cars Buyers DB'!$A:$A,'RAWDATA Cars Buyers DB'!K:K)&gt;54,"Old ",IF(_xlfn.XLOOKUP($A476,'RAWDATA Cars Buyers DB'!$A:$A,'RAWDATA Cars Buyers DB'!K:K)&gt;=31,"Middle Age ",IF(_xlfn.XLOOKUP($A476,'RAWDATA Cars Buyers DB'!$A:$A,'RAWDATA Cars Buyers DB'!K:K)&lt;31,"Adolescent","Invalid")))</f>
        <v xml:space="preserve">Middle Age </v>
      </c>
      <c r="M476" s="8" t="str">
        <f>_xlfn.XLOOKUP($A476,'RAWDATA Cars Buyers DB'!$A:$A,'RAWDATA Cars Buyers DB'!L:L)</f>
        <v>No</v>
      </c>
    </row>
    <row r="477" spans="1:13">
      <c r="A477" s="6">
        <v>59115</v>
      </c>
      <c r="B477" s="10" t="str">
        <f>IF(_xlfn.XLOOKUP($A477,'RAWDATA Cars Buyers DB'!$A:$A,'RAWDATA Cars Buyers DB'!B:B)="S","Single","Married")</f>
        <v>Single</v>
      </c>
      <c r="C477" s="10" t="str">
        <f>IF(_xlfn.XLOOKUP($A477,'RAWDATA Cars Buyers DB'!$A:$A,'RAWDATA Cars Buyers DB'!C:C)="F","Female","Male")</f>
        <v>Female</v>
      </c>
      <c r="D477" s="7">
        <f>_xlfn.XLOOKUP($A477,'RAWDATA Cars Buyers DB'!$A:$A,'RAWDATA Cars Buyers DB'!D:D)</f>
        <v>34743</v>
      </c>
      <c r="E477" s="8">
        <f>_xlfn.XLOOKUP($A477,'RAWDATA Cars Buyers DB'!$A:$A,'RAWDATA Cars Buyers DB'!E:E)</f>
        <v>1</v>
      </c>
      <c r="F477" s="8" t="str">
        <f>_xlfn.XLOOKUP($A477,'RAWDATA Cars Buyers DB'!$A:$A,'RAWDATA Cars Buyers DB'!F:F)</f>
        <v>Bachelors</v>
      </c>
      <c r="G477" s="8" t="str">
        <f>_xlfn.XLOOKUP($A477,'RAWDATA Cars Buyers DB'!$A:$A,'RAWDATA Cars Buyers DB'!G:G)</f>
        <v>Clerical</v>
      </c>
      <c r="H477" s="8" t="str">
        <f>_xlfn.XLOOKUP($A477,'RAWDATA Cars Buyers DB'!$A:$A,'RAWDATA Cars Buyers DB'!H:H)</f>
        <v>Yes</v>
      </c>
      <c r="I477" s="8" t="str">
        <f>_xlfn.XLOOKUP($A477,'RAWDATA Cars Buyers DB'!$A:$A,'RAWDATA Cars Buyers DB'!I:I)</f>
        <v>2–4 Kilometre</v>
      </c>
      <c r="J477" s="8" t="str">
        <f>_xlfn.XLOOKUP($A477,'RAWDATA Cars Buyers DB'!$A:$A,'RAWDATA Cars Buyers DB'!J:J)</f>
        <v>Schleswig-Holstein</v>
      </c>
      <c r="K477" s="8">
        <f>_xlfn.XLOOKUP($A477,'RAWDATA Cars Buyers DB'!$A:$A,'RAWDATA Cars Buyers DB'!K:K)</f>
        <v>32</v>
      </c>
      <c r="L477" s="10" t="str">
        <f>IF(_xlfn.XLOOKUP($A477,'RAWDATA Cars Buyers DB'!$A:$A,'RAWDATA Cars Buyers DB'!K:K)&gt;54,"Old ",IF(_xlfn.XLOOKUP($A477,'RAWDATA Cars Buyers DB'!$A:$A,'RAWDATA Cars Buyers DB'!K:K)&gt;=31,"Middle Age ",IF(_xlfn.XLOOKUP($A477,'RAWDATA Cars Buyers DB'!$A:$A,'RAWDATA Cars Buyers DB'!K:K)&lt;31,"Adolescent","Invalid")))</f>
        <v xml:space="preserve">Middle Age </v>
      </c>
      <c r="M477" s="8" t="str">
        <f>_xlfn.XLOOKUP($A477,'RAWDATA Cars Buyers DB'!$A:$A,'RAWDATA Cars Buyers DB'!L:L)</f>
        <v>No</v>
      </c>
    </row>
    <row r="478" spans="1:13">
      <c r="A478" s="6">
        <v>98223</v>
      </c>
      <c r="B478" s="10" t="str">
        <f>IF(_xlfn.XLOOKUP($A478,'RAWDATA Cars Buyers DB'!$A:$A,'RAWDATA Cars Buyers DB'!B:B)="S","Single","Married")</f>
        <v>Single</v>
      </c>
      <c r="C478" s="10" t="str">
        <f>IF(_xlfn.XLOOKUP($A478,'RAWDATA Cars Buyers DB'!$A:$A,'RAWDATA Cars Buyers DB'!C:C)="F","Female","Male")</f>
        <v>Male</v>
      </c>
      <c r="D478" s="7">
        <f>_xlfn.XLOOKUP($A478,'RAWDATA Cars Buyers DB'!$A:$A,'RAWDATA Cars Buyers DB'!D:D)</f>
        <v>117102</v>
      </c>
      <c r="E478" s="8">
        <f>_xlfn.XLOOKUP($A478,'RAWDATA Cars Buyers DB'!$A:$A,'RAWDATA Cars Buyers DB'!E:E)</f>
        <v>0</v>
      </c>
      <c r="F478" s="8" t="str">
        <f>_xlfn.XLOOKUP($A478,'RAWDATA Cars Buyers DB'!$A:$A,'RAWDATA Cars Buyers DB'!F:F)</f>
        <v>Partial College</v>
      </c>
      <c r="G478" s="8" t="str">
        <f>_xlfn.XLOOKUP($A478,'RAWDATA Cars Buyers DB'!$A:$A,'RAWDATA Cars Buyers DB'!G:G)</f>
        <v>Clerical</v>
      </c>
      <c r="H478" s="8" t="str">
        <f>_xlfn.XLOOKUP($A478,'RAWDATA Cars Buyers DB'!$A:$A,'RAWDATA Cars Buyers DB'!H:H)</f>
        <v>Yes</v>
      </c>
      <c r="I478" s="8" t="str">
        <f>_xlfn.XLOOKUP($A478,'RAWDATA Cars Buyers DB'!$A:$A,'RAWDATA Cars Buyers DB'!I:I)</f>
        <v>0–1 Kilometre</v>
      </c>
      <c r="J478" s="8" t="str">
        <f>_xlfn.XLOOKUP($A478,'RAWDATA Cars Buyers DB'!$A:$A,'RAWDATA Cars Buyers DB'!J:J)</f>
        <v>Hamburg</v>
      </c>
      <c r="K478" s="8">
        <f>_xlfn.XLOOKUP($A478,'RAWDATA Cars Buyers DB'!$A:$A,'RAWDATA Cars Buyers DB'!K:K)</f>
        <v>52</v>
      </c>
      <c r="L478" s="10" t="str">
        <f>IF(_xlfn.XLOOKUP($A478,'RAWDATA Cars Buyers DB'!$A:$A,'RAWDATA Cars Buyers DB'!K:K)&gt;54,"Old ",IF(_xlfn.XLOOKUP($A478,'RAWDATA Cars Buyers DB'!$A:$A,'RAWDATA Cars Buyers DB'!K:K)&gt;=31,"Middle Age ",IF(_xlfn.XLOOKUP($A478,'RAWDATA Cars Buyers DB'!$A:$A,'RAWDATA Cars Buyers DB'!K:K)&lt;31,"Adolescent","Invalid")))</f>
        <v xml:space="preserve">Middle Age </v>
      </c>
      <c r="M478" s="8" t="str">
        <f>_xlfn.XLOOKUP($A478,'RAWDATA Cars Buyers DB'!$A:$A,'RAWDATA Cars Buyers DB'!L:L)</f>
        <v>No</v>
      </c>
    </row>
    <row r="479" spans="1:13">
      <c r="A479" s="6">
        <v>70890</v>
      </c>
      <c r="B479" s="10" t="str">
        <f>IF(_xlfn.XLOOKUP($A479,'RAWDATA Cars Buyers DB'!$A:$A,'RAWDATA Cars Buyers DB'!B:B)="S","Single","Married")</f>
        <v>Single</v>
      </c>
      <c r="C479" s="10" t="str">
        <f>IF(_xlfn.XLOOKUP($A479,'RAWDATA Cars Buyers DB'!$A:$A,'RAWDATA Cars Buyers DB'!C:C)="F","Female","Male")</f>
        <v>Female</v>
      </c>
      <c r="D479" s="7">
        <f>_xlfn.XLOOKUP($A479,'RAWDATA Cars Buyers DB'!$A:$A,'RAWDATA Cars Buyers DB'!D:D)</f>
        <v>66101</v>
      </c>
      <c r="E479" s="8">
        <f>_xlfn.XLOOKUP($A479,'RAWDATA Cars Buyers DB'!$A:$A,'RAWDATA Cars Buyers DB'!E:E)</f>
        <v>4</v>
      </c>
      <c r="F479" s="8" t="str">
        <f>_xlfn.XLOOKUP($A479,'RAWDATA Cars Buyers DB'!$A:$A,'RAWDATA Cars Buyers DB'!F:F)</f>
        <v>Graduate Degree</v>
      </c>
      <c r="G479" s="8" t="str">
        <f>_xlfn.XLOOKUP($A479,'RAWDATA Cars Buyers DB'!$A:$A,'RAWDATA Cars Buyers DB'!G:G)</f>
        <v>Management</v>
      </c>
      <c r="H479" s="8" t="str">
        <f>_xlfn.XLOOKUP($A479,'RAWDATA Cars Buyers DB'!$A:$A,'RAWDATA Cars Buyers DB'!H:H)</f>
        <v>No</v>
      </c>
      <c r="I479" s="8" t="str">
        <f>_xlfn.XLOOKUP($A479,'RAWDATA Cars Buyers DB'!$A:$A,'RAWDATA Cars Buyers DB'!I:I)</f>
        <v>1–2 Kilometre</v>
      </c>
      <c r="J479" s="8" t="str">
        <f>_xlfn.XLOOKUP($A479,'RAWDATA Cars Buyers DB'!$A:$A,'RAWDATA Cars Buyers DB'!J:J)</f>
        <v>Hamburg</v>
      </c>
      <c r="K479" s="8">
        <f>_xlfn.XLOOKUP($A479,'RAWDATA Cars Buyers DB'!$A:$A,'RAWDATA Cars Buyers DB'!K:K)</f>
        <v>53</v>
      </c>
      <c r="L479" s="10" t="str">
        <f>IF(_xlfn.XLOOKUP($A479,'RAWDATA Cars Buyers DB'!$A:$A,'RAWDATA Cars Buyers DB'!K:K)&gt;54,"Old ",IF(_xlfn.XLOOKUP($A479,'RAWDATA Cars Buyers DB'!$A:$A,'RAWDATA Cars Buyers DB'!K:K)&gt;=31,"Middle Age ",IF(_xlfn.XLOOKUP($A479,'RAWDATA Cars Buyers DB'!$A:$A,'RAWDATA Cars Buyers DB'!K:K)&lt;31,"Adolescent","Invalid")))</f>
        <v xml:space="preserve">Middle Age </v>
      </c>
      <c r="M479" s="8" t="str">
        <f>_xlfn.XLOOKUP($A479,'RAWDATA Cars Buyers DB'!$A:$A,'RAWDATA Cars Buyers DB'!L:L)</f>
        <v>No</v>
      </c>
    </row>
    <row r="480" spans="1:13">
      <c r="A480" s="6">
        <v>76387</v>
      </c>
      <c r="B480" s="10" t="str">
        <f>IF(_xlfn.XLOOKUP($A480,'RAWDATA Cars Buyers DB'!$A:$A,'RAWDATA Cars Buyers DB'!B:B)="S","Single","Married")</f>
        <v>Single</v>
      </c>
      <c r="C480" s="10" t="str">
        <f>IF(_xlfn.XLOOKUP($A480,'RAWDATA Cars Buyers DB'!$A:$A,'RAWDATA Cars Buyers DB'!C:C)="F","Female","Male")</f>
        <v>Female</v>
      </c>
      <c r="D480" s="7">
        <f>_xlfn.XLOOKUP($A480,'RAWDATA Cars Buyers DB'!$A:$A,'RAWDATA Cars Buyers DB'!D:D)</f>
        <v>104227</v>
      </c>
      <c r="E480" s="8">
        <f>_xlfn.XLOOKUP($A480,'RAWDATA Cars Buyers DB'!$A:$A,'RAWDATA Cars Buyers DB'!E:E)</f>
        <v>4</v>
      </c>
      <c r="F480" s="8" t="str">
        <f>_xlfn.XLOOKUP($A480,'RAWDATA Cars Buyers DB'!$A:$A,'RAWDATA Cars Buyers DB'!F:F)</f>
        <v>Graduate Degree</v>
      </c>
      <c r="G480" s="8" t="str">
        <f>_xlfn.XLOOKUP($A480,'RAWDATA Cars Buyers DB'!$A:$A,'RAWDATA Cars Buyers DB'!G:G)</f>
        <v>Clerical</v>
      </c>
      <c r="H480" s="8" t="str">
        <f>_xlfn.XLOOKUP($A480,'RAWDATA Cars Buyers DB'!$A:$A,'RAWDATA Cars Buyers DB'!H:H)</f>
        <v>No</v>
      </c>
      <c r="I480" s="8" t="str">
        <f>_xlfn.XLOOKUP($A480,'RAWDATA Cars Buyers DB'!$A:$A,'RAWDATA Cars Buyers DB'!I:I)</f>
        <v>6+ Kilometre</v>
      </c>
      <c r="J480" s="8" t="str">
        <f>_xlfn.XLOOKUP($A480,'RAWDATA Cars Buyers DB'!$A:$A,'RAWDATA Cars Buyers DB'!J:J)</f>
        <v>Baden-Württemberg</v>
      </c>
      <c r="K480" s="8">
        <f>_xlfn.XLOOKUP($A480,'RAWDATA Cars Buyers DB'!$A:$A,'RAWDATA Cars Buyers DB'!K:K)</f>
        <v>52</v>
      </c>
      <c r="L480" s="10" t="str">
        <f>IF(_xlfn.XLOOKUP($A480,'RAWDATA Cars Buyers DB'!$A:$A,'RAWDATA Cars Buyers DB'!K:K)&gt;54,"Old ",IF(_xlfn.XLOOKUP($A480,'RAWDATA Cars Buyers DB'!$A:$A,'RAWDATA Cars Buyers DB'!K:K)&gt;=31,"Middle Age ",IF(_xlfn.XLOOKUP($A480,'RAWDATA Cars Buyers DB'!$A:$A,'RAWDATA Cars Buyers DB'!K:K)&lt;31,"Adolescent","Invalid")))</f>
        <v xml:space="preserve">Middle Age </v>
      </c>
      <c r="M480" s="8" t="str">
        <f>_xlfn.XLOOKUP($A480,'RAWDATA Cars Buyers DB'!$A:$A,'RAWDATA Cars Buyers DB'!L:L)</f>
        <v>No</v>
      </c>
    </row>
    <row r="481" spans="1:13">
      <c r="A481" s="6">
        <v>28071</v>
      </c>
      <c r="B481" s="10" t="str">
        <f>IF(_xlfn.XLOOKUP($A481,'RAWDATA Cars Buyers DB'!$A:$A,'RAWDATA Cars Buyers DB'!B:B)="S","Single","Married")</f>
        <v>Single</v>
      </c>
      <c r="C481" s="10" t="str">
        <f>IF(_xlfn.XLOOKUP($A481,'RAWDATA Cars Buyers DB'!$A:$A,'RAWDATA Cars Buyers DB'!C:C)="F","Female","Male")</f>
        <v>Female</v>
      </c>
      <c r="D481" s="7">
        <f>_xlfn.XLOOKUP($A481,'RAWDATA Cars Buyers DB'!$A:$A,'RAWDATA Cars Buyers DB'!D:D)</f>
        <v>119532</v>
      </c>
      <c r="E481" s="8">
        <f>_xlfn.XLOOKUP($A481,'RAWDATA Cars Buyers DB'!$A:$A,'RAWDATA Cars Buyers DB'!E:E)</f>
        <v>1</v>
      </c>
      <c r="F481" s="8" t="str">
        <f>_xlfn.XLOOKUP($A481,'RAWDATA Cars Buyers DB'!$A:$A,'RAWDATA Cars Buyers DB'!F:F)</f>
        <v>Bachelors</v>
      </c>
      <c r="G481" s="8" t="str">
        <f>_xlfn.XLOOKUP($A481,'RAWDATA Cars Buyers DB'!$A:$A,'RAWDATA Cars Buyers DB'!G:G)</f>
        <v>Skilled Manual</v>
      </c>
      <c r="H481" s="8" t="str">
        <f>_xlfn.XLOOKUP($A481,'RAWDATA Cars Buyers DB'!$A:$A,'RAWDATA Cars Buyers DB'!H:H)</f>
        <v>No</v>
      </c>
      <c r="I481" s="8" t="str">
        <f>_xlfn.XLOOKUP($A481,'RAWDATA Cars Buyers DB'!$A:$A,'RAWDATA Cars Buyers DB'!I:I)</f>
        <v>4–6 Kilometre</v>
      </c>
      <c r="J481" s="8" t="str">
        <f>_xlfn.XLOOKUP($A481,'RAWDATA Cars Buyers DB'!$A:$A,'RAWDATA Cars Buyers DB'!J:J)</f>
        <v>Rhineland-Palatinate</v>
      </c>
      <c r="K481" s="8">
        <f>_xlfn.XLOOKUP($A481,'RAWDATA Cars Buyers DB'!$A:$A,'RAWDATA Cars Buyers DB'!K:K)</f>
        <v>24</v>
      </c>
      <c r="L481" s="10" t="str">
        <f>IF(_xlfn.XLOOKUP($A481,'RAWDATA Cars Buyers DB'!$A:$A,'RAWDATA Cars Buyers DB'!K:K)&gt;54,"Old ",IF(_xlfn.XLOOKUP($A481,'RAWDATA Cars Buyers DB'!$A:$A,'RAWDATA Cars Buyers DB'!K:K)&gt;=31,"Middle Age ",IF(_xlfn.XLOOKUP($A481,'RAWDATA Cars Buyers DB'!$A:$A,'RAWDATA Cars Buyers DB'!K:K)&lt;31,"Adolescent","Invalid")))</f>
        <v>Adolescent</v>
      </c>
      <c r="M481" s="8" t="str">
        <f>_xlfn.XLOOKUP($A481,'RAWDATA Cars Buyers DB'!$A:$A,'RAWDATA Cars Buyers DB'!L:L)</f>
        <v>No</v>
      </c>
    </row>
    <row r="482" spans="1:13">
      <c r="A482" s="6">
        <v>69275</v>
      </c>
      <c r="B482" s="10" t="str">
        <f>IF(_xlfn.XLOOKUP($A482,'RAWDATA Cars Buyers DB'!$A:$A,'RAWDATA Cars Buyers DB'!B:B)="S","Single","Married")</f>
        <v>Married</v>
      </c>
      <c r="C482" s="10" t="str">
        <f>IF(_xlfn.XLOOKUP($A482,'RAWDATA Cars Buyers DB'!$A:$A,'RAWDATA Cars Buyers DB'!C:C)="F","Female","Male")</f>
        <v>Male</v>
      </c>
      <c r="D482" s="7">
        <f>_xlfn.XLOOKUP($A482,'RAWDATA Cars Buyers DB'!$A:$A,'RAWDATA Cars Buyers DB'!D:D)</f>
        <v>76378</v>
      </c>
      <c r="E482" s="8">
        <f>_xlfn.XLOOKUP($A482,'RAWDATA Cars Buyers DB'!$A:$A,'RAWDATA Cars Buyers DB'!E:E)</f>
        <v>0</v>
      </c>
      <c r="F482" s="8" t="str">
        <f>_xlfn.XLOOKUP($A482,'RAWDATA Cars Buyers DB'!$A:$A,'RAWDATA Cars Buyers DB'!F:F)</f>
        <v>Bachelors</v>
      </c>
      <c r="G482" s="8" t="str">
        <f>_xlfn.XLOOKUP($A482,'RAWDATA Cars Buyers DB'!$A:$A,'RAWDATA Cars Buyers DB'!G:G)</f>
        <v>Professional</v>
      </c>
      <c r="H482" s="8" t="str">
        <f>_xlfn.XLOOKUP($A482,'RAWDATA Cars Buyers DB'!$A:$A,'RAWDATA Cars Buyers DB'!H:H)</f>
        <v>No</v>
      </c>
      <c r="I482" s="8" t="str">
        <f>_xlfn.XLOOKUP($A482,'RAWDATA Cars Buyers DB'!$A:$A,'RAWDATA Cars Buyers DB'!I:I)</f>
        <v>2–4 Kilometre</v>
      </c>
      <c r="J482" s="8" t="str">
        <f>_xlfn.XLOOKUP($A482,'RAWDATA Cars Buyers DB'!$A:$A,'RAWDATA Cars Buyers DB'!J:J)</f>
        <v>Brandenburg</v>
      </c>
      <c r="K482" s="8">
        <f>_xlfn.XLOOKUP($A482,'RAWDATA Cars Buyers DB'!$A:$A,'RAWDATA Cars Buyers DB'!K:K)</f>
        <v>22</v>
      </c>
      <c r="L482" s="10" t="str">
        <f>IF(_xlfn.XLOOKUP($A482,'RAWDATA Cars Buyers DB'!$A:$A,'RAWDATA Cars Buyers DB'!K:K)&gt;54,"Old ",IF(_xlfn.XLOOKUP($A482,'RAWDATA Cars Buyers DB'!$A:$A,'RAWDATA Cars Buyers DB'!K:K)&gt;=31,"Middle Age ",IF(_xlfn.XLOOKUP($A482,'RAWDATA Cars Buyers DB'!$A:$A,'RAWDATA Cars Buyers DB'!K:K)&lt;31,"Adolescent","Invalid")))</f>
        <v>Adolescent</v>
      </c>
      <c r="M482" s="8" t="str">
        <f>_xlfn.XLOOKUP($A482,'RAWDATA Cars Buyers DB'!$A:$A,'RAWDATA Cars Buyers DB'!L:L)</f>
        <v>Yes</v>
      </c>
    </row>
    <row r="483" spans="1:13">
      <c r="A483" s="6">
        <v>82369</v>
      </c>
      <c r="B483" s="10" t="str">
        <f>IF(_xlfn.XLOOKUP($A483,'RAWDATA Cars Buyers DB'!$A:$A,'RAWDATA Cars Buyers DB'!B:B)="S","Single","Married")</f>
        <v>Married</v>
      </c>
      <c r="C483" s="10" t="str">
        <f>IF(_xlfn.XLOOKUP($A483,'RAWDATA Cars Buyers DB'!$A:$A,'RAWDATA Cars Buyers DB'!C:C)="F","Female","Male")</f>
        <v>Male</v>
      </c>
      <c r="D483" s="7">
        <f>_xlfn.XLOOKUP($A483,'RAWDATA Cars Buyers DB'!$A:$A,'RAWDATA Cars Buyers DB'!D:D)</f>
        <v>91126</v>
      </c>
      <c r="E483" s="8">
        <f>_xlfn.XLOOKUP($A483,'RAWDATA Cars Buyers DB'!$A:$A,'RAWDATA Cars Buyers DB'!E:E)</f>
        <v>2</v>
      </c>
      <c r="F483" s="8" t="str">
        <f>_xlfn.XLOOKUP($A483,'RAWDATA Cars Buyers DB'!$A:$A,'RAWDATA Cars Buyers DB'!F:F)</f>
        <v>Bachelors</v>
      </c>
      <c r="G483" s="8" t="str">
        <f>_xlfn.XLOOKUP($A483,'RAWDATA Cars Buyers DB'!$A:$A,'RAWDATA Cars Buyers DB'!G:G)</f>
        <v>Management</v>
      </c>
      <c r="H483" s="8" t="str">
        <f>_xlfn.XLOOKUP($A483,'RAWDATA Cars Buyers DB'!$A:$A,'RAWDATA Cars Buyers DB'!H:H)</f>
        <v>No</v>
      </c>
      <c r="I483" s="8" t="str">
        <f>_xlfn.XLOOKUP($A483,'RAWDATA Cars Buyers DB'!$A:$A,'RAWDATA Cars Buyers DB'!I:I)</f>
        <v>6+ Kilometre</v>
      </c>
      <c r="J483" s="8" t="str">
        <f>_xlfn.XLOOKUP($A483,'RAWDATA Cars Buyers DB'!$A:$A,'RAWDATA Cars Buyers DB'!J:J)</f>
        <v>Rhineland-Palatinate</v>
      </c>
      <c r="K483" s="8">
        <f>_xlfn.XLOOKUP($A483,'RAWDATA Cars Buyers DB'!$A:$A,'RAWDATA Cars Buyers DB'!K:K)</f>
        <v>26</v>
      </c>
      <c r="L483" s="10" t="str">
        <f>IF(_xlfn.XLOOKUP($A483,'RAWDATA Cars Buyers DB'!$A:$A,'RAWDATA Cars Buyers DB'!K:K)&gt;54,"Old ",IF(_xlfn.XLOOKUP($A483,'RAWDATA Cars Buyers DB'!$A:$A,'RAWDATA Cars Buyers DB'!K:K)&gt;=31,"Middle Age ",IF(_xlfn.XLOOKUP($A483,'RAWDATA Cars Buyers DB'!$A:$A,'RAWDATA Cars Buyers DB'!K:K)&lt;31,"Adolescent","Invalid")))</f>
        <v>Adolescent</v>
      </c>
      <c r="M483" s="8" t="str">
        <f>_xlfn.XLOOKUP($A483,'RAWDATA Cars Buyers DB'!$A:$A,'RAWDATA Cars Buyers DB'!L:L)</f>
        <v>Yes</v>
      </c>
    </row>
    <row r="484" spans="1:13">
      <c r="A484" s="6">
        <v>21938</v>
      </c>
      <c r="B484" s="10" t="str">
        <f>IF(_xlfn.XLOOKUP($A484,'RAWDATA Cars Buyers DB'!$A:$A,'RAWDATA Cars Buyers DB'!B:B)="S","Single","Married")</f>
        <v>Married</v>
      </c>
      <c r="C484" s="10" t="str">
        <f>IF(_xlfn.XLOOKUP($A484,'RAWDATA Cars Buyers DB'!$A:$A,'RAWDATA Cars Buyers DB'!C:C)="F","Female","Male")</f>
        <v>Male</v>
      </c>
      <c r="D484" s="7">
        <f>_xlfn.XLOOKUP($A484,'RAWDATA Cars Buyers DB'!$A:$A,'RAWDATA Cars Buyers DB'!D:D)</f>
        <v>76071</v>
      </c>
      <c r="E484" s="8">
        <f>_xlfn.XLOOKUP($A484,'RAWDATA Cars Buyers DB'!$A:$A,'RAWDATA Cars Buyers DB'!E:E)</f>
        <v>1</v>
      </c>
      <c r="F484" s="8" t="str">
        <f>_xlfn.XLOOKUP($A484,'RAWDATA Cars Buyers DB'!$A:$A,'RAWDATA Cars Buyers DB'!F:F)</f>
        <v>High School</v>
      </c>
      <c r="G484" s="8" t="str">
        <f>_xlfn.XLOOKUP($A484,'RAWDATA Cars Buyers DB'!$A:$A,'RAWDATA Cars Buyers DB'!G:G)</f>
        <v>Skilled Manual</v>
      </c>
      <c r="H484" s="8" t="str">
        <f>_xlfn.XLOOKUP($A484,'RAWDATA Cars Buyers DB'!$A:$A,'RAWDATA Cars Buyers DB'!H:H)</f>
        <v>Yes</v>
      </c>
      <c r="I484" s="8" t="str">
        <f>_xlfn.XLOOKUP($A484,'RAWDATA Cars Buyers DB'!$A:$A,'RAWDATA Cars Buyers DB'!I:I)</f>
        <v>6+ Kilometre</v>
      </c>
      <c r="J484" s="8" t="str">
        <f>_xlfn.XLOOKUP($A484,'RAWDATA Cars Buyers DB'!$A:$A,'RAWDATA Cars Buyers DB'!J:J)</f>
        <v>Saxony-Anhalt</v>
      </c>
      <c r="K484" s="8">
        <f>_xlfn.XLOOKUP($A484,'RAWDATA Cars Buyers DB'!$A:$A,'RAWDATA Cars Buyers DB'!K:K)</f>
        <v>43</v>
      </c>
      <c r="L484" s="10" t="str">
        <f>IF(_xlfn.XLOOKUP($A484,'RAWDATA Cars Buyers DB'!$A:$A,'RAWDATA Cars Buyers DB'!K:K)&gt;54,"Old ",IF(_xlfn.XLOOKUP($A484,'RAWDATA Cars Buyers DB'!$A:$A,'RAWDATA Cars Buyers DB'!K:K)&gt;=31,"Middle Age ",IF(_xlfn.XLOOKUP($A484,'RAWDATA Cars Buyers DB'!$A:$A,'RAWDATA Cars Buyers DB'!K:K)&lt;31,"Adolescent","Invalid")))</f>
        <v xml:space="preserve">Middle Age </v>
      </c>
      <c r="M484" s="8" t="str">
        <f>_xlfn.XLOOKUP($A484,'RAWDATA Cars Buyers DB'!$A:$A,'RAWDATA Cars Buyers DB'!L:L)</f>
        <v>Yes</v>
      </c>
    </row>
    <row r="485" spans="1:13">
      <c r="A485" s="6">
        <v>45195</v>
      </c>
      <c r="B485" s="10" t="str">
        <f>IF(_xlfn.XLOOKUP($A485,'RAWDATA Cars Buyers DB'!$A:$A,'RAWDATA Cars Buyers DB'!B:B)="S","Single","Married")</f>
        <v>Single</v>
      </c>
      <c r="C485" s="10" t="str">
        <f>IF(_xlfn.XLOOKUP($A485,'RAWDATA Cars Buyers DB'!$A:$A,'RAWDATA Cars Buyers DB'!C:C)="F","Female","Male")</f>
        <v>Female</v>
      </c>
      <c r="D485" s="7">
        <f>_xlfn.XLOOKUP($A485,'RAWDATA Cars Buyers DB'!$A:$A,'RAWDATA Cars Buyers DB'!D:D)</f>
        <v>91121</v>
      </c>
      <c r="E485" s="8">
        <f>_xlfn.XLOOKUP($A485,'RAWDATA Cars Buyers DB'!$A:$A,'RAWDATA Cars Buyers DB'!E:E)</f>
        <v>0</v>
      </c>
      <c r="F485" s="8" t="str">
        <f>_xlfn.XLOOKUP($A485,'RAWDATA Cars Buyers DB'!$A:$A,'RAWDATA Cars Buyers DB'!F:F)</f>
        <v>Bachelors</v>
      </c>
      <c r="G485" s="8" t="str">
        <f>_xlfn.XLOOKUP($A485,'RAWDATA Cars Buyers DB'!$A:$A,'RAWDATA Cars Buyers DB'!G:G)</f>
        <v>Management</v>
      </c>
      <c r="H485" s="8" t="str">
        <f>_xlfn.XLOOKUP($A485,'RAWDATA Cars Buyers DB'!$A:$A,'RAWDATA Cars Buyers DB'!H:H)</f>
        <v>Yes</v>
      </c>
      <c r="I485" s="8" t="str">
        <f>_xlfn.XLOOKUP($A485,'RAWDATA Cars Buyers DB'!$A:$A,'RAWDATA Cars Buyers DB'!I:I)</f>
        <v>1–2 Kilometre</v>
      </c>
      <c r="J485" s="8" t="str">
        <f>_xlfn.XLOOKUP($A485,'RAWDATA Cars Buyers DB'!$A:$A,'RAWDATA Cars Buyers DB'!J:J)</f>
        <v>Brandenburg</v>
      </c>
      <c r="K485" s="8">
        <f>_xlfn.XLOOKUP($A485,'RAWDATA Cars Buyers DB'!$A:$A,'RAWDATA Cars Buyers DB'!K:K)</f>
        <v>41</v>
      </c>
      <c r="L485" s="10" t="str">
        <f>IF(_xlfn.XLOOKUP($A485,'RAWDATA Cars Buyers DB'!$A:$A,'RAWDATA Cars Buyers DB'!K:K)&gt;54,"Old ",IF(_xlfn.XLOOKUP($A485,'RAWDATA Cars Buyers DB'!$A:$A,'RAWDATA Cars Buyers DB'!K:K)&gt;=31,"Middle Age ",IF(_xlfn.XLOOKUP($A485,'RAWDATA Cars Buyers DB'!$A:$A,'RAWDATA Cars Buyers DB'!K:K)&lt;31,"Adolescent","Invalid")))</f>
        <v xml:space="preserve">Middle Age </v>
      </c>
      <c r="M485" s="8" t="str">
        <f>_xlfn.XLOOKUP($A485,'RAWDATA Cars Buyers DB'!$A:$A,'RAWDATA Cars Buyers DB'!L:L)</f>
        <v>Yes</v>
      </c>
    </row>
    <row r="486" spans="1:13">
      <c r="A486" s="6">
        <v>14000</v>
      </c>
      <c r="B486" s="10" t="str">
        <f>IF(_xlfn.XLOOKUP($A486,'RAWDATA Cars Buyers DB'!$A:$A,'RAWDATA Cars Buyers DB'!B:B)="S","Single","Married")</f>
        <v>Single</v>
      </c>
      <c r="C486" s="10" t="str">
        <f>IF(_xlfn.XLOOKUP($A486,'RAWDATA Cars Buyers DB'!$A:$A,'RAWDATA Cars Buyers DB'!C:C)="F","Female","Male")</f>
        <v>Female</v>
      </c>
      <c r="D486" s="7">
        <f>_xlfn.XLOOKUP($A486,'RAWDATA Cars Buyers DB'!$A:$A,'RAWDATA Cars Buyers DB'!D:D)</f>
        <v>94763</v>
      </c>
      <c r="E486" s="8">
        <f>_xlfn.XLOOKUP($A486,'RAWDATA Cars Buyers DB'!$A:$A,'RAWDATA Cars Buyers DB'!E:E)</f>
        <v>4</v>
      </c>
      <c r="F486" s="8" t="str">
        <f>_xlfn.XLOOKUP($A486,'RAWDATA Cars Buyers DB'!$A:$A,'RAWDATA Cars Buyers DB'!F:F)</f>
        <v>High School</v>
      </c>
      <c r="G486" s="8" t="str">
        <f>_xlfn.XLOOKUP($A486,'RAWDATA Cars Buyers DB'!$A:$A,'RAWDATA Cars Buyers DB'!G:G)</f>
        <v>Management</v>
      </c>
      <c r="H486" s="8" t="str">
        <f>_xlfn.XLOOKUP($A486,'RAWDATA Cars Buyers DB'!$A:$A,'RAWDATA Cars Buyers DB'!H:H)</f>
        <v>Yes</v>
      </c>
      <c r="I486" s="8" t="str">
        <f>_xlfn.XLOOKUP($A486,'RAWDATA Cars Buyers DB'!$A:$A,'RAWDATA Cars Buyers DB'!I:I)</f>
        <v>0–1 Kilometre</v>
      </c>
      <c r="J486" s="8" t="str">
        <f>_xlfn.XLOOKUP($A486,'RAWDATA Cars Buyers DB'!$A:$A,'RAWDATA Cars Buyers DB'!J:J)</f>
        <v>Mecklenburg-Vorpommern</v>
      </c>
      <c r="K486" s="8">
        <f>_xlfn.XLOOKUP($A486,'RAWDATA Cars Buyers DB'!$A:$A,'RAWDATA Cars Buyers DB'!K:K)</f>
        <v>64</v>
      </c>
      <c r="L486" s="10" t="str">
        <f>IF(_xlfn.XLOOKUP($A486,'RAWDATA Cars Buyers DB'!$A:$A,'RAWDATA Cars Buyers DB'!K:K)&gt;54,"Old ",IF(_xlfn.XLOOKUP($A486,'RAWDATA Cars Buyers DB'!$A:$A,'RAWDATA Cars Buyers DB'!K:K)&gt;=31,"Middle Age ",IF(_xlfn.XLOOKUP($A486,'RAWDATA Cars Buyers DB'!$A:$A,'RAWDATA Cars Buyers DB'!K:K)&lt;31,"Adolescent","Invalid")))</f>
        <v xml:space="preserve">Old </v>
      </c>
      <c r="M486" s="8" t="str">
        <f>_xlfn.XLOOKUP($A486,'RAWDATA Cars Buyers DB'!$A:$A,'RAWDATA Cars Buyers DB'!L:L)</f>
        <v>Yes</v>
      </c>
    </row>
    <row r="487" spans="1:13">
      <c r="A487" s="6">
        <v>80588</v>
      </c>
      <c r="B487" s="10" t="str">
        <f>IF(_xlfn.XLOOKUP($A487,'RAWDATA Cars Buyers DB'!$A:$A,'RAWDATA Cars Buyers DB'!B:B)="S","Single","Married")</f>
        <v>Married</v>
      </c>
      <c r="C487" s="10" t="str">
        <f>IF(_xlfn.XLOOKUP($A487,'RAWDATA Cars Buyers DB'!$A:$A,'RAWDATA Cars Buyers DB'!C:C)="F","Female","Male")</f>
        <v>Male</v>
      </c>
      <c r="D487" s="7">
        <f>_xlfn.XLOOKUP($A487,'RAWDATA Cars Buyers DB'!$A:$A,'RAWDATA Cars Buyers DB'!D:D)</f>
        <v>113814</v>
      </c>
      <c r="E487" s="8">
        <f>_xlfn.XLOOKUP($A487,'RAWDATA Cars Buyers DB'!$A:$A,'RAWDATA Cars Buyers DB'!E:E)</f>
        <v>0</v>
      </c>
      <c r="F487" s="8" t="str">
        <f>_xlfn.XLOOKUP($A487,'RAWDATA Cars Buyers DB'!$A:$A,'RAWDATA Cars Buyers DB'!F:F)</f>
        <v>Partial College</v>
      </c>
      <c r="G487" s="8" t="str">
        <f>_xlfn.XLOOKUP($A487,'RAWDATA Cars Buyers DB'!$A:$A,'RAWDATA Cars Buyers DB'!G:G)</f>
        <v>Clerical</v>
      </c>
      <c r="H487" s="8" t="str">
        <f>_xlfn.XLOOKUP($A487,'RAWDATA Cars Buyers DB'!$A:$A,'RAWDATA Cars Buyers DB'!H:H)</f>
        <v>No</v>
      </c>
      <c r="I487" s="8" t="str">
        <f>_xlfn.XLOOKUP($A487,'RAWDATA Cars Buyers DB'!$A:$A,'RAWDATA Cars Buyers DB'!I:I)</f>
        <v>1–2 Kilometre</v>
      </c>
      <c r="J487" s="8" t="str">
        <f>_xlfn.XLOOKUP($A487,'RAWDATA Cars Buyers DB'!$A:$A,'RAWDATA Cars Buyers DB'!J:J)</f>
        <v>Berlin</v>
      </c>
      <c r="K487" s="8">
        <f>_xlfn.XLOOKUP($A487,'RAWDATA Cars Buyers DB'!$A:$A,'RAWDATA Cars Buyers DB'!K:K)</f>
        <v>42</v>
      </c>
      <c r="L487" s="10" t="str">
        <f>IF(_xlfn.XLOOKUP($A487,'RAWDATA Cars Buyers DB'!$A:$A,'RAWDATA Cars Buyers DB'!K:K)&gt;54,"Old ",IF(_xlfn.XLOOKUP($A487,'RAWDATA Cars Buyers DB'!$A:$A,'RAWDATA Cars Buyers DB'!K:K)&gt;=31,"Middle Age ",IF(_xlfn.XLOOKUP($A487,'RAWDATA Cars Buyers DB'!$A:$A,'RAWDATA Cars Buyers DB'!K:K)&lt;31,"Adolescent","Invalid")))</f>
        <v xml:space="preserve">Middle Age </v>
      </c>
      <c r="M487" s="8" t="str">
        <f>_xlfn.XLOOKUP($A487,'RAWDATA Cars Buyers DB'!$A:$A,'RAWDATA Cars Buyers DB'!L:L)</f>
        <v>Yes</v>
      </c>
    </row>
    <row r="488" spans="1:13">
      <c r="A488" s="6">
        <v>48304</v>
      </c>
      <c r="B488" s="10" t="str">
        <f>IF(_xlfn.XLOOKUP($A488,'RAWDATA Cars Buyers DB'!$A:$A,'RAWDATA Cars Buyers DB'!B:B)="S","Single","Married")</f>
        <v>Single</v>
      </c>
      <c r="C488" s="10" t="str">
        <f>IF(_xlfn.XLOOKUP($A488,'RAWDATA Cars Buyers DB'!$A:$A,'RAWDATA Cars Buyers DB'!C:C)="F","Female","Male")</f>
        <v>Male</v>
      </c>
      <c r="D488" s="7">
        <f>_xlfn.XLOOKUP($A488,'RAWDATA Cars Buyers DB'!$A:$A,'RAWDATA Cars Buyers DB'!D:D)</f>
        <v>32237</v>
      </c>
      <c r="E488" s="8">
        <f>_xlfn.XLOOKUP($A488,'RAWDATA Cars Buyers DB'!$A:$A,'RAWDATA Cars Buyers DB'!E:E)</f>
        <v>0</v>
      </c>
      <c r="F488" s="8" t="str">
        <f>_xlfn.XLOOKUP($A488,'RAWDATA Cars Buyers DB'!$A:$A,'RAWDATA Cars Buyers DB'!F:F)</f>
        <v>Graduate Degree</v>
      </c>
      <c r="G488" s="8" t="str">
        <f>_xlfn.XLOOKUP($A488,'RAWDATA Cars Buyers DB'!$A:$A,'RAWDATA Cars Buyers DB'!G:G)</f>
        <v>Clerical</v>
      </c>
      <c r="H488" s="8" t="str">
        <f>_xlfn.XLOOKUP($A488,'RAWDATA Cars Buyers DB'!$A:$A,'RAWDATA Cars Buyers DB'!H:H)</f>
        <v>Yes</v>
      </c>
      <c r="I488" s="8" t="str">
        <f>_xlfn.XLOOKUP($A488,'RAWDATA Cars Buyers DB'!$A:$A,'RAWDATA Cars Buyers DB'!I:I)</f>
        <v>0–1 Kilometre</v>
      </c>
      <c r="J488" s="8" t="str">
        <f>_xlfn.XLOOKUP($A488,'RAWDATA Cars Buyers DB'!$A:$A,'RAWDATA Cars Buyers DB'!J:J)</f>
        <v>Berlin</v>
      </c>
      <c r="K488" s="8">
        <f>_xlfn.XLOOKUP($A488,'RAWDATA Cars Buyers DB'!$A:$A,'RAWDATA Cars Buyers DB'!K:K)</f>
        <v>49</v>
      </c>
      <c r="L488" s="10" t="str">
        <f>IF(_xlfn.XLOOKUP($A488,'RAWDATA Cars Buyers DB'!$A:$A,'RAWDATA Cars Buyers DB'!K:K)&gt;54,"Old ",IF(_xlfn.XLOOKUP($A488,'RAWDATA Cars Buyers DB'!$A:$A,'RAWDATA Cars Buyers DB'!K:K)&gt;=31,"Middle Age ",IF(_xlfn.XLOOKUP($A488,'RAWDATA Cars Buyers DB'!$A:$A,'RAWDATA Cars Buyers DB'!K:K)&lt;31,"Adolescent","Invalid")))</f>
        <v xml:space="preserve">Middle Age </v>
      </c>
      <c r="M488" s="8" t="str">
        <f>_xlfn.XLOOKUP($A488,'RAWDATA Cars Buyers DB'!$A:$A,'RAWDATA Cars Buyers DB'!L:L)</f>
        <v>Yes</v>
      </c>
    </row>
    <row r="489" spans="1:13">
      <c r="A489" s="6">
        <v>79449</v>
      </c>
      <c r="B489" s="10" t="str">
        <f>IF(_xlfn.XLOOKUP($A489,'RAWDATA Cars Buyers DB'!$A:$A,'RAWDATA Cars Buyers DB'!B:B)="S","Single","Married")</f>
        <v>Single</v>
      </c>
      <c r="C489" s="10" t="str">
        <f>IF(_xlfn.XLOOKUP($A489,'RAWDATA Cars Buyers DB'!$A:$A,'RAWDATA Cars Buyers DB'!C:C)="F","Female","Male")</f>
        <v>Male</v>
      </c>
      <c r="D489" s="7">
        <f>_xlfn.XLOOKUP($A489,'RAWDATA Cars Buyers DB'!$A:$A,'RAWDATA Cars Buyers DB'!D:D)</f>
        <v>35649</v>
      </c>
      <c r="E489" s="8">
        <f>_xlfn.XLOOKUP($A489,'RAWDATA Cars Buyers DB'!$A:$A,'RAWDATA Cars Buyers DB'!E:E)</f>
        <v>5</v>
      </c>
      <c r="F489" s="8" t="str">
        <f>_xlfn.XLOOKUP($A489,'RAWDATA Cars Buyers DB'!$A:$A,'RAWDATA Cars Buyers DB'!F:F)</f>
        <v>Bachelors</v>
      </c>
      <c r="G489" s="8" t="str">
        <f>_xlfn.XLOOKUP($A489,'RAWDATA Cars Buyers DB'!$A:$A,'RAWDATA Cars Buyers DB'!G:G)</f>
        <v>Skilled Manual</v>
      </c>
      <c r="H489" s="8" t="str">
        <f>_xlfn.XLOOKUP($A489,'RAWDATA Cars Buyers DB'!$A:$A,'RAWDATA Cars Buyers DB'!H:H)</f>
        <v>Yes</v>
      </c>
      <c r="I489" s="8" t="str">
        <f>_xlfn.XLOOKUP($A489,'RAWDATA Cars Buyers DB'!$A:$A,'RAWDATA Cars Buyers DB'!I:I)</f>
        <v>0–1 Kilometre</v>
      </c>
      <c r="J489" s="8" t="str">
        <f>_xlfn.XLOOKUP($A489,'RAWDATA Cars Buyers DB'!$A:$A,'RAWDATA Cars Buyers DB'!J:J)</f>
        <v>Baden-Württemberg</v>
      </c>
      <c r="K489" s="8">
        <f>_xlfn.XLOOKUP($A489,'RAWDATA Cars Buyers DB'!$A:$A,'RAWDATA Cars Buyers DB'!K:K)</f>
        <v>37</v>
      </c>
      <c r="L489" s="10" t="str">
        <f>IF(_xlfn.XLOOKUP($A489,'RAWDATA Cars Buyers DB'!$A:$A,'RAWDATA Cars Buyers DB'!K:K)&gt;54,"Old ",IF(_xlfn.XLOOKUP($A489,'RAWDATA Cars Buyers DB'!$A:$A,'RAWDATA Cars Buyers DB'!K:K)&gt;=31,"Middle Age ",IF(_xlfn.XLOOKUP($A489,'RAWDATA Cars Buyers DB'!$A:$A,'RAWDATA Cars Buyers DB'!K:K)&lt;31,"Adolescent","Invalid")))</f>
        <v xml:space="preserve">Middle Age </v>
      </c>
      <c r="M489" s="8" t="str">
        <f>_xlfn.XLOOKUP($A489,'RAWDATA Cars Buyers DB'!$A:$A,'RAWDATA Cars Buyers DB'!L:L)</f>
        <v>No</v>
      </c>
    </row>
    <row r="490" spans="1:13">
      <c r="A490" s="6">
        <v>92986</v>
      </c>
      <c r="B490" s="10" t="str">
        <f>IF(_xlfn.XLOOKUP($A490,'RAWDATA Cars Buyers DB'!$A:$A,'RAWDATA Cars Buyers DB'!B:B)="S","Single","Married")</f>
        <v>Single</v>
      </c>
      <c r="C490" s="10" t="str">
        <f>IF(_xlfn.XLOOKUP($A490,'RAWDATA Cars Buyers DB'!$A:$A,'RAWDATA Cars Buyers DB'!C:C)="F","Female","Male")</f>
        <v>Female</v>
      </c>
      <c r="D490" s="7">
        <f>_xlfn.XLOOKUP($A490,'RAWDATA Cars Buyers DB'!$A:$A,'RAWDATA Cars Buyers DB'!D:D)</f>
        <v>57713</v>
      </c>
      <c r="E490" s="8">
        <f>_xlfn.XLOOKUP($A490,'RAWDATA Cars Buyers DB'!$A:$A,'RAWDATA Cars Buyers DB'!E:E)</f>
        <v>0</v>
      </c>
      <c r="F490" s="8" t="str">
        <f>_xlfn.XLOOKUP($A490,'RAWDATA Cars Buyers DB'!$A:$A,'RAWDATA Cars Buyers DB'!F:F)</f>
        <v>Graduate Degree</v>
      </c>
      <c r="G490" s="8" t="str">
        <f>_xlfn.XLOOKUP($A490,'RAWDATA Cars Buyers DB'!$A:$A,'RAWDATA Cars Buyers DB'!G:G)</f>
        <v>Management</v>
      </c>
      <c r="H490" s="8" t="str">
        <f>_xlfn.XLOOKUP($A490,'RAWDATA Cars Buyers DB'!$A:$A,'RAWDATA Cars Buyers DB'!H:H)</f>
        <v>No</v>
      </c>
      <c r="I490" s="8" t="str">
        <f>_xlfn.XLOOKUP($A490,'RAWDATA Cars Buyers DB'!$A:$A,'RAWDATA Cars Buyers DB'!I:I)</f>
        <v>6+ Kilometre</v>
      </c>
      <c r="J490" s="8" t="str">
        <f>_xlfn.XLOOKUP($A490,'RAWDATA Cars Buyers DB'!$A:$A,'RAWDATA Cars Buyers DB'!J:J)</f>
        <v>Saxony</v>
      </c>
      <c r="K490" s="8">
        <f>_xlfn.XLOOKUP($A490,'RAWDATA Cars Buyers DB'!$A:$A,'RAWDATA Cars Buyers DB'!K:K)</f>
        <v>51</v>
      </c>
      <c r="L490" s="10" t="str">
        <f>IF(_xlfn.XLOOKUP($A490,'RAWDATA Cars Buyers DB'!$A:$A,'RAWDATA Cars Buyers DB'!K:K)&gt;54,"Old ",IF(_xlfn.XLOOKUP($A490,'RAWDATA Cars Buyers DB'!$A:$A,'RAWDATA Cars Buyers DB'!K:K)&gt;=31,"Middle Age ",IF(_xlfn.XLOOKUP($A490,'RAWDATA Cars Buyers DB'!$A:$A,'RAWDATA Cars Buyers DB'!K:K)&lt;31,"Adolescent","Invalid")))</f>
        <v xml:space="preserve">Middle Age </v>
      </c>
      <c r="M490" s="8" t="str">
        <f>_xlfn.XLOOKUP($A490,'RAWDATA Cars Buyers DB'!$A:$A,'RAWDATA Cars Buyers DB'!L:L)</f>
        <v>No</v>
      </c>
    </row>
    <row r="491" spans="1:13">
      <c r="A491" s="6">
        <v>99643</v>
      </c>
      <c r="B491" s="10" t="str">
        <f>IF(_xlfn.XLOOKUP($A491,'RAWDATA Cars Buyers DB'!$A:$A,'RAWDATA Cars Buyers DB'!B:B)="S","Single","Married")</f>
        <v>Married</v>
      </c>
      <c r="C491" s="10" t="str">
        <f>IF(_xlfn.XLOOKUP($A491,'RAWDATA Cars Buyers DB'!$A:$A,'RAWDATA Cars Buyers DB'!C:C)="F","Female","Male")</f>
        <v>Male</v>
      </c>
      <c r="D491" s="7">
        <f>_xlfn.XLOOKUP($A491,'RAWDATA Cars Buyers DB'!$A:$A,'RAWDATA Cars Buyers DB'!D:D)</f>
        <v>93463</v>
      </c>
      <c r="E491" s="8">
        <f>_xlfn.XLOOKUP($A491,'RAWDATA Cars Buyers DB'!$A:$A,'RAWDATA Cars Buyers DB'!E:E)</f>
        <v>2</v>
      </c>
      <c r="F491" s="8" t="str">
        <f>_xlfn.XLOOKUP($A491,'RAWDATA Cars Buyers DB'!$A:$A,'RAWDATA Cars Buyers DB'!F:F)</f>
        <v>Graduate Degree</v>
      </c>
      <c r="G491" s="8" t="str">
        <f>_xlfn.XLOOKUP($A491,'RAWDATA Cars Buyers DB'!$A:$A,'RAWDATA Cars Buyers DB'!G:G)</f>
        <v>Clerical</v>
      </c>
      <c r="H491" s="8" t="str">
        <f>_xlfn.XLOOKUP($A491,'RAWDATA Cars Buyers DB'!$A:$A,'RAWDATA Cars Buyers DB'!H:H)</f>
        <v>No</v>
      </c>
      <c r="I491" s="8" t="str">
        <f>_xlfn.XLOOKUP($A491,'RAWDATA Cars Buyers DB'!$A:$A,'RAWDATA Cars Buyers DB'!I:I)</f>
        <v>0–1 Kilometre</v>
      </c>
      <c r="J491" s="8" t="str">
        <f>_xlfn.XLOOKUP($A491,'RAWDATA Cars Buyers DB'!$A:$A,'RAWDATA Cars Buyers DB'!J:J)</f>
        <v>Saxony-Anhalt</v>
      </c>
      <c r="K491" s="8">
        <f>_xlfn.XLOOKUP($A491,'RAWDATA Cars Buyers DB'!$A:$A,'RAWDATA Cars Buyers DB'!K:K)</f>
        <v>26</v>
      </c>
      <c r="L491" s="10" t="str">
        <f>IF(_xlfn.XLOOKUP($A491,'RAWDATA Cars Buyers DB'!$A:$A,'RAWDATA Cars Buyers DB'!K:K)&gt;54,"Old ",IF(_xlfn.XLOOKUP($A491,'RAWDATA Cars Buyers DB'!$A:$A,'RAWDATA Cars Buyers DB'!K:K)&gt;=31,"Middle Age ",IF(_xlfn.XLOOKUP($A491,'RAWDATA Cars Buyers DB'!$A:$A,'RAWDATA Cars Buyers DB'!K:K)&lt;31,"Adolescent","Invalid")))</f>
        <v>Adolescent</v>
      </c>
      <c r="M491" s="8" t="str">
        <f>_xlfn.XLOOKUP($A491,'RAWDATA Cars Buyers DB'!$A:$A,'RAWDATA Cars Buyers DB'!L:L)</f>
        <v>Yes</v>
      </c>
    </row>
    <row r="492" spans="1:13">
      <c r="A492" s="6">
        <v>30764</v>
      </c>
      <c r="B492" s="10" t="str">
        <f>IF(_xlfn.XLOOKUP($A492,'RAWDATA Cars Buyers DB'!$A:$A,'RAWDATA Cars Buyers DB'!B:B)="S","Single","Married")</f>
        <v>Married</v>
      </c>
      <c r="C492" s="10" t="str">
        <f>IF(_xlfn.XLOOKUP($A492,'RAWDATA Cars Buyers DB'!$A:$A,'RAWDATA Cars Buyers DB'!C:C)="F","Female","Male")</f>
        <v>Male</v>
      </c>
      <c r="D492" s="7">
        <f>_xlfn.XLOOKUP($A492,'RAWDATA Cars Buyers DB'!$A:$A,'RAWDATA Cars Buyers DB'!D:D)</f>
        <v>65409</v>
      </c>
      <c r="E492" s="8">
        <f>_xlfn.XLOOKUP($A492,'RAWDATA Cars Buyers DB'!$A:$A,'RAWDATA Cars Buyers DB'!E:E)</f>
        <v>0</v>
      </c>
      <c r="F492" s="8" t="str">
        <f>_xlfn.XLOOKUP($A492,'RAWDATA Cars Buyers DB'!$A:$A,'RAWDATA Cars Buyers DB'!F:F)</f>
        <v>Bachelors</v>
      </c>
      <c r="G492" s="8" t="str">
        <f>_xlfn.XLOOKUP($A492,'RAWDATA Cars Buyers DB'!$A:$A,'RAWDATA Cars Buyers DB'!G:G)</f>
        <v>Clerical</v>
      </c>
      <c r="H492" s="8" t="str">
        <f>_xlfn.XLOOKUP($A492,'RAWDATA Cars Buyers DB'!$A:$A,'RAWDATA Cars Buyers DB'!H:H)</f>
        <v>Yes</v>
      </c>
      <c r="I492" s="8" t="str">
        <f>_xlfn.XLOOKUP($A492,'RAWDATA Cars Buyers DB'!$A:$A,'RAWDATA Cars Buyers DB'!I:I)</f>
        <v>2–4 Kilometre</v>
      </c>
      <c r="J492" s="8" t="str">
        <f>_xlfn.XLOOKUP($A492,'RAWDATA Cars Buyers DB'!$A:$A,'RAWDATA Cars Buyers DB'!J:J)</f>
        <v>Rhineland-Palatinate</v>
      </c>
      <c r="K492" s="8">
        <f>_xlfn.XLOOKUP($A492,'RAWDATA Cars Buyers DB'!$A:$A,'RAWDATA Cars Buyers DB'!K:K)</f>
        <v>52</v>
      </c>
      <c r="L492" s="10" t="str">
        <f>IF(_xlfn.XLOOKUP($A492,'RAWDATA Cars Buyers DB'!$A:$A,'RAWDATA Cars Buyers DB'!K:K)&gt;54,"Old ",IF(_xlfn.XLOOKUP($A492,'RAWDATA Cars Buyers DB'!$A:$A,'RAWDATA Cars Buyers DB'!K:K)&gt;=31,"Middle Age ",IF(_xlfn.XLOOKUP($A492,'RAWDATA Cars Buyers DB'!$A:$A,'RAWDATA Cars Buyers DB'!K:K)&lt;31,"Adolescent","Invalid")))</f>
        <v xml:space="preserve">Middle Age </v>
      </c>
      <c r="M492" s="8" t="str">
        <f>_xlfn.XLOOKUP($A492,'RAWDATA Cars Buyers DB'!$A:$A,'RAWDATA Cars Buyers DB'!L:L)</f>
        <v>No</v>
      </c>
    </row>
    <row r="493" spans="1:13">
      <c r="A493" s="6">
        <v>96027</v>
      </c>
      <c r="B493" s="10" t="str">
        <f>IF(_xlfn.XLOOKUP($A493,'RAWDATA Cars Buyers DB'!$A:$A,'RAWDATA Cars Buyers DB'!B:B)="S","Single","Married")</f>
        <v>Married</v>
      </c>
      <c r="C493" s="10" t="str">
        <f>IF(_xlfn.XLOOKUP($A493,'RAWDATA Cars Buyers DB'!$A:$A,'RAWDATA Cars Buyers DB'!C:C)="F","Female","Male")</f>
        <v>Female</v>
      </c>
      <c r="D493" s="7">
        <f>_xlfn.XLOOKUP($A493,'RAWDATA Cars Buyers DB'!$A:$A,'RAWDATA Cars Buyers DB'!D:D)</f>
        <v>68766</v>
      </c>
      <c r="E493" s="8">
        <f>_xlfn.XLOOKUP($A493,'RAWDATA Cars Buyers DB'!$A:$A,'RAWDATA Cars Buyers DB'!E:E)</f>
        <v>2</v>
      </c>
      <c r="F493" s="8" t="str">
        <f>_xlfn.XLOOKUP($A493,'RAWDATA Cars Buyers DB'!$A:$A,'RAWDATA Cars Buyers DB'!F:F)</f>
        <v>Bachelors</v>
      </c>
      <c r="G493" s="8" t="str">
        <f>_xlfn.XLOOKUP($A493,'RAWDATA Cars Buyers DB'!$A:$A,'RAWDATA Cars Buyers DB'!G:G)</f>
        <v>Management</v>
      </c>
      <c r="H493" s="8" t="str">
        <f>_xlfn.XLOOKUP($A493,'RAWDATA Cars Buyers DB'!$A:$A,'RAWDATA Cars Buyers DB'!H:H)</f>
        <v>Yes</v>
      </c>
      <c r="I493" s="8" t="str">
        <f>_xlfn.XLOOKUP($A493,'RAWDATA Cars Buyers DB'!$A:$A,'RAWDATA Cars Buyers DB'!I:I)</f>
        <v>2–4 Kilometre</v>
      </c>
      <c r="J493" s="8" t="str">
        <f>_xlfn.XLOOKUP($A493,'RAWDATA Cars Buyers DB'!$A:$A,'RAWDATA Cars Buyers DB'!J:J)</f>
        <v>Bremen</v>
      </c>
      <c r="K493" s="8">
        <f>_xlfn.XLOOKUP($A493,'RAWDATA Cars Buyers DB'!$A:$A,'RAWDATA Cars Buyers DB'!K:K)</f>
        <v>24</v>
      </c>
      <c r="L493" s="10" t="str">
        <f>IF(_xlfn.XLOOKUP($A493,'RAWDATA Cars Buyers DB'!$A:$A,'RAWDATA Cars Buyers DB'!K:K)&gt;54,"Old ",IF(_xlfn.XLOOKUP($A493,'RAWDATA Cars Buyers DB'!$A:$A,'RAWDATA Cars Buyers DB'!K:K)&gt;=31,"Middle Age ",IF(_xlfn.XLOOKUP($A493,'RAWDATA Cars Buyers DB'!$A:$A,'RAWDATA Cars Buyers DB'!K:K)&lt;31,"Adolescent","Invalid")))</f>
        <v>Adolescent</v>
      </c>
      <c r="M493" s="8" t="str">
        <f>_xlfn.XLOOKUP($A493,'RAWDATA Cars Buyers DB'!$A:$A,'RAWDATA Cars Buyers DB'!L:L)</f>
        <v>No</v>
      </c>
    </row>
    <row r="494" spans="1:13">
      <c r="A494" s="6">
        <v>48494</v>
      </c>
      <c r="B494" s="10" t="str">
        <f>IF(_xlfn.XLOOKUP($A494,'RAWDATA Cars Buyers DB'!$A:$A,'RAWDATA Cars Buyers DB'!B:B)="S","Single","Married")</f>
        <v>Married</v>
      </c>
      <c r="C494" s="10" t="str">
        <f>IF(_xlfn.XLOOKUP($A494,'RAWDATA Cars Buyers DB'!$A:$A,'RAWDATA Cars Buyers DB'!C:C)="F","Female","Male")</f>
        <v>Female</v>
      </c>
      <c r="D494" s="7">
        <f>_xlfn.XLOOKUP($A494,'RAWDATA Cars Buyers DB'!$A:$A,'RAWDATA Cars Buyers DB'!D:D)</f>
        <v>66154</v>
      </c>
      <c r="E494" s="8">
        <f>_xlfn.XLOOKUP($A494,'RAWDATA Cars Buyers DB'!$A:$A,'RAWDATA Cars Buyers DB'!E:E)</f>
        <v>4</v>
      </c>
      <c r="F494" s="8" t="str">
        <f>_xlfn.XLOOKUP($A494,'RAWDATA Cars Buyers DB'!$A:$A,'RAWDATA Cars Buyers DB'!F:F)</f>
        <v>Partial College</v>
      </c>
      <c r="G494" s="8" t="str">
        <f>_xlfn.XLOOKUP($A494,'RAWDATA Cars Buyers DB'!$A:$A,'RAWDATA Cars Buyers DB'!G:G)</f>
        <v>Skilled Manual</v>
      </c>
      <c r="H494" s="8" t="str">
        <f>_xlfn.XLOOKUP($A494,'RAWDATA Cars Buyers DB'!$A:$A,'RAWDATA Cars Buyers DB'!H:H)</f>
        <v>No</v>
      </c>
      <c r="I494" s="8" t="str">
        <f>_xlfn.XLOOKUP($A494,'RAWDATA Cars Buyers DB'!$A:$A,'RAWDATA Cars Buyers DB'!I:I)</f>
        <v>2–4 Kilometre</v>
      </c>
      <c r="J494" s="8" t="str">
        <f>_xlfn.XLOOKUP($A494,'RAWDATA Cars Buyers DB'!$A:$A,'RAWDATA Cars Buyers DB'!J:J)</f>
        <v>Hamburg</v>
      </c>
      <c r="K494" s="8">
        <f>_xlfn.XLOOKUP($A494,'RAWDATA Cars Buyers DB'!$A:$A,'RAWDATA Cars Buyers DB'!K:K)</f>
        <v>68</v>
      </c>
      <c r="L494" s="10" t="str">
        <f>IF(_xlfn.XLOOKUP($A494,'RAWDATA Cars Buyers DB'!$A:$A,'RAWDATA Cars Buyers DB'!K:K)&gt;54,"Old ",IF(_xlfn.XLOOKUP($A494,'RAWDATA Cars Buyers DB'!$A:$A,'RAWDATA Cars Buyers DB'!K:K)&gt;=31,"Middle Age ",IF(_xlfn.XLOOKUP($A494,'RAWDATA Cars Buyers DB'!$A:$A,'RAWDATA Cars Buyers DB'!K:K)&lt;31,"Adolescent","Invalid")))</f>
        <v xml:space="preserve">Old </v>
      </c>
      <c r="M494" s="8" t="str">
        <f>_xlfn.XLOOKUP($A494,'RAWDATA Cars Buyers DB'!$A:$A,'RAWDATA Cars Buyers DB'!L:L)</f>
        <v>No</v>
      </c>
    </row>
    <row r="495" spans="1:13">
      <c r="A495" s="6">
        <v>13373</v>
      </c>
      <c r="B495" s="10" t="str">
        <f>IF(_xlfn.XLOOKUP($A495,'RAWDATA Cars Buyers DB'!$A:$A,'RAWDATA Cars Buyers DB'!B:B)="S","Single","Married")</f>
        <v>Married</v>
      </c>
      <c r="C495" s="10" t="str">
        <f>IF(_xlfn.XLOOKUP($A495,'RAWDATA Cars Buyers DB'!$A:$A,'RAWDATA Cars Buyers DB'!C:C)="F","Female","Male")</f>
        <v>Female</v>
      </c>
      <c r="D495" s="7">
        <f>_xlfn.XLOOKUP($A495,'RAWDATA Cars Buyers DB'!$A:$A,'RAWDATA Cars Buyers DB'!D:D)</f>
        <v>27016</v>
      </c>
      <c r="E495" s="8">
        <f>_xlfn.XLOOKUP($A495,'RAWDATA Cars Buyers DB'!$A:$A,'RAWDATA Cars Buyers DB'!E:E)</f>
        <v>2</v>
      </c>
      <c r="F495" s="8" t="str">
        <f>_xlfn.XLOOKUP($A495,'RAWDATA Cars Buyers DB'!$A:$A,'RAWDATA Cars Buyers DB'!F:F)</f>
        <v>High School</v>
      </c>
      <c r="G495" s="8" t="str">
        <f>_xlfn.XLOOKUP($A495,'RAWDATA Cars Buyers DB'!$A:$A,'RAWDATA Cars Buyers DB'!G:G)</f>
        <v>Skilled Manual</v>
      </c>
      <c r="H495" s="8" t="str">
        <f>_xlfn.XLOOKUP($A495,'RAWDATA Cars Buyers DB'!$A:$A,'RAWDATA Cars Buyers DB'!H:H)</f>
        <v>No</v>
      </c>
      <c r="I495" s="8" t="str">
        <f>_xlfn.XLOOKUP($A495,'RAWDATA Cars Buyers DB'!$A:$A,'RAWDATA Cars Buyers DB'!I:I)</f>
        <v>6+ Kilometre</v>
      </c>
      <c r="J495" s="8" t="str">
        <f>_xlfn.XLOOKUP($A495,'RAWDATA Cars Buyers DB'!$A:$A,'RAWDATA Cars Buyers DB'!J:J)</f>
        <v>Bavaria</v>
      </c>
      <c r="K495" s="8">
        <f>_xlfn.XLOOKUP($A495,'RAWDATA Cars Buyers DB'!$A:$A,'RAWDATA Cars Buyers DB'!K:K)</f>
        <v>47</v>
      </c>
      <c r="L495" s="10" t="str">
        <f>IF(_xlfn.XLOOKUP($A495,'RAWDATA Cars Buyers DB'!$A:$A,'RAWDATA Cars Buyers DB'!K:K)&gt;54,"Old ",IF(_xlfn.XLOOKUP($A495,'RAWDATA Cars Buyers DB'!$A:$A,'RAWDATA Cars Buyers DB'!K:K)&gt;=31,"Middle Age ",IF(_xlfn.XLOOKUP($A495,'RAWDATA Cars Buyers DB'!$A:$A,'RAWDATA Cars Buyers DB'!K:K)&lt;31,"Adolescent","Invalid")))</f>
        <v xml:space="preserve">Middle Age </v>
      </c>
      <c r="M495" s="8" t="str">
        <f>_xlfn.XLOOKUP($A495,'RAWDATA Cars Buyers DB'!$A:$A,'RAWDATA Cars Buyers DB'!L:L)</f>
        <v>No</v>
      </c>
    </row>
    <row r="496" spans="1:13">
      <c r="A496" s="6">
        <v>22161</v>
      </c>
      <c r="B496" s="10" t="str">
        <f>IF(_xlfn.XLOOKUP($A496,'RAWDATA Cars Buyers DB'!$A:$A,'RAWDATA Cars Buyers DB'!B:B)="S","Single","Married")</f>
        <v>Married</v>
      </c>
      <c r="C496" s="10" t="str">
        <f>IF(_xlfn.XLOOKUP($A496,'RAWDATA Cars Buyers DB'!$A:$A,'RAWDATA Cars Buyers DB'!C:C)="F","Female","Male")</f>
        <v>Male</v>
      </c>
      <c r="D496" s="7">
        <f>_xlfn.XLOOKUP($A496,'RAWDATA Cars Buyers DB'!$A:$A,'RAWDATA Cars Buyers DB'!D:D)</f>
        <v>99563</v>
      </c>
      <c r="E496" s="8">
        <f>_xlfn.XLOOKUP($A496,'RAWDATA Cars Buyers DB'!$A:$A,'RAWDATA Cars Buyers DB'!E:E)</f>
        <v>4</v>
      </c>
      <c r="F496" s="8" t="str">
        <f>_xlfn.XLOOKUP($A496,'RAWDATA Cars Buyers DB'!$A:$A,'RAWDATA Cars Buyers DB'!F:F)</f>
        <v>High School</v>
      </c>
      <c r="G496" s="8" t="str">
        <f>_xlfn.XLOOKUP($A496,'RAWDATA Cars Buyers DB'!$A:$A,'RAWDATA Cars Buyers DB'!G:G)</f>
        <v>Management</v>
      </c>
      <c r="H496" s="8" t="str">
        <f>_xlfn.XLOOKUP($A496,'RAWDATA Cars Buyers DB'!$A:$A,'RAWDATA Cars Buyers DB'!H:H)</f>
        <v>No</v>
      </c>
      <c r="I496" s="8" t="str">
        <f>_xlfn.XLOOKUP($A496,'RAWDATA Cars Buyers DB'!$A:$A,'RAWDATA Cars Buyers DB'!I:I)</f>
        <v>1–2 Kilometre</v>
      </c>
      <c r="J496" s="8" t="str">
        <f>_xlfn.XLOOKUP($A496,'RAWDATA Cars Buyers DB'!$A:$A,'RAWDATA Cars Buyers DB'!J:J)</f>
        <v>Saarland</v>
      </c>
      <c r="K496" s="8">
        <f>_xlfn.XLOOKUP($A496,'RAWDATA Cars Buyers DB'!$A:$A,'RAWDATA Cars Buyers DB'!K:K)</f>
        <v>27</v>
      </c>
      <c r="L496" s="10" t="str">
        <f>IF(_xlfn.XLOOKUP($A496,'RAWDATA Cars Buyers DB'!$A:$A,'RAWDATA Cars Buyers DB'!K:K)&gt;54,"Old ",IF(_xlfn.XLOOKUP($A496,'RAWDATA Cars Buyers DB'!$A:$A,'RAWDATA Cars Buyers DB'!K:K)&gt;=31,"Middle Age ",IF(_xlfn.XLOOKUP($A496,'RAWDATA Cars Buyers DB'!$A:$A,'RAWDATA Cars Buyers DB'!K:K)&lt;31,"Adolescent","Invalid")))</f>
        <v>Adolescent</v>
      </c>
      <c r="M496" s="8" t="str">
        <f>_xlfn.XLOOKUP($A496,'RAWDATA Cars Buyers DB'!$A:$A,'RAWDATA Cars Buyers DB'!L:L)</f>
        <v>Yes</v>
      </c>
    </row>
    <row r="497" spans="1:13">
      <c r="A497" s="6">
        <v>37350</v>
      </c>
      <c r="B497" s="10" t="str">
        <f>IF(_xlfn.XLOOKUP($A497,'RAWDATA Cars Buyers DB'!$A:$A,'RAWDATA Cars Buyers DB'!B:B)="S","Single","Married")</f>
        <v>Married</v>
      </c>
      <c r="C497" s="10" t="str">
        <f>IF(_xlfn.XLOOKUP($A497,'RAWDATA Cars Buyers DB'!$A:$A,'RAWDATA Cars Buyers DB'!C:C)="F","Female","Male")</f>
        <v>Female</v>
      </c>
      <c r="D497" s="7">
        <f>_xlfn.XLOOKUP($A497,'RAWDATA Cars Buyers DB'!$A:$A,'RAWDATA Cars Buyers DB'!D:D)</f>
        <v>68688</v>
      </c>
      <c r="E497" s="8">
        <f>_xlfn.XLOOKUP($A497,'RAWDATA Cars Buyers DB'!$A:$A,'RAWDATA Cars Buyers DB'!E:E)</f>
        <v>4</v>
      </c>
      <c r="F497" s="8" t="str">
        <f>_xlfn.XLOOKUP($A497,'RAWDATA Cars Buyers DB'!$A:$A,'RAWDATA Cars Buyers DB'!F:F)</f>
        <v>Graduate Degree</v>
      </c>
      <c r="G497" s="8" t="str">
        <f>_xlfn.XLOOKUP($A497,'RAWDATA Cars Buyers DB'!$A:$A,'RAWDATA Cars Buyers DB'!G:G)</f>
        <v>Skilled Manual</v>
      </c>
      <c r="H497" s="8" t="str">
        <f>_xlfn.XLOOKUP($A497,'RAWDATA Cars Buyers DB'!$A:$A,'RAWDATA Cars Buyers DB'!H:H)</f>
        <v>No</v>
      </c>
      <c r="I497" s="8" t="str">
        <f>_xlfn.XLOOKUP($A497,'RAWDATA Cars Buyers DB'!$A:$A,'RAWDATA Cars Buyers DB'!I:I)</f>
        <v>4–6 Kilometre</v>
      </c>
      <c r="J497" s="8" t="str">
        <f>_xlfn.XLOOKUP($A497,'RAWDATA Cars Buyers DB'!$A:$A,'RAWDATA Cars Buyers DB'!J:J)</f>
        <v>Saxony</v>
      </c>
      <c r="K497" s="8">
        <f>_xlfn.XLOOKUP($A497,'RAWDATA Cars Buyers DB'!$A:$A,'RAWDATA Cars Buyers DB'!K:K)</f>
        <v>34</v>
      </c>
      <c r="L497" s="10" t="str">
        <f>IF(_xlfn.XLOOKUP($A497,'RAWDATA Cars Buyers DB'!$A:$A,'RAWDATA Cars Buyers DB'!K:K)&gt;54,"Old ",IF(_xlfn.XLOOKUP($A497,'RAWDATA Cars Buyers DB'!$A:$A,'RAWDATA Cars Buyers DB'!K:K)&gt;=31,"Middle Age ",IF(_xlfn.XLOOKUP($A497,'RAWDATA Cars Buyers DB'!$A:$A,'RAWDATA Cars Buyers DB'!K:K)&lt;31,"Adolescent","Invalid")))</f>
        <v xml:space="preserve">Middle Age </v>
      </c>
      <c r="M497" s="8" t="str">
        <f>_xlfn.XLOOKUP($A497,'RAWDATA Cars Buyers DB'!$A:$A,'RAWDATA Cars Buyers DB'!L:L)</f>
        <v>Yes</v>
      </c>
    </row>
    <row r="498" spans="1:13">
      <c r="A498" s="6">
        <v>35351</v>
      </c>
      <c r="B498" s="10" t="str">
        <f>IF(_xlfn.XLOOKUP($A498,'RAWDATA Cars Buyers DB'!$A:$A,'RAWDATA Cars Buyers DB'!B:B)="S","Single","Married")</f>
        <v>Married</v>
      </c>
      <c r="C498" s="10" t="str">
        <f>IF(_xlfn.XLOOKUP($A498,'RAWDATA Cars Buyers DB'!$A:$A,'RAWDATA Cars Buyers DB'!C:C)="F","Female","Male")</f>
        <v>Female</v>
      </c>
      <c r="D498" s="7">
        <f>_xlfn.XLOOKUP($A498,'RAWDATA Cars Buyers DB'!$A:$A,'RAWDATA Cars Buyers DB'!D:D)</f>
        <v>109678</v>
      </c>
      <c r="E498" s="8">
        <f>_xlfn.XLOOKUP($A498,'RAWDATA Cars Buyers DB'!$A:$A,'RAWDATA Cars Buyers DB'!E:E)</f>
        <v>2</v>
      </c>
      <c r="F498" s="8" t="str">
        <f>_xlfn.XLOOKUP($A498,'RAWDATA Cars Buyers DB'!$A:$A,'RAWDATA Cars Buyers DB'!F:F)</f>
        <v>Bachelors</v>
      </c>
      <c r="G498" s="8" t="str">
        <f>_xlfn.XLOOKUP($A498,'RAWDATA Cars Buyers DB'!$A:$A,'RAWDATA Cars Buyers DB'!G:G)</f>
        <v>Clerical</v>
      </c>
      <c r="H498" s="8" t="str">
        <f>_xlfn.XLOOKUP($A498,'RAWDATA Cars Buyers DB'!$A:$A,'RAWDATA Cars Buyers DB'!H:H)</f>
        <v>Yes</v>
      </c>
      <c r="I498" s="8" t="str">
        <f>_xlfn.XLOOKUP($A498,'RAWDATA Cars Buyers DB'!$A:$A,'RAWDATA Cars Buyers DB'!I:I)</f>
        <v>0–1 Kilometre</v>
      </c>
      <c r="J498" s="8" t="str">
        <f>_xlfn.XLOOKUP($A498,'RAWDATA Cars Buyers DB'!$A:$A,'RAWDATA Cars Buyers DB'!J:J)</f>
        <v>Baden-Württemberg</v>
      </c>
      <c r="K498" s="8">
        <f>_xlfn.XLOOKUP($A498,'RAWDATA Cars Buyers DB'!$A:$A,'RAWDATA Cars Buyers DB'!K:K)</f>
        <v>23</v>
      </c>
      <c r="L498" s="10" t="str">
        <f>IF(_xlfn.XLOOKUP($A498,'RAWDATA Cars Buyers DB'!$A:$A,'RAWDATA Cars Buyers DB'!K:K)&gt;54,"Old ",IF(_xlfn.XLOOKUP($A498,'RAWDATA Cars Buyers DB'!$A:$A,'RAWDATA Cars Buyers DB'!K:K)&gt;=31,"Middle Age ",IF(_xlfn.XLOOKUP($A498,'RAWDATA Cars Buyers DB'!$A:$A,'RAWDATA Cars Buyers DB'!K:K)&lt;31,"Adolescent","Invalid")))</f>
        <v>Adolescent</v>
      </c>
      <c r="M498" s="8" t="str">
        <f>_xlfn.XLOOKUP($A498,'RAWDATA Cars Buyers DB'!$A:$A,'RAWDATA Cars Buyers DB'!L:L)</f>
        <v>Yes</v>
      </c>
    </row>
    <row r="499" spans="1:13">
      <c r="A499" s="6">
        <v>98668</v>
      </c>
      <c r="B499" s="10" t="str">
        <f>IF(_xlfn.XLOOKUP($A499,'RAWDATA Cars Buyers DB'!$A:$A,'RAWDATA Cars Buyers DB'!B:B)="S","Single","Married")</f>
        <v>Married</v>
      </c>
      <c r="C499" s="10" t="str">
        <f>IF(_xlfn.XLOOKUP($A499,'RAWDATA Cars Buyers DB'!$A:$A,'RAWDATA Cars Buyers DB'!C:C)="F","Female","Male")</f>
        <v>Male</v>
      </c>
      <c r="D499" s="7">
        <f>_xlfn.XLOOKUP($A499,'RAWDATA Cars Buyers DB'!$A:$A,'RAWDATA Cars Buyers DB'!D:D)</f>
        <v>74238</v>
      </c>
      <c r="E499" s="8">
        <f>_xlfn.XLOOKUP($A499,'RAWDATA Cars Buyers DB'!$A:$A,'RAWDATA Cars Buyers DB'!E:E)</f>
        <v>1</v>
      </c>
      <c r="F499" s="8" t="str">
        <f>_xlfn.XLOOKUP($A499,'RAWDATA Cars Buyers DB'!$A:$A,'RAWDATA Cars Buyers DB'!F:F)</f>
        <v>Partial College</v>
      </c>
      <c r="G499" s="8" t="str">
        <f>_xlfn.XLOOKUP($A499,'RAWDATA Cars Buyers DB'!$A:$A,'RAWDATA Cars Buyers DB'!G:G)</f>
        <v>Management</v>
      </c>
      <c r="H499" s="8" t="str">
        <f>_xlfn.XLOOKUP($A499,'RAWDATA Cars Buyers DB'!$A:$A,'RAWDATA Cars Buyers DB'!H:H)</f>
        <v>Yes</v>
      </c>
      <c r="I499" s="8" t="str">
        <f>_xlfn.XLOOKUP($A499,'RAWDATA Cars Buyers DB'!$A:$A,'RAWDATA Cars Buyers DB'!I:I)</f>
        <v>4–6 Kilometre</v>
      </c>
      <c r="J499" s="8" t="str">
        <f>_xlfn.XLOOKUP($A499,'RAWDATA Cars Buyers DB'!$A:$A,'RAWDATA Cars Buyers DB'!J:J)</f>
        <v>Schleswig-Holstein</v>
      </c>
      <c r="K499" s="8">
        <f>_xlfn.XLOOKUP($A499,'RAWDATA Cars Buyers DB'!$A:$A,'RAWDATA Cars Buyers DB'!K:K)</f>
        <v>53</v>
      </c>
      <c r="L499" s="10" t="str">
        <f>IF(_xlfn.XLOOKUP($A499,'RAWDATA Cars Buyers DB'!$A:$A,'RAWDATA Cars Buyers DB'!K:K)&gt;54,"Old ",IF(_xlfn.XLOOKUP($A499,'RAWDATA Cars Buyers DB'!$A:$A,'RAWDATA Cars Buyers DB'!K:K)&gt;=31,"Middle Age ",IF(_xlfn.XLOOKUP($A499,'RAWDATA Cars Buyers DB'!$A:$A,'RAWDATA Cars Buyers DB'!K:K)&lt;31,"Adolescent","Invalid")))</f>
        <v xml:space="preserve">Middle Age </v>
      </c>
      <c r="M499" s="8" t="str">
        <f>_xlfn.XLOOKUP($A499,'RAWDATA Cars Buyers DB'!$A:$A,'RAWDATA Cars Buyers DB'!L:L)</f>
        <v>Yes</v>
      </c>
    </row>
    <row r="500" spans="1:13">
      <c r="A500" s="6">
        <v>25305</v>
      </c>
      <c r="B500" s="10" t="str">
        <f>IF(_xlfn.XLOOKUP($A500,'RAWDATA Cars Buyers DB'!$A:$A,'RAWDATA Cars Buyers DB'!B:B)="S","Single","Married")</f>
        <v>Single</v>
      </c>
      <c r="C500" s="10" t="str">
        <f>IF(_xlfn.XLOOKUP($A500,'RAWDATA Cars Buyers DB'!$A:$A,'RAWDATA Cars Buyers DB'!C:C)="F","Female","Male")</f>
        <v>Female</v>
      </c>
      <c r="D500" s="7">
        <f>_xlfn.XLOOKUP($A500,'RAWDATA Cars Buyers DB'!$A:$A,'RAWDATA Cars Buyers DB'!D:D)</f>
        <v>78608</v>
      </c>
      <c r="E500" s="8">
        <f>_xlfn.XLOOKUP($A500,'RAWDATA Cars Buyers DB'!$A:$A,'RAWDATA Cars Buyers DB'!E:E)</f>
        <v>3</v>
      </c>
      <c r="F500" s="8" t="str">
        <f>_xlfn.XLOOKUP($A500,'RAWDATA Cars Buyers DB'!$A:$A,'RAWDATA Cars Buyers DB'!F:F)</f>
        <v>Partial College</v>
      </c>
      <c r="G500" s="8" t="str">
        <f>_xlfn.XLOOKUP($A500,'RAWDATA Cars Buyers DB'!$A:$A,'RAWDATA Cars Buyers DB'!G:G)</f>
        <v>Clerical</v>
      </c>
      <c r="H500" s="8" t="str">
        <f>_xlfn.XLOOKUP($A500,'RAWDATA Cars Buyers DB'!$A:$A,'RAWDATA Cars Buyers DB'!H:H)</f>
        <v>No</v>
      </c>
      <c r="I500" s="8" t="str">
        <f>_xlfn.XLOOKUP($A500,'RAWDATA Cars Buyers DB'!$A:$A,'RAWDATA Cars Buyers DB'!I:I)</f>
        <v>1–2 Kilometre</v>
      </c>
      <c r="J500" s="8" t="str">
        <f>_xlfn.XLOOKUP($A500,'RAWDATA Cars Buyers DB'!$A:$A,'RAWDATA Cars Buyers DB'!J:J)</f>
        <v>Berlin</v>
      </c>
      <c r="K500" s="8">
        <f>_xlfn.XLOOKUP($A500,'RAWDATA Cars Buyers DB'!$A:$A,'RAWDATA Cars Buyers DB'!K:K)</f>
        <v>24</v>
      </c>
      <c r="L500" s="10" t="str">
        <f>IF(_xlfn.XLOOKUP($A500,'RAWDATA Cars Buyers DB'!$A:$A,'RAWDATA Cars Buyers DB'!K:K)&gt;54,"Old ",IF(_xlfn.XLOOKUP($A500,'RAWDATA Cars Buyers DB'!$A:$A,'RAWDATA Cars Buyers DB'!K:K)&gt;=31,"Middle Age ",IF(_xlfn.XLOOKUP($A500,'RAWDATA Cars Buyers DB'!$A:$A,'RAWDATA Cars Buyers DB'!K:K)&lt;31,"Adolescent","Invalid")))</f>
        <v>Adolescent</v>
      </c>
      <c r="M500" s="8" t="str">
        <f>_xlfn.XLOOKUP($A500,'RAWDATA Cars Buyers DB'!$A:$A,'RAWDATA Cars Buyers DB'!L:L)</f>
        <v>No</v>
      </c>
    </row>
    <row r="501" spans="1:13">
      <c r="A501" s="6">
        <v>85353</v>
      </c>
      <c r="B501" s="10" t="str">
        <f>IF(_xlfn.XLOOKUP($A501,'RAWDATA Cars Buyers DB'!$A:$A,'RAWDATA Cars Buyers DB'!B:B)="S","Single","Married")</f>
        <v>Married</v>
      </c>
      <c r="C501" s="10" t="str">
        <f>IF(_xlfn.XLOOKUP($A501,'RAWDATA Cars Buyers DB'!$A:$A,'RAWDATA Cars Buyers DB'!C:C)="F","Female","Male")</f>
        <v>Male</v>
      </c>
      <c r="D501" s="7">
        <f>_xlfn.XLOOKUP($A501,'RAWDATA Cars Buyers DB'!$A:$A,'RAWDATA Cars Buyers DB'!D:D)</f>
        <v>109081</v>
      </c>
      <c r="E501" s="8">
        <f>_xlfn.XLOOKUP($A501,'RAWDATA Cars Buyers DB'!$A:$A,'RAWDATA Cars Buyers DB'!E:E)</f>
        <v>0</v>
      </c>
      <c r="F501" s="8" t="str">
        <f>_xlfn.XLOOKUP($A501,'RAWDATA Cars Buyers DB'!$A:$A,'RAWDATA Cars Buyers DB'!F:F)</f>
        <v>Partial College</v>
      </c>
      <c r="G501" s="8" t="str">
        <f>_xlfn.XLOOKUP($A501,'RAWDATA Cars Buyers DB'!$A:$A,'RAWDATA Cars Buyers DB'!G:G)</f>
        <v>Professional</v>
      </c>
      <c r="H501" s="8" t="str">
        <f>_xlfn.XLOOKUP($A501,'RAWDATA Cars Buyers DB'!$A:$A,'RAWDATA Cars Buyers DB'!H:H)</f>
        <v>Yes</v>
      </c>
      <c r="I501" s="8" t="str">
        <f>_xlfn.XLOOKUP($A501,'RAWDATA Cars Buyers DB'!$A:$A,'RAWDATA Cars Buyers DB'!I:I)</f>
        <v>1–2 Kilometre</v>
      </c>
      <c r="J501" s="8" t="str">
        <f>_xlfn.XLOOKUP($A501,'RAWDATA Cars Buyers DB'!$A:$A,'RAWDATA Cars Buyers DB'!J:J)</f>
        <v>Lower Saxony</v>
      </c>
      <c r="K501" s="8">
        <f>_xlfn.XLOOKUP($A501,'RAWDATA Cars Buyers DB'!$A:$A,'RAWDATA Cars Buyers DB'!K:K)</f>
        <v>52</v>
      </c>
      <c r="L501" s="10" t="str">
        <f>IF(_xlfn.XLOOKUP($A501,'RAWDATA Cars Buyers DB'!$A:$A,'RAWDATA Cars Buyers DB'!K:K)&gt;54,"Old ",IF(_xlfn.XLOOKUP($A501,'RAWDATA Cars Buyers DB'!$A:$A,'RAWDATA Cars Buyers DB'!K:K)&gt;=31,"Middle Age ",IF(_xlfn.XLOOKUP($A501,'RAWDATA Cars Buyers DB'!$A:$A,'RAWDATA Cars Buyers DB'!K:K)&lt;31,"Adolescent","Invalid")))</f>
        <v xml:space="preserve">Middle Age </v>
      </c>
      <c r="M501" s="8" t="str">
        <f>_xlfn.XLOOKUP($A501,'RAWDATA Cars Buyers DB'!$A:$A,'RAWDATA Cars Buyers DB'!L:L)</f>
        <v>Yes</v>
      </c>
    </row>
    <row r="502" spans="1:13">
      <c r="A502" s="6">
        <v>86797</v>
      </c>
      <c r="B502" s="10" t="str">
        <f>IF(_xlfn.XLOOKUP($A502,'RAWDATA Cars Buyers DB'!$A:$A,'RAWDATA Cars Buyers DB'!B:B)="S","Single","Married")</f>
        <v>Single</v>
      </c>
      <c r="C502" s="10" t="str">
        <f>IF(_xlfn.XLOOKUP($A502,'RAWDATA Cars Buyers DB'!$A:$A,'RAWDATA Cars Buyers DB'!C:C)="F","Female","Male")</f>
        <v>Male</v>
      </c>
      <c r="D502" s="7">
        <f>_xlfn.XLOOKUP($A502,'RAWDATA Cars Buyers DB'!$A:$A,'RAWDATA Cars Buyers DB'!D:D)</f>
        <v>51897</v>
      </c>
      <c r="E502" s="8">
        <f>_xlfn.XLOOKUP($A502,'RAWDATA Cars Buyers DB'!$A:$A,'RAWDATA Cars Buyers DB'!E:E)</f>
        <v>5</v>
      </c>
      <c r="F502" s="8" t="str">
        <f>_xlfn.XLOOKUP($A502,'RAWDATA Cars Buyers DB'!$A:$A,'RAWDATA Cars Buyers DB'!F:F)</f>
        <v>Partial College</v>
      </c>
      <c r="G502" s="8" t="str">
        <f>_xlfn.XLOOKUP($A502,'RAWDATA Cars Buyers DB'!$A:$A,'RAWDATA Cars Buyers DB'!G:G)</f>
        <v>Professional</v>
      </c>
      <c r="H502" s="8" t="str">
        <f>_xlfn.XLOOKUP($A502,'RAWDATA Cars Buyers DB'!$A:$A,'RAWDATA Cars Buyers DB'!H:H)</f>
        <v>Yes</v>
      </c>
      <c r="I502" s="8" t="str">
        <f>_xlfn.XLOOKUP($A502,'RAWDATA Cars Buyers DB'!$A:$A,'RAWDATA Cars Buyers DB'!I:I)</f>
        <v>6+ Kilometre</v>
      </c>
      <c r="J502" s="8" t="str">
        <f>_xlfn.XLOOKUP($A502,'RAWDATA Cars Buyers DB'!$A:$A,'RAWDATA Cars Buyers DB'!J:J)</f>
        <v>Thuringia</v>
      </c>
      <c r="K502" s="8">
        <f>_xlfn.XLOOKUP($A502,'RAWDATA Cars Buyers DB'!$A:$A,'RAWDATA Cars Buyers DB'!K:K)</f>
        <v>24</v>
      </c>
      <c r="L502" s="10" t="str">
        <f>IF(_xlfn.XLOOKUP($A502,'RAWDATA Cars Buyers DB'!$A:$A,'RAWDATA Cars Buyers DB'!K:K)&gt;54,"Old ",IF(_xlfn.XLOOKUP($A502,'RAWDATA Cars Buyers DB'!$A:$A,'RAWDATA Cars Buyers DB'!K:K)&gt;=31,"Middle Age ",IF(_xlfn.XLOOKUP($A502,'RAWDATA Cars Buyers DB'!$A:$A,'RAWDATA Cars Buyers DB'!K:K)&lt;31,"Adolescent","Invalid")))</f>
        <v>Adolescent</v>
      </c>
      <c r="M502" s="8" t="str">
        <f>_xlfn.XLOOKUP($A502,'RAWDATA Cars Buyers DB'!$A:$A,'RAWDATA Cars Buyers DB'!L:L)</f>
        <v>Yes</v>
      </c>
    </row>
    <row r="503" spans="1:13">
      <c r="A503" s="6">
        <v>75953</v>
      </c>
      <c r="B503" s="10" t="str">
        <f>IF(_xlfn.XLOOKUP($A503,'RAWDATA Cars Buyers DB'!$A:$A,'RAWDATA Cars Buyers DB'!B:B)="S","Single","Married")</f>
        <v>Single</v>
      </c>
      <c r="C503" s="10" t="str">
        <f>IF(_xlfn.XLOOKUP($A503,'RAWDATA Cars Buyers DB'!$A:$A,'RAWDATA Cars Buyers DB'!C:C)="F","Female","Male")</f>
        <v>Female</v>
      </c>
      <c r="D503" s="7">
        <f>_xlfn.XLOOKUP($A503,'RAWDATA Cars Buyers DB'!$A:$A,'RAWDATA Cars Buyers DB'!D:D)</f>
        <v>70961</v>
      </c>
      <c r="E503" s="8">
        <f>_xlfn.XLOOKUP($A503,'RAWDATA Cars Buyers DB'!$A:$A,'RAWDATA Cars Buyers DB'!E:E)</f>
        <v>3</v>
      </c>
      <c r="F503" s="8" t="str">
        <f>_xlfn.XLOOKUP($A503,'RAWDATA Cars Buyers DB'!$A:$A,'RAWDATA Cars Buyers DB'!F:F)</f>
        <v>Partial College</v>
      </c>
      <c r="G503" s="8" t="str">
        <f>_xlfn.XLOOKUP($A503,'RAWDATA Cars Buyers DB'!$A:$A,'RAWDATA Cars Buyers DB'!G:G)</f>
        <v>Skilled Manual</v>
      </c>
      <c r="H503" s="8" t="str">
        <f>_xlfn.XLOOKUP($A503,'RAWDATA Cars Buyers DB'!$A:$A,'RAWDATA Cars Buyers DB'!H:H)</f>
        <v>No</v>
      </c>
      <c r="I503" s="8" t="str">
        <f>_xlfn.XLOOKUP($A503,'RAWDATA Cars Buyers DB'!$A:$A,'RAWDATA Cars Buyers DB'!I:I)</f>
        <v>2–4 Kilometre</v>
      </c>
      <c r="J503" s="8" t="str">
        <f>_xlfn.XLOOKUP($A503,'RAWDATA Cars Buyers DB'!$A:$A,'RAWDATA Cars Buyers DB'!J:J)</f>
        <v>Hamburg</v>
      </c>
      <c r="K503" s="8">
        <f>_xlfn.XLOOKUP($A503,'RAWDATA Cars Buyers DB'!$A:$A,'RAWDATA Cars Buyers DB'!K:K)</f>
        <v>57</v>
      </c>
      <c r="L503" s="10" t="str">
        <f>IF(_xlfn.XLOOKUP($A503,'RAWDATA Cars Buyers DB'!$A:$A,'RAWDATA Cars Buyers DB'!K:K)&gt;54,"Old ",IF(_xlfn.XLOOKUP($A503,'RAWDATA Cars Buyers DB'!$A:$A,'RAWDATA Cars Buyers DB'!K:K)&gt;=31,"Middle Age ",IF(_xlfn.XLOOKUP($A503,'RAWDATA Cars Buyers DB'!$A:$A,'RAWDATA Cars Buyers DB'!K:K)&lt;31,"Adolescent","Invalid")))</f>
        <v xml:space="preserve">Old </v>
      </c>
      <c r="M503" s="8" t="str">
        <f>_xlfn.XLOOKUP($A503,'RAWDATA Cars Buyers DB'!$A:$A,'RAWDATA Cars Buyers DB'!L:L)</f>
        <v>Yes</v>
      </c>
    </row>
    <row r="504" spans="1:13">
      <c r="A504" s="6">
        <v>67458</v>
      </c>
      <c r="B504" s="10" t="str">
        <f>IF(_xlfn.XLOOKUP($A504,'RAWDATA Cars Buyers DB'!$A:$A,'RAWDATA Cars Buyers DB'!B:B)="S","Single","Married")</f>
        <v>Married</v>
      </c>
      <c r="C504" s="10" t="str">
        <f>IF(_xlfn.XLOOKUP($A504,'RAWDATA Cars Buyers DB'!$A:$A,'RAWDATA Cars Buyers DB'!C:C)="F","Female","Male")</f>
        <v>Female</v>
      </c>
      <c r="D504" s="7">
        <f>_xlfn.XLOOKUP($A504,'RAWDATA Cars Buyers DB'!$A:$A,'RAWDATA Cars Buyers DB'!D:D)</f>
        <v>88703</v>
      </c>
      <c r="E504" s="8">
        <f>_xlfn.XLOOKUP($A504,'RAWDATA Cars Buyers DB'!$A:$A,'RAWDATA Cars Buyers DB'!E:E)</f>
        <v>0</v>
      </c>
      <c r="F504" s="8" t="str">
        <f>_xlfn.XLOOKUP($A504,'RAWDATA Cars Buyers DB'!$A:$A,'RAWDATA Cars Buyers DB'!F:F)</f>
        <v>High School</v>
      </c>
      <c r="G504" s="8" t="str">
        <f>_xlfn.XLOOKUP($A504,'RAWDATA Cars Buyers DB'!$A:$A,'RAWDATA Cars Buyers DB'!G:G)</f>
        <v>Professional</v>
      </c>
      <c r="H504" s="8" t="str">
        <f>_xlfn.XLOOKUP($A504,'RAWDATA Cars Buyers DB'!$A:$A,'RAWDATA Cars Buyers DB'!H:H)</f>
        <v>Yes</v>
      </c>
      <c r="I504" s="8" t="str">
        <f>_xlfn.XLOOKUP($A504,'RAWDATA Cars Buyers DB'!$A:$A,'RAWDATA Cars Buyers DB'!I:I)</f>
        <v>2–4 Kilometre</v>
      </c>
      <c r="J504" s="8" t="str">
        <f>_xlfn.XLOOKUP($A504,'RAWDATA Cars Buyers DB'!$A:$A,'RAWDATA Cars Buyers DB'!J:J)</f>
        <v>Lower Saxony</v>
      </c>
      <c r="K504" s="8">
        <f>_xlfn.XLOOKUP($A504,'RAWDATA Cars Buyers DB'!$A:$A,'RAWDATA Cars Buyers DB'!K:K)</f>
        <v>53</v>
      </c>
      <c r="L504" s="10" t="str">
        <f>IF(_xlfn.XLOOKUP($A504,'RAWDATA Cars Buyers DB'!$A:$A,'RAWDATA Cars Buyers DB'!K:K)&gt;54,"Old ",IF(_xlfn.XLOOKUP($A504,'RAWDATA Cars Buyers DB'!$A:$A,'RAWDATA Cars Buyers DB'!K:K)&gt;=31,"Middle Age ",IF(_xlfn.XLOOKUP($A504,'RAWDATA Cars Buyers DB'!$A:$A,'RAWDATA Cars Buyers DB'!K:K)&lt;31,"Adolescent","Invalid")))</f>
        <v xml:space="preserve">Middle Age </v>
      </c>
      <c r="M504" s="8" t="str">
        <f>_xlfn.XLOOKUP($A504,'RAWDATA Cars Buyers DB'!$A:$A,'RAWDATA Cars Buyers DB'!L:L)</f>
        <v>Yes</v>
      </c>
    </row>
    <row r="505" spans="1:13">
      <c r="A505" s="6">
        <v>30358</v>
      </c>
      <c r="B505" s="10" t="str">
        <f>IF(_xlfn.XLOOKUP($A505,'RAWDATA Cars Buyers DB'!$A:$A,'RAWDATA Cars Buyers DB'!B:B)="S","Single","Married")</f>
        <v>Married</v>
      </c>
      <c r="C505" s="10" t="str">
        <f>IF(_xlfn.XLOOKUP($A505,'RAWDATA Cars Buyers DB'!$A:$A,'RAWDATA Cars Buyers DB'!C:C)="F","Female","Male")</f>
        <v>Female</v>
      </c>
      <c r="D505" s="7">
        <f>_xlfn.XLOOKUP($A505,'RAWDATA Cars Buyers DB'!$A:$A,'RAWDATA Cars Buyers DB'!D:D)</f>
        <v>64757</v>
      </c>
      <c r="E505" s="8">
        <f>_xlfn.XLOOKUP($A505,'RAWDATA Cars Buyers DB'!$A:$A,'RAWDATA Cars Buyers DB'!E:E)</f>
        <v>0</v>
      </c>
      <c r="F505" s="8" t="str">
        <f>_xlfn.XLOOKUP($A505,'RAWDATA Cars Buyers DB'!$A:$A,'RAWDATA Cars Buyers DB'!F:F)</f>
        <v>High School</v>
      </c>
      <c r="G505" s="8" t="str">
        <f>_xlfn.XLOOKUP($A505,'RAWDATA Cars Buyers DB'!$A:$A,'RAWDATA Cars Buyers DB'!G:G)</f>
        <v>Clerical</v>
      </c>
      <c r="H505" s="8" t="str">
        <f>_xlfn.XLOOKUP($A505,'RAWDATA Cars Buyers DB'!$A:$A,'RAWDATA Cars Buyers DB'!H:H)</f>
        <v>Yes</v>
      </c>
      <c r="I505" s="8" t="str">
        <f>_xlfn.XLOOKUP($A505,'RAWDATA Cars Buyers DB'!$A:$A,'RAWDATA Cars Buyers DB'!I:I)</f>
        <v>1–2 Kilometre</v>
      </c>
      <c r="J505" s="8" t="str">
        <f>_xlfn.XLOOKUP($A505,'RAWDATA Cars Buyers DB'!$A:$A,'RAWDATA Cars Buyers DB'!J:J)</f>
        <v>Berlin</v>
      </c>
      <c r="K505" s="8">
        <f>_xlfn.XLOOKUP($A505,'RAWDATA Cars Buyers DB'!$A:$A,'RAWDATA Cars Buyers DB'!K:K)</f>
        <v>45</v>
      </c>
      <c r="L505" s="10" t="str">
        <f>IF(_xlfn.XLOOKUP($A505,'RAWDATA Cars Buyers DB'!$A:$A,'RAWDATA Cars Buyers DB'!K:K)&gt;54,"Old ",IF(_xlfn.XLOOKUP($A505,'RAWDATA Cars Buyers DB'!$A:$A,'RAWDATA Cars Buyers DB'!K:K)&gt;=31,"Middle Age ",IF(_xlfn.XLOOKUP($A505,'RAWDATA Cars Buyers DB'!$A:$A,'RAWDATA Cars Buyers DB'!K:K)&lt;31,"Adolescent","Invalid")))</f>
        <v xml:space="preserve">Middle Age </v>
      </c>
      <c r="M505" s="8" t="str">
        <f>_xlfn.XLOOKUP($A505,'RAWDATA Cars Buyers DB'!$A:$A,'RAWDATA Cars Buyers DB'!L:L)</f>
        <v>No</v>
      </c>
    </row>
    <row r="506" spans="1:13">
      <c r="A506" s="6">
        <v>13267</v>
      </c>
      <c r="B506" s="10" t="str">
        <f>IF(_xlfn.XLOOKUP($A506,'RAWDATA Cars Buyers DB'!$A:$A,'RAWDATA Cars Buyers DB'!B:B)="S","Single","Married")</f>
        <v>Married</v>
      </c>
      <c r="C506" s="10" t="str">
        <f>IF(_xlfn.XLOOKUP($A506,'RAWDATA Cars Buyers DB'!$A:$A,'RAWDATA Cars Buyers DB'!C:C)="F","Female","Male")</f>
        <v>Female</v>
      </c>
      <c r="D506" s="7">
        <f>_xlfn.XLOOKUP($A506,'RAWDATA Cars Buyers DB'!$A:$A,'RAWDATA Cars Buyers DB'!D:D)</f>
        <v>46917</v>
      </c>
      <c r="E506" s="8">
        <f>_xlfn.XLOOKUP($A506,'RAWDATA Cars Buyers DB'!$A:$A,'RAWDATA Cars Buyers DB'!E:E)</f>
        <v>4</v>
      </c>
      <c r="F506" s="8" t="str">
        <f>_xlfn.XLOOKUP($A506,'RAWDATA Cars Buyers DB'!$A:$A,'RAWDATA Cars Buyers DB'!F:F)</f>
        <v>High School</v>
      </c>
      <c r="G506" s="8" t="str">
        <f>_xlfn.XLOOKUP($A506,'RAWDATA Cars Buyers DB'!$A:$A,'RAWDATA Cars Buyers DB'!G:G)</f>
        <v>Professional</v>
      </c>
      <c r="H506" s="8" t="str">
        <f>_xlfn.XLOOKUP($A506,'RAWDATA Cars Buyers DB'!$A:$A,'RAWDATA Cars Buyers DB'!H:H)</f>
        <v>Yes</v>
      </c>
      <c r="I506" s="8" t="str">
        <f>_xlfn.XLOOKUP($A506,'RAWDATA Cars Buyers DB'!$A:$A,'RAWDATA Cars Buyers DB'!I:I)</f>
        <v>6+ Kilometre</v>
      </c>
      <c r="J506" s="8" t="str">
        <f>_xlfn.XLOOKUP($A506,'RAWDATA Cars Buyers DB'!$A:$A,'RAWDATA Cars Buyers DB'!J:J)</f>
        <v>Schleswig-Holstein</v>
      </c>
      <c r="K506" s="8">
        <f>_xlfn.XLOOKUP($A506,'RAWDATA Cars Buyers DB'!$A:$A,'RAWDATA Cars Buyers DB'!K:K)</f>
        <v>20</v>
      </c>
      <c r="L506" s="10" t="str">
        <f>IF(_xlfn.XLOOKUP($A506,'RAWDATA Cars Buyers DB'!$A:$A,'RAWDATA Cars Buyers DB'!K:K)&gt;54,"Old ",IF(_xlfn.XLOOKUP($A506,'RAWDATA Cars Buyers DB'!$A:$A,'RAWDATA Cars Buyers DB'!K:K)&gt;=31,"Middle Age ",IF(_xlfn.XLOOKUP($A506,'RAWDATA Cars Buyers DB'!$A:$A,'RAWDATA Cars Buyers DB'!K:K)&lt;31,"Adolescent","Invalid")))</f>
        <v>Adolescent</v>
      </c>
      <c r="M506" s="8" t="str">
        <f>_xlfn.XLOOKUP($A506,'RAWDATA Cars Buyers DB'!$A:$A,'RAWDATA Cars Buyers DB'!L:L)</f>
        <v>No</v>
      </c>
    </row>
    <row r="507" spans="1:13">
      <c r="A507" s="6">
        <v>92745</v>
      </c>
      <c r="B507" s="10" t="str">
        <f>IF(_xlfn.XLOOKUP($A507,'RAWDATA Cars Buyers DB'!$A:$A,'RAWDATA Cars Buyers DB'!B:B)="S","Single","Married")</f>
        <v>Single</v>
      </c>
      <c r="C507" s="10" t="str">
        <f>IF(_xlfn.XLOOKUP($A507,'RAWDATA Cars Buyers DB'!$A:$A,'RAWDATA Cars Buyers DB'!C:C)="F","Female","Male")</f>
        <v>Female</v>
      </c>
      <c r="D507" s="7">
        <f>_xlfn.XLOOKUP($A507,'RAWDATA Cars Buyers DB'!$A:$A,'RAWDATA Cars Buyers DB'!D:D)</f>
        <v>42736</v>
      </c>
      <c r="E507" s="8">
        <f>_xlfn.XLOOKUP($A507,'RAWDATA Cars Buyers DB'!$A:$A,'RAWDATA Cars Buyers DB'!E:E)</f>
        <v>0</v>
      </c>
      <c r="F507" s="8" t="str">
        <f>_xlfn.XLOOKUP($A507,'RAWDATA Cars Buyers DB'!$A:$A,'RAWDATA Cars Buyers DB'!F:F)</f>
        <v>Bachelors</v>
      </c>
      <c r="G507" s="8" t="str">
        <f>_xlfn.XLOOKUP($A507,'RAWDATA Cars Buyers DB'!$A:$A,'RAWDATA Cars Buyers DB'!G:G)</f>
        <v>Clerical</v>
      </c>
      <c r="H507" s="8" t="str">
        <f>_xlfn.XLOOKUP($A507,'RAWDATA Cars Buyers DB'!$A:$A,'RAWDATA Cars Buyers DB'!H:H)</f>
        <v>No</v>
      </c>
      <c r="I507" s="8" t="str">
        <f>_xlfn.XLOOKUP($A507,'RAWDATA Cars Buyers DB'!$A:$A,'RAWDATA Cars Buyers DB'!I:I)</f>
        <v>6+ Kilometre</v>
      </c>
      <c r="J507" s="8" t="str">
        <f>_xlfn.XLOOKUP($A507,'RAWDATA Cars Buyers DB'!$A:$A,'RAWDATA Cars Buyers DB'!J:J)</f>
        <v>Hamburg</v>
      </c>
      <c r="K507" s="8">
        <f>_xlfn.XLOOKUP($A507,'RAWDATA Cars Buyers DB'!$A:$A,'RAWDATA Cars Buyers DB'!K:K)</f>
        <v>23</v>
      </c>
      <c r="L507" s="10" t="str">
        <f>IF(_xlfn.XLOOKUP($A507,'RAWDATA Cars Buyers DB'!$A:$A,'RAWDATA Cars Buyers DB'!K:K)&gt;54,"Old ",IF(_xlfn.XLOOKUP($A507,'RAWDATA Cars Buyers DB'!$A:$A,'RAWDATA Cars Buyers DB'!K:K)&gt;=31,"Middle Age ",IF(_xlfn.XLOOKUP($A507,'RAWDATA Cars Buyers DB'!$A:$A,'RAWDATA Cars Buyers DB'!K:K)&lt;31,"Adolescent","Invalid")))</f>
        <v>Adolescent</v>
      </c>
      <c r="M507" s="8" t="str">
        <f>_xlfn.XLOOKUP($A507,'RAWDATA Cars Buyers DB'!$A:$A,'RAWDATA Cars Buyers DB'!L:L)</f>
        <v>Yes</v>
      </c>
    </row>
    <row r="508" spans="1:13">
      <c r="A508" s="6">
        <v>99588</v>
      </c>
      <c r="B508" s="10" t="str">
        <f>IF(_xlfn.XLOOKUP($A508,'RAWDATA Cars Buyers DB'!$A:$A,'RAWDATA Cars Buyers DB'!B:B)="S","Single","Married")</f>
        <v>Single</v>
      </c>
      <c r="C508" s="10" t="str">
        <f>IF(_xlfn.XLOOKUP($A508,'RAWDATA Cars Buyers DB'!$A:$A,'RAWDATA Cars Buyers DB'!C:C)="F","Female","Male")</f>
        <v>Female</v>
      </c>
      <c r="D508" s="7">
        <f>_xlfn.XLOOKUP($A508,'RAWDATA Cars Buyers DB'!$A:$A,'RAWDATA Cars Buyers DB'!D:D)</f>
        <v>47990</v>
      </c>
      <c r="E508" s="8">
        <f>_xlfn.XLOOKUP($A508,'RAWDATA Cars Buyers DB'!$A:$A,'RAWDATA Cars Buyers DB'!E:E)</f>
        <v>5</v>
      </c>
      <c r="F508" s="8" t="str">
        <f>_xlfn.XLOOKUP($A508,'RAWDATA Cars Buyers DB'!$A:$A,'RAWDATA Cars Buyers DB'!F:F)</f>
        <v>Graduate Degree</v>
      </c>
      <c r="G508" s="8" t="str">
        <f>_xlfn.XLOOKUP($A508,'RAWDATA Cars Buyers DB'!$A:$A,'RAWDATA Cars Buyers DB'!G:G)</f>
        <v>Skilled Manual</v>
      </c>
      <c r="H508" s="8" t="str">
        <f>_xlfn.XLOOKUP($A508,'RAWDATA Cars Buyers DB'!$A:$A,'RAWDATA Cars Buyers DB'!H:H)</f>
        <v>No</v>
      </c>
      <c r="I508" s="8" t="str">
        <f>_xlfn.XLOOKUP($A508,'RAWDATA Cars Buyers DB'!$A:$A,'RAWDATA Cars Buyers DB'!I:I)</f>
        <v>0–1 Kilometre</v>
      </c>
      <c r="J508" s="8" t="str">
        <f>_xlfn.XLOOKUP($A508,'RAWDATA Cars Buyers DB'!$A:$A,'RAWDATA Cars Buyers DB'!J:J)</f>
        <v>Mecklenburg-Vorpommern</v>
      </c>
      <c r="K508" s="8">
        <f>_xlfn.XLOOKUP($A508,'RAWDATA Cars Buyers DB'!$A:$A,'RAWDATA Cars Buyers DB'!K:K)</f>
        <v>58</v>
      </c>
      <c r="L508" s="10" t="str">
        <f>IF(_xlfn.XLOOKUP($A508,'RAWDATA Cars Buyers DB'!$A:$A,'RAWDATA Cars Buyers DB'!K:K)&gt;54,"Old ",IF(_xlfn.XLOOKUP($A508,'RAWDATA Cars Buyers DB'!$A:$A,'RAWDATA Cars Buyers DB'!K:K)&gt;=31,"Middle Age ",IF(_xlfn.XLOOKUP($A508,'RAWDATA Cars Buyers DB'!$A:$A,'RAWDATA Cars Buyers DB'!K:K)&lt;31,"Adolescent","Invalid")))</f>
        <v xml:space="preserve">Old </v>
      </c>
      <c r="M508" s="8" t="str">
        <f>_xlfn.XLOOKUP($A508,'RAWDATA Cars Buyers DB'!$A:$A,'RAWDATA Cars Buyers DB'!L:L)</f>
        <v>Yes</v>
      </c>
    </row>
    <row r="509" spans="1:13">
      <c r="A509" s="6">
        <v>48513</v>
      </c>
      <c r="B509" s="10" t="str">
        <f>IF(_xlfn.XLOOKUP($A509,'RAWDATA Cars Buyers DB'!$A:$A,'RAWDATA Cars Buyers DB'!B:B)="S","Single","Married")</f>
        <v>Married</v>
      </c>
      <c r="C509" s="10" t="str">
        <f>IF(_xlfn.XLOOKUP($A509,'RAWDATA Cars Buyers DB'!$A:$A,'RAWDATA Cars Buyers DB'!C:C)="F","Female","Male")</f>
        <v>Male</v>
      </c>
      <c r="D509" s="7">
        <f>_xlfn.XLOOKUP($A509,'RAWDATA Cars Buyers DB'!$A:$A,'RAWDATA Cars Buyers DB'!D:D)</f>
        <v>82551</v>
      </c>
      <c r="E509" s="8">
        <f>_xlfn.XLOOKUP($A509,'RAWDATA Cars Buyers DB'!$A:$A,'RAWDATA Cars Buyers DB'!E:E)</f>
        <v>0</v>
      </c>
      <c r="F509" s="8" t="str">
        <f>_xlfn.XLOOKUP($A509,'RAWDATA Cars Buyers DB'!$A:$A,'RAWDATA Cars Buyers DB'!F:F)</f>
        <v>Partial College</v>
      </c>
      <c r="G509" s="8" t="str">
        <f>_xlfn.XLOOKUP($A509,'RAWDATA Cars Buyers DB'!$A:$A,'RAWDATA Cars Buyers DB'!G:G)</f>
        <v>Skilled Manual</v>
      </c>
      <c r="H509" s="8" t="str">
        <f>_xlfn.XLOOKUP($A509,'RAWDATA Cars Buyers DB'!$A:$A,'RAWDATA Cars Buyers DB'!H:H)</f>
        <v>Yes</v>
      </c>
      <c r="I509" s="8" t="str">
        <f>_xlfn.XLOOKUP($A509,'RAWDATA Cars Buyers DB'!$A:$A,'RAWDATA Cars Buyers DB'!I:I)</f>
        <v>2–4 Kilometre</v>
      </c>
      <c r="J509" s="8" t="str">
        <f>_xlfn.XLOOKUP($A509,'RAWDATA Cars Buyers DB'!$A:$A,'RAWDATA Cars Buyers DB'!J:J)</f>
        <v>Hesse</v>
      </c>
      <c r="K509" s="8">
        <f>_xlfn.XLOOKUP($A509,'RAWDATA Cars Buyers DB'!$A:$A,'RAWDATA Cars Buyers DB'!K:K)</f>
        <v>45</v>
      </c>
      <c r="L509" s="10" t="str">
        <f>IF(_xlfn.XLOOKUP($A509,'RAWDATA Cars Buyers DB'!$A:$A,'RAWDATA Cars Buyers DB'!K:K)&gt;54,"Old ",IF(_xlfn.XLOOKUP($A509,'RAWDATA Cars Buyers DB'!$A:$A,'RAWDATA Cars Buyers DB'!K:K)&gt;=31,"Middle Age ",IF(_xlfn.XLOOKUP($A509,'RAWDATA Cars Buyers DB'!$A:$A,'RAWDATA Cars Buyers DB'!K:K)&lt;31,"Adolescent","Invalid")))</f>
        <v xml:space="preserve">Middle Age </v>
      </c>
      <c r="M509" s="8" t="str">
        <f>_xlfn.XLOOKUP($A509,'RAWDATA Cars Buyers DB'!$A:$A,'RAWDATA Cars Buyers DB'!L:L)</f>
        <v>Yes</v>
      </c>
    </row>
    <row r="510" spans="1:13">
      <c r="A510" s="6">
        <v>36092</v>
      </c>
      <c r="B510" s="10" t="str">
        <f>IF(_xlfn.XLOOKUP($A510,'RAWDATA Cars Buyers DB'!$A:$A,'RAWDATA Cars Buyers DB'!B:B)="S","Single","Married")</f>
        <v>Single</v>
      </c>
      <c r="C510" s="10" t="str">
        <f>IF(_xlfn.XLOOKUP($A510,'RAWDATA Cars Buyers DB'!$A:$A,'RAWDATA Cars Buyers DB'!C:C)="F","Female","Male")</f>
        <v>Male</v>
      </c>
      <c r="D510" s="7">
        <f>_xlfn.XLOOKUP($A510,'RAWDATA Cars Buyers DB'!$A:$A,'RAWDATA Cars Buyers DB'!D:D)</f>
        <v>78161</v>
      </c>
      <c r="E510" s="8">
        <f>_xlfn.XLOOKUP($A510,'RAWDATA Cars Buyers DB'!$A:$A,'RAWDATA Cars Buyers DB'!E:E)</f>
        <v>2</v>
      </c>
      <c r="F510" s="8" t="str">
        <f>_xlfn.XLOOKUP($A510,'RAWDATA Cars Buyers DB'!$A:$A,'RAWDATA Cars Buyers DB'!F:F)</f>
        <v>Bachelors</v>
      </c>
      <c r="G510" s="8" t="str">
        <f>_xlfn.XLOOKUP($A510,'RAWDATA Cars Buyers DB'!$A:$A,'RAWDATA Cars Buyers DB'!G:G)</f>
        <v>Clerical</v>
      </c>
      <c r="H510" s="8" t="str">
        <f>_xlfn.XLOOKUP($A510,'RAWDATA Cars Buyers DB'!$A:$A,'RAWDATA Cars Buyers DB'!H:H)</f>
        <v>No</v>
      </c>
      <c r="I510" s="8" t="str">
        <f>_xlfn.XLOOKUP($A510,'RAWDATA Cars Buyers DB'!$A:$A,'RAWDATA Cars Buyers DB'!I:I)</f>
        <v>1–2 Kilometre</v>
      </c>
      <c r="J510" s="8" t="str">
        <f>_xlfn.XLOOKUP($A510,'RAWDATA Cars Buyers DB'!$A:$A,'RAWDATA Cars Buyers DB'!J:J)</f>
        <v>Hesse</v>
      </c>
      <c r="K510" s="8">
        <f>_xlfn.XLOOKUP($A510,'RAWDATA Cars Buyers DB'!$A:$A,'RAWDATA Cars Buyers DB'!K:K)</f>
        <v>52</v>
      </c>
      <c r="L510" s="10" t="str">
        <f>IF(_xlfn.XLOOKUP($A510,'RAWDATA Cars Buyers DB'!$A:$A,'RAWDATA Cars Buyers DB'!K:K)&gt;54,"Old ",IF(_xlfn.XLOOKUP($A510,'RAWDATA Cars Buyers DB'!$A:$A,'RAWDATA Cars Buyers DB'!K:K)&gt;=31,"Middle Age ",IF(_xlfn.XLOOKUP($A510,'RAWDATA Cars Buyers DB'!$A:$A,'RAWDATA Cars Buyers DB'!K:K)&lt;31,"Adolescent","Invalid")))</f>
        <v xml:space="preserve">Middle Age </v>
      </c>
      <c r="M510" s="8" t="str">
        <f>_xlfn.XLOOKUP($A510,'RAWDATA Cars Buyers DB'!$A:$A,'RAWDATA Cars Buyers DB'!L:L)</f>
        <v>Yes</v>
      </c>
    </row>
    <row r="511" spans="1:13">
      <c r="A511" s="6">
        <v>21338</v>
      </c>
      <c r="B511" s="10" t="str">
        <f>IF(_xlfn.XLOOKUP($A511,'RAWDATA Cars Buyers DB'!$A:$A,'RAWDATA Cars Buyers DB'!B:B)="S","Single","Married")</f>
        <v>Married</v>
      </c>
      <c r="C511" s="10" t="str">
        <f>IF(_xlfn.XLOOKUP($A511,'RAWDATA Cars Buyers DB'!$A:$A,'RAWDATA Cars Buyers DB'!C:C)="F","Female","Male")</f>
        <v>Female</v>
      </c>
      <c r="D511" s="7">
        <f>_xlfn.XLOOKUP($A511,'RAWDATA Cars Buyers DB'!$A:$A,'RAWDATA Cars Buyers DB'!D:D)</f>
        <v>99623</v>
      </c>
      <c r="E511" s="8">
        <f>_xlfn.XLOOKUP($A511,'RAWDATA Cars Buyers DB'!$A:$A,'RAWDATA Cars Buyers DB'!E:E)</f>
        <v>3</v>
      </c>
      <c r="F511" s="8" t="str">
        <f>_xlfn.XLOOKUP($A511,'RAWDATA Cars Buyers DB'!$A:$A,'RAWDATA Cars Buyers DB'!F:F)</f>
        <v>Partial College</v>
      </c>
      <c r="G511" s="8" t="str">
        <f>_xlfn.XLOOKUP($A511,'RAWDATA Cars Buyers DB'!$A:$A,'RAWDATA Cars Buyers DB'!G:G)</f>
        <v>Professional</v>
      </c>
      <c r="H511" s="8" t="str">
        <f>_xlfn.XLOOKUP($A511,'RAWDATA Cars Buyers DB'!$A:$A,'RAWDATA Cars Buyers DB'!H:H)</f>
        <v>No</v>
      </c>
      <c r="I511" s="8" t="str">
        <f>_xlfn.XLOOKUP($A511,'RAWDATA Cars Buyers DB'!$A:$A,'RAWDATA Cars Buyers DB'!I:I)</f>
        <v>4–6 Kilometre</v>
      </c>
      <c r="J511" s="8" t="str">
        <f>_xlfn.XLOOKUP($A511,'RAWDATA Cars Buyers DB'!$A:$A,'RAWDATA Cars Buyers DB'!J:J)</f>
        <v>Brandenburg</v>
      </c>
      <c r="K511" s="8">
        <f>_xlfn.XLOOKUP($A511,'RAWDATA Cars Buyers DB'!$A:$A,'RAWDATA Cars Buyers DB'!K:K)</f>
        <v>52</v>
      </c>
      <c r="L511" s="10" t="str">
        <f>IF(_xlfn.XLOOKUP($A511,'RAWDATA Cars Buyers DB'!$A:$A,'RAWDATA Cars Buyers DB'!K:K)&gt;54,"Old ",IF(_xlfn.XLOOKUP($A511,'RAWDATA Cars Buyers DB'!$A:$A,'RAWDATA Cars Buyers DB'!K:K)&gt;=31,"Middle Age ",IF(_xlfn.XLOOKUP($A511,'RAWDATA Cars Buyers DB'!$A:$A,'RAWDATA Cars Buyers DB'!K:K)&lt;31,"Adolescent","Invalid")))</f>
        <v xml:space="preserve">Middle Age </v>
      </c>
      <c r="M511" s="8" t="str">
        <f>_xlfn.XLOOKUP($A511,'RAWDATA Cars Buyers DB'!$A:$A,'RAWDATA Cars Buyers DB'!L:L)</f>
        <v>No</v>
      </c>
    </row>
    <row r="512" spans="1:13">
      <c r="A512" s="6">
        <v>10412</v>
      </c>
      <c r="B512" s="10" t="str">
        <f>IF(_xlfn.XLOOKUP($A512,'RAWDATA Cars Buyers DB'!$A:$A,'RAWDATA Cars Buyers DB'!B:B)="S","Single","Married")</f>
        <v>Married</v>
      </c>
      <c r="C512" s="10" t="str">
        <f>IF(_xlfn.XLOOKUP($A512,'RAWDATA Cars Buyers DB'!$A:$A,'RAWDATA Cars Buyers DB'!C:C)="F","Female","Male")</f>
        <v>Male</v>
      </c>
      <c r="D512" s="7">
        <f>_xlfn.XLOOKUP($A512,'RAWDATA Cars Buyers DB'!$A:$A,'RAWDATA Cars Buyers DB'!D:D)</f>
        <v>42440</v>
      </c>
      <c r="E512" s="8">
        <f>_xlfn.XLOOKUP($A512,'RAWDATA Cars Buyers DB'!$A:$A,'RAWDATA Cars Buyers DB'!E:E)</f>
        <v>2</v>
      </c>
      <c r="F512" s="8" t="str">
        <f>_xlfn.XLOOKUP($A512,'RAWDATA Cars Buyers DB'!$A:$A,'RAWDATA Cars Buyers DB'!F:F)</f>
        <v>High School</v>
      </c>
      <c r="G512" s="8" t="str">
        <f>_xlfn.XLOOKUP($A512,'RAWDATA Cars Buyers DB'!$A:$A,'RAWDATA Cars Buyers DB'!G:G)</f>
        <v>Skilled Manual</v>
      </c>
      <c r="H512" s="8" t="str">
        <f>_xlfn.XLOOKUP($A512,'RAWDATA Cars Buyers DB'!$A:$A,'RAWDATA Cars Buyers DB'!H:H)</f>
        <v>No</v>
      </c>
      <c r="I512" s="8" t="str">
        <f>_xlfn.XLOOKUP($A512,'RAWDATA Cars Buyers DB'!$A:$A,'RAWDATA Cars Buyers DB'!I:I)</f>
        <v>2–4 Kilometre</v>
      </c>
      <c r="J512" s="8" t="str">
        <f>_xlfn.XLOOKUP($A512,'RAWDATA Cars Buyers DB'!$A:$A,'RAWDATA Cars Buyers DB'!J:J)</f>
        <v>Baden-Württemberg</v>
      </c>
      <c r="K512" s="8">
        <f>_xlfn.XLOOKUP($A512,'RAWDATA Cars Buyers DB'!$A:$A,'RAWDATA Cars Buyers DB'!K:K)</f>
        <v>27</v>
      </c>
      <c r="L512" s="10" t="str">
        <f>IF(_xlfn.XLOOKUP($A512,'RAWDATA Cars Buyers DB'!$A:$A,'RAWDATA Cars Buyers DB'!K:K)&gt;54,"Old ",IF(_xlfn.XLOOKUP($A512,'RAWDATA Cars Buyers DB'!$A:$A,'RAWDATA Cars Buyers DB'!K:K)&gt;=31,"Middle Age ",IF(_xlfn.XLOOKUP($A512,'RAWDATA Cars Buyers DB'!$A:$A,'RAWDATA Cars Buyers DB'!K:K)&lt;31,"Adolescent","Invalid")))</f>
        <v>Adolescent</v>
      </c>
      <c r="M512" s="8" t="str">
        <f>_xlfn.XLOOKUP($A512,'RAWDATA Cars Buyers DB'!$A:$A,'RAWDATA Cars Buyers DB'!L:L)</f>
        <v>Yes</v>
      </c>
    </row>
    <row r="513" spans="1:13">
      <c r="A513" s="6">
        <v>17543</v>
      </c>
      <c r="B513" s="10" t="str">
        <f>IF(_xlfn.XLOOKUP($A513,'RAWDATA Cars Buyers DB'!$A:$A,'RAWDATA Cars Buyers DB'!B:B)="S","Single","Married")</f>
        <v>Single</v>
      </c>
      <c r="C513" s="10" t="str">
        <f>IF(_xlfn.XLOOKUP($A513,'RAWDATA Cars Buyers DB'!$A:$A,'RAWDATA Cars Buyers DB'!C:C)="F","Female","Male")</f>
        <v>Female</v>
      </c>
      <c r="D513" s="7">
        <f>_xlfn.XLOOKUP($A513,'RAWDATA Cars Buyers DB'!$A:$A,'RAWDATA Cars Buyers DB'!D:D)</f>
        <v>55205</v>
      </c>
      <c r="E513" s="8">
        <f>_xlfn.XLOOKUP($A513,'RAWDATA Cars Buyers DB'!$A:$A,'RAWDATA Cars Buyers DB'!E:E)</f>
        <v>5</v>
      </c>
      <c r="F513" s="8" t="str">
        <f>_xlfn.XLOOKUP($A513,'RAWDATA Cars Buyers DB'!$A:$A,'RAWDATA Cars Buyers DB'!F:F)</f>
        <v>Bachelors</v>
      </c>
      <c r="G513" s="8" t="str">
        <f>_xlfn.XLOOKUP($A513,'RAWDATA Cars Buyers DB'!$A:$A,'RAWDATA Cars Buyers DB'!G:G)</f>
        <v>Management</v>
      </c>
      <c r="H513" s="8" t="str">
        <f>_xlfn.XLOOKUP($A513,'RAWDATA Cars Buyers DB'!$A:$A,'RAWDATA Cars Buyers DB'!H:H)</f>
        <v>Yes</v>
      </c>
      <c r="I513" s="8" t="str">
        <f>_xlfn.XLOOKUP($A513,'RAWDATA Cars Buyers DB'!$A:$A,'RAWDATA Cars Buyers DB'!I:I)</f>
        <v>0–1 Kilometre</v>
      </c>
      <c r="J513" s="8" t="str">
        <f>_xlfn.XLOOKUP($A513,'RAWDATA Cars Buyers DB'!$A:$A,'RAWDATA Cars Buyers DB'!J:J)</f>
        <v>Lower Saxony</v>
      </c>
      <c r="K513" s="8">
        <f>_xlfn.XLOOKUP($A513,'RAWDATA Cars Buyers DB'!$A:$A,'RAWDATA Cars Buyers DB'!K:K)</f>
        <v>39</v>
      </c>
      <c r="L513" s="10" t="str">
        <f>IF(_xlfn.XLOOKUP($A513,'RAWDATA Cars Buyers DB'!$A:$A,'RAWDATA Cars Buyers DB'!K:K)&gt;54,"Old ",IF(_xlfn.XLOOKUP($A513,'RAWDATA Cars Buyers DB'!$A:$A,'RAWDATA Cars Buyers DB'!K:K)&gt;=31,"Middle Age ",IF(_xlfn.XLOOKUP($A513,'RAWDATA Cars Buyers DB'!$A:$A,'RAWDATA Cars Buyers DB'!K:K)&lt;31,"Adolescent","Invalid")))</f>
        <v xml:space="preserve">Middle Age </v>
      </c>
      <c r="M513" s="8" t="str">
        <f>_xlfn.XLOOKUP($A513,'RAWDATA Cars Buyers DB'!$A:$A,'RAWDATA Cars Buyers DB'!L:L)</f>
        <v>No</v>
      </c>
    </row>
    <row r="514" spans="1:13">
      <c r="A514" s="6">
        <v>43496</v>
      </c>
      <c r="B514" s="10" t="str">
        <f>IF(_xlfn.XLOOKUP($A514,'RAWDATA Cars Buyers DB'!$A:$A,'RAWDATA Cars Buyers DB'!B:B)="S","Single","Married")</f>
        <v>Married</v>
      </c>
      <c r="C514" s="10" t="str">
        <f>IF(_xlfn.XLOOKUP($A514,'RAWDATA Cars Buyers DB'!$A:$A,'RAWDATA Cars Buyers DB'!C:C)="F","Female","Male")</f>
        <v>Male</v>
      </c>
      <c r="D514" s="7">
        <f>_xlfn.XLOOKUP($A514,'RAWDATA Cars Buyers DB'!$A:$A,'RAWDATA Cars Buyers DB'!D:D)</f>
        <v>100811</v>
      </c>
      <c r="E514" s="8">
        <f>_xlfn.XLOOKUP($A514,'RAWDATA Cars Buyers DB'!$A:$A,'RAWDATA Cars Buyers DB'!E:E)</f>
        <v>0</v>
      </c>
      <c r="F514" s="8" t="str">
        <f>_xlfn.XLOOKUP($A514,'RAWDATA Cars Buyers DB'!$A:$A,'RAWDATA Cars Buyers DB'!F:F)</f>
        <v>High School</v>
      </c>
      <c r="G514" s="8" t="str">
        <f>_xlfn.XLOOKUP($A514,'RAWDATA Cars Buyers DB'!$A:$A,'RAWDATA Cars Buyers DB'!G:G)</f>
        <v>Skilled Manual</v>
      </c>
      <c r="H514" s="8" t="str">
        <f>_xlfn.XLOOKUP($A514,'RAWDATA Cars Buyers DB'!$A:$A,'RAWDATA Cars Buyers DB'!H:H)</f>
        <v>Yes</v>
      </c>
      <c r="I514" s="8" t="str">
        <f>_xlfn.XLOOKUP($A514,'RAWDATA Cars Buyers DB'!$A:$A,'RAWDATA Cars Buyers DB'!I:I)</f>
        <v>6+ Kilometre</v>
      </c>
      <c r="J514" s="8" t="str">
        <f>_xlfn.XLOOKUP($A514,'RAWDATA Cars Buyers DB'!$A:$A,'RAWDATA Cars Buyers DB'!J:J)</f>
        <v>Saxony</v>
      </c>
      <c r="K514" s="8">
        <f>_xlfn.XLOOKUP($A514,'RAWDATA Cars Buyers DB'!$A:$A,'RAWDATA Cars Buyers DB'!K:K)</f>
        <v>35</v>
      </c>
      <c r="L514" s="10" t="str">
        <f>IF(_xlfn.XLOOKUP($A514,'RAWDATA Cars Buyers DB'!$A:$A,'RAWDATA Cars Buyers DB'!K:K)&gt;54,"Old ",IF(_xlfn.XLOOKUP($A514,'RAWDATA Cars Buyers DB'!$A:$A,'RAWDATA Cars Buyers DB'!K:K)&gt;=31,"Middle Age ",IF(_xlfn.XLOOKUP($A514,'RAWDATA Cars Buyers DB'!$A:$A,'RAWDATA Cars Buyers DB'!K:K)&lt;31,"Adolescent","Invalid")))</f>
        <v xml:space="preserve">Middle Age </v>
      </c>
      <c r="M514" s="8" t="str">
        <f>_xlfn.XLOOKUP($A514,'RAWDATA Cars Buyers DB'!$A:$A,'RAWDATA Cars Buyers DB'!L:L)</f>
        <v>No</v>
      </c>
    </row>
    <row r="515" spans="1:13">
      <c r="A515" s="6">
        <v>70692</v>
      </c>
      <c r="B515" s="10" t="str">
        <f>IF(_xlfn.XLOOKUP($A515,'RAWDATA Cars Buyers DB'!$A:$A,'RAWDATA Cars Buyers DB'!B:B)="S","Single","Married")</f>
        <v>Single</v>
      </c>
      <c r="C515" s="10" t="str">
        <f>IF(_xlfn.XLOOKUP($A515,'RAWDATA Cars Buyers DB'!$A:$A,'RAWDATA Cars Buyers DB'!C:C)="F","Female","Male")</f>
        <v>Male</v>
      </c>
      <c r="D515" s="7">
        <f>_xlfn.XLOOKUP($A515,'RAWDATA Cars Buyers DB'!$A:$A,'RAWDATA Cars Buyers DB'!D:D)</f>
        <v>75103</v>
      </c>
      <c r="E515" s="8">
        <f>_xlfn.XLOOKUP($A515,'RAWDATA Cars Buyers DB'!$A:$A,'RAWDATA Cars Buyers DB'!E:E)</f>
        <v>5</v>
      </c>
      <c r="F515" s="8" t="str">
        <f>_xlfn.XLOOKUP($A515,'RAWDATA Cars Buyers DB'!$A:$A,'RAWDATA Cars Buyers DB'!F:F)</f>
        <v>Partial College</v>
      </c>
      <c r="G515" s="8" t="str">
        <f>_xlfn.XLOOKUP($A515,'RAWDATA Cars Buyers DB'!$A:$A,'RAWDATA Cars Buyers DB'!G:G)</f>
        <v>Professional</v>
      </c>
      <c r="H515" s="8" t="str">
        <f>_xlfn.XLOOKUP($A515,'RAWDATA Cars Buyers DB'!$A:$A,'RAWDATA Cars Buyers DB'!H:H)</f>
        <v>No</v>
      </c>
      <c r="I515" s="8" t="str">
        <f>_xlfn.XLOOKUP($A515,'RAWDATA Cars Buyers DB'!$A:$A,'RAWDATA Cars Buyers DB'!I:I)</f>
        <v>1–2 Kilometre</v>
      </c>
      <c r="J515" s="8" t="str">
        <f>_xlfn.XLOOKUP($A515,'RAWDATA Cars Buyers DB'!$A:$A,'RAWDATA Cars Buyers DB'!J:J)</f>
        <v>Thuringia</v>
      </c>
      <c r="K515" s="8">
        <f>_xlfn.XLOOKUP($A515,'RAWDATA Cars Buyers DB'!$A:$A,'RAWDATA Cars Buyers DB'!K:K)</f>
        <v>40</v>
      </c>
      <c r="L515" s="10" t="str">
        <f>IF(_xlfn.XLOOKUP($A515,'RAWDATA Cars Buyers DB'!$A:$A,'RAWDATA Cars Buyers DB'!K:K)&gt;54,"Old ",IF(_xlfn.XLOOKUP($A515,'RAWDATA Cars Buyers DB'!$A:$A,'RAWDATA Cars Buyers DB'!K:K)&gt;=31,"Middle Age ",IF(_xlfn.XLOOKUP($A515,'RAWDATA Cars Buyers DB'!$A:$A,'RAWDATA Cars Buyers DB'!K:K)&lt;31,"Adolescent","Invalid")))</f>
        <v xml:space="preserve">Middle Age </v>
      </c>
      <c r="M515" s="8" t="str">
        <f>_xlfn.XLOOKUP($A515,'RAWDATA Cars Buyers DB'!$A:$A,'RAWDATA Cars Buyers DB'!L:L)</f>
        <v>Yes</v>
      </c>
    </row>
    <row r="516" spans="1:13">
      <c r="A516" s="6">
        <v>99084</v>
      </c>
      <c r="B516" s="10" t="str">
        <f>IF(_xlfn.XLOOKUP($A516,'RAWDATA Cars Buyers DB'!$A:$A,'RAWDATA Cars Buyers DB'!B:B)="S","Single","Married")</f>
        <v>Married</v>
      </c>
      <c r="C516" s="10" t="str">
        <f>IF(_xlfn.XLOOKUP($A516,'RAWDATA Cars Buyers DB'!$A:$A,'RAWDATA Cars Buyers DB'!C:C)="F","Female","Male")</f>
        <v>Male</v>
      </c>
      <c r="D516" s="7">
        <f>_xlfn.XLOOKUP($A516,'RAWDATA Cars Buyers DB'!$A:$A,'RAWDATA Cars Buyers DB'!D:D)</f>
        <v>90812</v>
      </c>
      <c r="E516" s="8">
        <f>_xlfn.XLOOKUP($A516,'RAWDATA Cars Buyers DB'!$A:$A,'RAWDATA Cars Buyers DB'!E:E)</f>
        <v>4</v>
      </c>
      <c r="F516" s="8" t="str">
        <f>_xlfn.XLOOKUP($A516,'RAWDATA Cars Buyers DB'!$A:$A,'RAWDATA Cars Buyers DB'!F:F)</f>
        <v>Partial College</v>
      </c>
      <c r="G516" s="8" t="str">
        <f>_xlfn.XLOOKUP($A516,'RAWDATA Cars Buyers DB'!$A:$A,'RAWDATA Cars Buyers DB'!G:G)</f>
        <v>Management</v>
      </c>
      <c r="H516" s="8" t="str">
        <f>_xlfn.XLOOKUP($A516,'RAWDATA Cars Buyers DB'!$A:$A,'RAWDATA Cars Buyers DB'!H:H)</f>
        <v>Yes</v>
      </c>
      <c r="I516" s="8" t="str">
        <f>_xlfn.XLOOKUP($A516,'RAWDATA Cars Buyers DB'!$A:$A,'RAWDATA Cars Buyers DB'!I:I)</f>
        <v>2–4 Kilometre</v>
      </c>
      <c r="J516" s="8" t="str">
        <f>_xlfn.XLOOKUP($A516,'RAWDATA Cars Buyers DB'!$A:$A,'RAWDATA Cars Buyers DB'!J:J)</f>
        <v>Thuringia</v>
      </c>
      <c r="K516" s="8">
        <f>_xlfn.XLOOKUP($A516,'RAWDATA Cars Buyers DB'!$A:$A,'RAWDATA Cars Buyers DB'!K:K)</f>
        <v>64</v>
      </c>
      <c r="L516" s="10" t="str">
        <f>IF(_xlfn.XLOOKUP($A516,'RAWDATA Cars Buyers DB'!$A:$A,'RAWDATA Cars Buyers DB'!K:K)&gt;54,"Old ",IF(_xlfn.XLOOKUP($A516,'RAWDATA Cars Buyers DB'!$A:$A,'RAWDATA Cars Buyers DB'!K:K)&gt;=31,"Middle Age ",IF(_xlfn.XLOOKUP($A516,'RAWDATA Cars Buyers DB'!$A:$A,'RAWDATA Cars Buyers DB'!K:K)&lt;31,"Adolescent","Invalid")))</f>
        <v xml:space="preserve">Old </v>
      </c>
      <c r="M516" s="8" t="str">
        <f>_xlfn.XLOOKUP($A516,'RAWDATA Cars Buyers DB'!$A:$A,'RAWDATA Cars Buyers DB'!L:L)</f>
        <v>Yes</v>
      </c>
    </row>
    <row r="517" spans="1:13">
      <c r="A517" s="6">
        <v>54425</v>
      </c>
      <c r="B517" s="10" t="str">
        <f>IF(_xlfn.XLOOKUP($A517,'RAWDATA Cars Buyers DB'!$A:$A,'RAWDATA Cars Buyers DB'!B:B)="S","Single","Married")</f>
        <v>Single</v>
      </c>
      <c r="C517" s="10" t="str">
        <f>IF(_xlfn.XLOOKUP($A517,'RAWDATA Cars Buyers DB'!$A:$A,'RAWDATA Cars Buyers DB'!C:C)="F","Female","Male")</f>
        <v>Female</v>
      </c>
      <c r="D517" s="7">
        <f>_xlfn.XLOOKUP($A517,'RAWDATA Cars Buyers DB'!$A:$A,'RAWDATA Cars Buyers DB'!D:D)</f>
        <v>61627</v>
      </c>
      <c r="E517" s="8">
        <f>_xlfn.XLOOKUP($A517,'RAWDATA Cars Buyers DB'!$A:$A,'RAWDATA Cars Buyers DB'!E:E)</f>
        <v>2</v>
      </c>
      <c r="F517" s="8" t="str">
        <f>_xlfn.XLOOKUP($A517,'RAWDATA Cars Buyers DB'!$A:$A,'RAWDATA Cars Buyers DB'!F:F)</f>
        <v>Graduate Degree</v>
      </c>
      <c r="G517" s="8" t="str">
        <f>_xlfn.XLOOKUP($A517,'RAWDATA Cars Buyers DB'!$A:$A,'RAWDATA Cars Buyers DB'!G:G)</f>
        <v>Professional</v>
      </c>
      <c r="H517" s="8" t="str">
        <f>_xlfn.XLOOKUP($A517,'RAWDATA Cars Buyers DB'!$A:$A,'RAWDATA Cars Buyers DB'!H:H)</f>
        <v>Yes</v>
      </c>
      <c r="I517" s="8" t="str">
        <f>_xlfn.XLOOKUP($A517,'RAWDATA Cars Buyers DB'!$A:$A,'RAWDATA Cars Buyers DB'!I:I)</f>
        <v>4–6 Kilometre</v>
      </c>
      <c r="J517" s="8" t="str">
        <f>_xlfn.XLOOKUP($A517,'RAWDATA Cars Buyers DB'!$A:$A,'RAWDATA Cars Buyers DB'!J:J)</f>
        <v>Brandenburg</v>
      </c>
      <c r="K517" s="8">
        <f>_xlfn.XLOOKUP($A517,'RAWDATA Cars Buyers DB'!$A:$A,'RAWDATA Cars Buyers DB'!K:K)</f>
        <v>45</v>
      </c>
      <c r="L517" s="10" t="str">
        <f>IF(_xlfn.XLOOKUP($A517,'RAWDATA Cars Buyers DB'!$A:$A,'RAWDATA Cars Buyers DB'!K:K)&gt;54,"Old ",IF(_xlfn.XLOOKUP($A517,'RAWDATA Cars Buyers DB'!$A:$A,'RAWDATA Cars Buyers DB'!K:K)&gt;=31,"Middle Age ",IF(_xlfn.XLOOKUP($A517,'RAWDATA Cars Buyers DB'!$A:$A,'RAWDATA Cars Buyers DB'!K:K)&lt;31,"Adolescent","Invalid")))</f>
        <v xml:space="preserve">Middle Age </v>
      </c>
      <c r="M517" s="8" t="str">
        <f>_xlfn.XLOOKUP($A517,'RAWDATA Cars Buyers DB'!$A:$A,'RAWDATA Cars Buyers DB'!L:L)</f>
        <v>No</v>
      </c>
    </row>
    <row r="518" spans="1:13">
      <c r="A518" s="6">
        <v>48756</v>
      </c>
      <c r="B518" s="10" t="str">
        <f>IF(_xlfn.XLOOKUP($A518,'RAWDATA Cars Buyers DB'!$A:$A,'RAWDATA Cars Buyers DB'!B:B)="S","Single","Married")</f>
        <v>Married</v>
      </c>
      <c r="C518" s="10" t="str">
        <f>IF(_xlfn.XLOOKUP($A518,'RAWDATA Cars Buyers DB'!$A:$A,'RAWDATA Cars Buyers DB'!C:C)="F","Female","Male")</f>
        <v>Male</v>
      </c>
      <c r="D518" s="7">
        <f>_xlfn.XLOOKUP($A518,'RAWDATA Cars Buyers DB'!$A:$A,'RAWDATA Cars Buyers DB'!D:D)</f>
        <v>39008</v>
      </c>
      <c r="E518" s="8">
        <f>_xlfn.XLOOKUP($A518,'RAWDATA Cars Buyers DB'!$A:$A,'RAWDATA Cars Buyers DB'!E:E)</f>
        <v>2</v>
      </c>
      <c r="F518" s="8" t="str">
        <f>_xlfn.XLOOKUP($A518,'RAWDATA Cars Buyers DB'!$A:$A,'RAWDATA Cars Buyers DB'!F:F)</f>
        <v>Partial College</v>
      </c>
      <c r="G518" s="8" t="str">
        <f>_xlfn.XLOOKUP($A518,'RAWDATA Cars Buyers DB'!$A:$A,'RAWDATA Cars Buyers DB'!G:G)</f>
        <v>Clerical</v>
      </c>
      <c r="H518" s="8" t="str">
        <f>_xlfn.XLOOKUP($A518,'RAWDATA Cars Buyers DB'!$A:$A,'RAWDATA Cars Buyers DB'!H:H)</f>
        <v>Yes</v>
      </c>
      <c r="I518" s="8" t="str">
        <f>_xlfn.XLOOKUP($A518,'RAWDATA Cars Buyers DB'!$A:$A,'RAWDATA Cars Buyers DB'!I:I)</f>
        <v>0–1 Kilometre</v>
      </c>
      <c r="J518" s="8" t="str">
        <f>_xlfn.XLOOKUP($A518,'RAWDATA Cars Buyers DB'!$A:$A,'RAWDATA Cars Buyers DB'!J:J)</f>
        <v>Bavaria</v>
      </c>
      <c r="K518" s="8">
        <f>_xlfn.XLOOKUP($A518,'RAWDATA Cars Buyers DB'!$A:$A,'RAWDATA Cars Buyers DB'!K:K)</f>
        <v>42</v>
      </c>
      <c r="L518" s="10" t="str">
        <f>IF(_xlfn.XLOOKUP($A518,'RAWDATA Cars Buyers DB'!$A:$A,'RAWDATA Cars Buyers DB'!K:K)&gt;54,"Old ",IF(_xlfn.XLOOKUP($A518,'RAWDATA Cars Buyers DB'!$A:$A,'RAWDATA Cars Buyers DB'!K:K)&gt;=31,"Middle Age ",IF(_xlfn.XLOOKUP($A518,'RAWDATA Cars Buyers DB'!$A:$A,'RAWDATA Cars Buyers DB'!K:K)&lt;31,"Adolescent","Invalid")))</f>
        <v xml:space="preserve">Middle Age </v>
      </c>
      <c r="M518" s="8" t="str">
        <f>_xlfn.XLOOKUP($A518,'RAWDATA Cars Buyers DB'!$A:$A,'RAWDATA Cars Buyers DB'!L:L)</f>
        <v>No</v>
      </c>
    </row>
    <row r="519" spans="1:13">
      <c r="A519" s="6">
        <v>28888</v>
      </c>
      <c r="B519" s="10" t="str">
        <f>IF(_xlfn.XLOOKUP($A519,'RAWDATA Cars Buyers DB'!$A:$A,'RAWDATA Cars Buyers DB'!B:B)="S","Single","Married")</f>
        <v>Married</v>
      </c>
      <c r="C519" s="10" t="str">
        <f>IF(_xlfn.XLOOKUP($A519,'RAWDATA Cars Buyers DB'!$A:$A,'RAWDATA Cars Buyers DB'!C:C)="F","Female","Male")</f>
        <v>Female</v>
      </c>
      <c r="D519" s="7">
        <f>_xlfn.XLOOKUP($A519,'RAWDATA Cars Buyers DB'!$A:$A,'RAWDATA Cars Buyers DB'!D:D)</f>
        <v>91274</v>
      </c>
      <c r="E519" s="8">
        <f>_xlfn.XLOOKUP($A519,'RAWDATA Cars Buyers DB'!$A:$A,'RAWDATA Cars Buyers DB'!E:E)</f>
        <v>1</v>
      </c>
      <c r="F519" s="8" t="str">
        <f>_xlfn.XLOOKUP($A519,'RAWDATA Cars Buyers DB'!$A:$A,'RAWDATA Cars Buyers DB'!F:F)</f>
        <v>High School</v>
      </c>
      <c r="G519" s="8" t="str">
        <f>_xlfn.XLOOKUP($A519,'RAWDATA Cars Buyers DB'!$A:$A,'RAWDATA Cars Buyers DB'!G:G)</f>
        <v>Management</v>
      </c>
      <c r="H519" s="8" t="str">
        <f>_xlfn.XLOOKUP($A519,'RAWDATA Cars Buyers DB'!$A:$A,'RAWDATA Cars Buyers DB'!H:H)</f>
        <v>Yes</v>
      </c>
      <c r="I519" s="8" t="str">
        <f>_xlfn.XLOOKUP($A519,'RAWDATA Cars Buyers DB'!$A:$A,'RAWDATA Cars Buyers DB'!I:I)</f>
        <v>0–1 Kilometre</v>
      </c>
      <c r="J519" s="8" t="str">
        <f>_xlfn.XLOOKUP($A519,'RAWDATA Cars Buyers DB'!$A:$A,'RAWDATA Cars Buyers DB'!J:J)</f>
        <v>North Rhine-Westphalia</v>
      </c>
      <c r="K519" s="8">
        <f>_xlfn.XLOOKUP($A519,'RAWDATA Cars Buyers DB'!$A:$A,'RAWDATA Cars Buyers DB'!K:K)</f>
        <v>37</v>
      </c>
      <c r="L519" s="10" t="str">
        <f>IF(_xlfn.XLOOKUP($A519,'RAWDATA Cars Buyers DB'!$A:$A,'RAWDATA Cars Buyers DB'!K:K)&gt;54,"Old ",IF(_xlfn.XLOOKUP($A519,'RAWDATA Cars Buyers DB'!$A:$A,'RAWDATA Cars Buyers DB'!K:K)&gt;=31,"Middle Age ",IF(_xlfn.XLOOKUP($A519,'RAWDATA Cars Buyers DB'!$A:$A,'RAWDATA Cars Buyers DB'!K:K)&lt;31,"Adolescent","Invalid")))</f>
        <v xml:space="preserve">Middle Age </v>
      </c>
      <c r="M519" s="8" t="str">
        <f>_xlfn.XLOOKUP($A519,'RAWDATA Cars Buyers DB'!$A:$A,'RAWDATA Cars Buyers DB'!L:L)</f>
        <v>No</v>
      </c>
    </row>
    <row r="520" spans="1:13">
      <c r="A520" s="6">
        <v>45735</v>
      </c>
      <c r="B520" s="10" t="str">
        <f>IF(_xlfn.XLOOKUP($A520,'RAWDATA Cars Buyers DB'!$A:$A,'RAWDATA Cars Buyers DB'!B:B)="S","Single","Married")</f>
        <v>Single</v>
      </c>
      <c r="C520" s="10" t="str">
        <f>IF(_xlfn.XLOOKUP($A520,'RAWDATA Cars Buyers DB'!$A:$A,'RAWDATA Cars Buyers DB'!C:C)="F","Female","Male")</f>
        <v>Male</v>
      </c>
      <c r="D520" s="7">
        <f>_xlfn.XLOOKUP($A520,'RAWDATA Cars Buyers DB'!$A:$A,'RAWDATA Cars Buyers DB'!D:D)</f>
        <v>52402</v>
      </c>
      <c r="E520" s="8">
        <f>_xlfn.XLOOKUP($A520,'RAWDATA Cars Buyers DB'!$A:$A,'RAWDATA Cars Buyers DB'!E:E)</f>
        <v>0</v>
      </c>
      <c r="F520" s="8" t="str">
        <f>_xlfn.XLOOKUP($A520,'RAWDATA Cars Buyers DB'!$A:$A,'RAWDATA Cars Buyers DB'!F:F)</f>
        <v>Partial College</v>
      </c>
      <c r="G520" s="8" t="str">
        <f>_xlfn.XLOOKUP($A520,'RAWDATA Cars Buyers DB'!$A:$A,'RAWDATA Cars Buyers DB'!G:G)</f>
        <v>Professional</v>
      </c>
      <c r="H520" s="8" t="str">
        <f>_xlfn.XLOOKUP($A520,'RAWDATA Cars Buyers DB'!$A:$A,'RAWDATA Cars Buyers DB'!H:H)</f>
        <v>Yes</v>
      </c>
      <c r="I520" s="8" t="str">
        <f>_xlfn.XLOOKUP($A520,'RAWDATA Cars Buyers DB'!$A:$A,'RAWDATA Cars Buyers DB'!I:I)</f>
        <v>2–4 Kilometre</v>
      </c>
      <c r="J520" s="8" t="str">
        <f>_xlfn.XLOOKUP($A520,'RAWDATA Cars Buyers DB'!$A:$A,'RAWDATA Cars Buyers DB'!J:J)</f>
        <v>Saxony</v>
      </c>
      <c r="K520" s="8">
        <f>_xlfn.XLOOKUP($A520,'RAWDATA Cars Buyers DB'!$A:$A,'RAWDATA Cars Buyers DB'!K:K)</f>
        <v>50</v>
      </c>
      <c r="L520" s="10" t="str">
        <f>IF(_xlfn.XLOOKUP($A520,'RAWDATA Cars Buyers DB'!$A:$A,'RAWDATA Cars Buyers DB'!K:K)&gt;54,"Old ",IF(_xlfn.XLOOKUP($A520,'RAWDATA Cars Buyers DB'!$A:$A,'RAWDATA Cars Buyers DB'!K:K)&gt;=31,"Middle Age ",IF(_xlfn.XLOOKUP($A520,'RAWDATA Cars Buyers DB'!$A:$A,'RAWDATA Cars Buyers DB'!K:K)&lt;31,"Adolescent","Invalid")))</f>
        <v xml:space="preserve">Middle Age </v>
      </c>
      <c r="M520" s="8" t="str">
        <f>_xlfn.XLOOKUP($A520,'RAWDATA Cars Buyers DB'!$A:$A,'RAWDATA Cars Buyers DB'!L:L)</f>
        <v>No</v>
      </c>
    </row>
    <row r="521" spans="1:13">
      <c r="A521" s="6">
        <v>57295</v>
      </c>
      <c r="B521" s="10" t="str">
        <f>IF(_xlfn.XLOOKUP($A521,'RAWDATA Cars Buyers DB'!$A:$A,'RAWDATA Cars Buyers DB'!B:B)="S","Single","Married")</f>
        <v>Married</v>
      </c>
      <c r="C521" s="10" t="str">
        <f>IF(_xlfn.XLOOKUP($A521,'RAWDATA Cars Buyers DB'!$A:$A,'RAWDATA Cars Buyers DB'!C:C)="F","Female","Male")</f>
        <v>Male</v>
      </c>
      <c r="D521" s="7">
        <f>_xlfn.XLOOKUP($A521,'RAWDATA Cars Buyers DB'!$A:$A,'RAWDATA Cars Buyers DB'!D:D)</f>
        <v>73384</v>
      </c>
      <c r="E521" s="8">
        <f>_xlfn.XLOOKUP($A521,'RAWDATA Cars Buyers DB'!$A:$A,'RAWDATA Cars Buyers DB'!E:E)</f>
        <v>4</v>
      </c>
      <c r="F521" s="8" t="str">
        <f>_xlfn.XLOOKUP($A521,'RAWDATA Cars Buyers DB'!$A:$A,'RAWDATA Cars Buyers DB'!F:F)</f>
        <v>Graduate Degree</v>
      </c>
      <c r="G521" s="8" t="str">
        <f>_xlfn.XLOOKUP($A521,'RAWDATA Cars Buyers DB'!$A:$A,'RAWDATA Cars Buyers DB'!G:G)</f>
        <v>Management</v>
      </c>
      <c r="H521" s="8" t="str">
        <f>_xlfn.XLOOKUP($A521,'RAWDATA Cars Buyers DB'!$A:$A,'RAWDATA Cars Buyers DB'!H:H)</f>
        <v>No</v>
      </c>
      <c r="I521" s="8" t="str">
        <f>_xlfn.XLOOKUP($A521,'RAWDATA Cars Buyers DB'!$A:$A,'RAWDATA Cars Buyers DB'!I:I)</f>
        <v>4–6 Kilometre</v>
      </c>
      <c r="J521" s="8" t="str">
        <f>_xlfn.XLOOKUP($A521,'RAWDATA Cars Buyers DB'!$A:$A,'RAWDATA Cars Buyers DB'!J:J)</f>
        <v>Baden-Württemberg</v>
      </c>
      <c r="K521" s="8">
        <f>_xlfn.XLOOKUP($A521,'RAWDATA Cars Buyers DB'!$A:$A,'RAWDATA Cars Buyers DB'!K:K)</f>
        <v>61</v>
      </c>
      <c r="L521" s="10" t="str">
        <f>IF(_xlfn.XLOOKUP($A521,'RAWDATA Cars Buyers DB'!$A:$A,'RAWDATA Cars Buyers DB'!K:K)&gt;54,"Old ",IF(_xlfn.XLOOKUP($A521,'RAWDATA Cars Buyers DB'!$A:$A,'RAWDATA Cars Buyers DB'!K:K)&gt;=31,"Middle Age ",IF(_xlfn.XLOOKUP($A521,'RAWDATA Cars Buyers DB'!$A:$A,'RAWDATA Cars Buyers DB'!K:K)&lt;31,"Adolescent","Invalid")))</f>
        <v xml:space="preserve">Old </v>
      </c>
      <c r="M521" s="8" t="str">
        <f>_xlfn.XLOOKUP($A521,'RAWDATA Cars Buyers DB'!$A:$A,'RAWDATA Cars Buyers DB'!L:L)</f>
        <v>No</v>
      </c>
    </row>
    <row r="522" spans="1:13">
      <c r="A522" s="6">
        <v>93042</v>
      </c>
      <c r="B522" s="10" t="str">
        <f>IF(_xlfn.XLOOKUP($A522,'RAWDATA Cars Buyers DB'!$A:$A,'RAWDATA Cars Buyers DB'!B:B)="S","Single","Married")</f>
        <v>Single</v>
      </c>
      <c r="C522" s="10" t="str">
        <f>IF(_xlfn.XLOOKUP($A522,'RAWDATA Cars Buyers DB'!$A:$A,'RAWDATA Cars Buyers DB'!C:C)="F","Female","Male")</f>
        <v>Male</v>
      </c>
      <c r="D522" s="7">
        <f>_xlfn.XLOOKUP($A522,'RAWDATA Cars Buyers DB'!$A:$A,'RAWDATA Cars Buyers DB'!D:D)</f>
        <v>25793</v>
      </c>
      <c r="E522" s="8">
        <f>_xlfn.XLOOKUP($A522,'RAWDATA Cars Buyers DB'!$A:$A,'RAWDATA Cars Buyers DB'!E:E)</f>
        <v>2</v>
      </c>
      <c r="F522" s="8" t="str">
        <f>_xlfn.XLOOKUP($A522,'RAWDATA Cars Buyers DB'!$A:$A,'RAWDATA Cars Buyers DB'!F:F)</f>
        <v>Graduate Degree</v>
      </c>
      <c r="G522" s="8" t="str">
        <f>_xlfn.XLOOKUP($A522,'RAWDATA Cars Buyers DB'!$A:$A,'RAWDATA Cars Buyers DB'!G:G)</f>
        <v>Professional</v>
      </c>
      <c r="H522" s="8" t="str">
        <f>_xlfn.XLOOKUP($A522,'RAWDATA Cars Buyers DB'!$A:$A,'RAWDATA Cars Buyers DB'!H:H)</f>
        <v>Yes</v>
      </c>
      <c r="I522" s="8" t="str">
        <f>_xlfn.XLOOKUP($A522,'RAWDATA Cars Buyers DB'!$A:$A,'RAWDATA Cars Buyers DB'!I:I)</f>
        <v>0–1 Kilometre</v>
      </c>
      <c r="J522" s="8" t="str">
        <f>_xlfn.XLOOKUP($A522,'RAWDATA Cars Buyers DB'!$A:$A,'RAWDATA Cars Buyers DB'!J:J)</f>
        <v>Hamburg</v>
      </c>
      <c r="K522" s="8">
        <f>_xlfn.XLOOKUP($A522,'RAWDATA Cars Buyers DB'!$A:$A,'RAWDATA Cars Buyers DB'!K:K)</f>
        <v>31</v>
      </c>
      <c r="L522" s="10" t="str">
        <f>IF(_xlfn.XLOOKUP($A522,'RAWDATA Cars Buyers DB'!$A:$A,'RAWDATA Cars Buyers DB'!K:K)&gt;54,"Old ",IF(_xlfn.XLOOKUP($A522,'RAWDATA Cars Buyers DB'!$A:$A,'RAWDATA Cars Buyers DB'!K:K)&gt;=31,"Middle Age ",IF(_xlfn.XLOOKUP($A522,'RAWDATA Cars Buyers DB'!$A:$A,'RAWDATA Cars Buyers DB'!K:K)&lt;31,"Adolescent","Invalid")))</f>
        <v xml:space="preserve">Middle Age </v>
      </c>
      <c r="M522" s="8" t="str">
        <f>_xlfn.XLOOKUP($A522,'RAWDATA Cars Buyers DB'!$A:$A,'RAWDATA Cars Buyers DB'!L:L)</f>
        <v>Yes</v>
      </c>
    </row>
    <row r="523" spans="1:13">
      <c r="A523" s="6">
        <v>95999</v>
      </c>
      <c r="B523" s="10" t="str">
        <f>IF(_xlfn.XLOOKUP($A523,'RAWDATA Cars Buyers DB'!$A:$A,'RAWDATA Cars Buyers DB'!B:B)="S","Single","Married")</f>
        <v>Single</v>
      </c>
      <c r="C523" s="10" t="str">
        <f>IF(_xlfn.XLOOKUP($A523,'RAWDATA Cars Buyers DB'!$A:$A,'RAWDATA Cars Buyers DB'!C:C)="F","Female","Male")</f>
        <v>Male</v>
      </c>
      <c r="D523" s="7">
        <f>_xlfn.XLOOKUP($A523,'RAWDATA Cars Buyers DB'!$A:$A,'RAWDATA Cars Buyers DB'!D:D)</f>
        <v>25571</v>
      </c>
      <c r="E523" s="8">
        <f>_xlfn.XLOOKUP($A523,'RAWDATA Cars Buyers DB'!$A:$A,'RAWDATA Cars Buyers DB'!E:E)</f>
        <v>2</v>
      </c>
      <c r="F523" s="8" t="str">
        <f>_xlfn.XLOOKUP($A523,'RAWDATA Cars Buyers DB'!$A:$A,'RAWDATA Cars Buyers DB'!F:F)</f>
        <v>High School</v>
      </c>
      <c r="G523" s="8" t="str">
        <f>_xlfn.XLOOKUP($A523,'RAWDATA Cars Buyers DB'!$A:$A,'RAWDATA Cars Buyers DB'!G:G)</f>
        <v>Management</v>
      </c>
      <c r="H523" s="8" t="str">
        <f>_xlfn.XLOOKUP($A523,'RAWDATA Cars Buyers DB'!$A:$A,'RAWDATA Cars Buyers DB'!H:H)</f>
        <v>Yes</v>
      </c>
      <c r="I523" s="8" t="str">
        <f>_xlfn.XLOOKUP($A523,'RAWDATA Cars Buyers DB'!$A:$A,'RAWDATA Cars Buyers DB'!I:I)</f>
        <v>1–2 Kilometre</v>
      </c>
      <c r="J523" s="8" t="str">
        <f>_xlfn.XLOOKUP($A523,'RAWDATA Cars Buyers DB'!$A:$A,'RAWDATA Cars Buyers DB'!J:J)</f>
        <v>Thuringia</v>
      </c>
      <c r="K523" s="8">
        <f>_xlfn.XLOOKUP($A523,'RAWDATA Cars Buyers DB'!$A:$A,'RAWDATA Cars Buyers DB'!K:K)</f>
        <v>20</v>
      </c>
      <c r="L523" s="10" t="str">
        <f>IF(_xlfn.XLOOKUP($A523,'RAWDATA Cars Buyers DB'!$A:$A,'RAWDATA Cars Buyers DB'!K:K)&gt;54,"Old ",IF(_xlfn.XLOOKUP($A523,'RAWDATA Cars Buyers DB'!$A:$A,'RAWDATA Cars Buyers DB'!K:K)&gt;=31,"Middle Age ",IF(_xlfn.XLOOKUP($A523,'RAWDATA Cars Buyers DB'!$A:$A,'RAWDATA Cars Buyers DB'!K:K)&lt;31,"Adolescent","Invalid")))</f>
        <v>Adolescent</v>
      </c>
      <c r="M523" s="8" t="str">
        <f>_xlfn.XLOOKUP($A523,'RAWDATA Cars Buyers DB'!$A:$A,'RAWDATA Cars Buyers DB'!L:L)</f>
        <v>No</v>
      </c>
    </row>
    <row r="524" spans="1:13">
      <c r="A524" s="6">
        <v>27955</v>
      </c>
      <c r="B524" s="10" t="str">
        <f>IF(_xlfn.XLOOKUP($A524,'RAWDATA Cars Buyers DB'!$A:$A,'RAWDATA Cars Buyers DB'!B:B)="S","Single","Married")</f>
        <v>Single</v>
      </c>
      <c r="C524" s="10" t="str">
        <f>IF(_xlfn.XLOOKUP($A524,'RAWDATA Cars Buyers DB'!$A:$A,'RAWDATA Cars Buyers DB'!C:C)="F","Female","Male")</f>
        <v>Male</v>
      </c>
      <c r="D524" s="7">
        <f>_xlfn.XLOOKUP($A524,'RAWDATA Cars Buyers DB'!$A:$A,'RAWDATA Cars Buyers DB'!D:D)</f>
        <v>116867</v>
      </c>
      <c r="E524" s="8">
        <f>_xlfn.XLOOKUP($A524,'RAWDATA Cars Buyers DB'!$A:$A,'RAWDATA Cars Buyers DB'!E:E)</f>
        <v>4</v>
      </c>
      <c r="F524" s="8" t="str">
        <f>_xlfn.XLOOKUP($A524,'RAWDATA Cars Buyers DB'!$A:$A,'RAWDATA Cars Buyers DB'!F:F)</f>
        <v>Bachelors</v>
      </c>
      <c r="G524" s="8" t="str">
        <f>_xlfn.XLOOKUP($A524,'RAWDATA Cars Buyers DB'!$A:$A,'RAWDATA Cars Buyers DB'!G:G)</f>
        <v>Professional</v>
      </c>
      <c r="H524" s="8" t="str">
        <f>_xlfn.XLOOKUP($A524,'RAWDATA Cars Buyers DB'!$A:$A,'RAWDATA Cars Buyers DB'!H:H)</f>
        <v>Yes</v>
      </c>
      <c r="I524" s="8" t="str">
        <f>_xlfn.XLOOKUP($A524,'RAWDATA Cars Buyers DB'!$A:$A,'RAWDATA Cars Buyers DB'!I:I)</f>
        <v>0–1 Kilometre</v>
      </c>
      <c r="J524" s="8" t="str">
        <f>_xlfn.XLOOKUP($A524,'RAWDATA Cars Buyers DB'!$A:$A,'RAWDATA Cars Buyers DB'!J:J)</f>
        <v>Berlin</v>
      </c>
      <c r="K524" s="8">
        <f>_xlfn.XLOOKUP($A524,'RAWDATA Cars Buyers DB'!$A:$A,'RAWDATA Cars Buyers DB'!K:K)</f>
        <v>61</v>
      </c>
      <c r="L524" s="10" t="str">
        <f>IF(_xlfn.XLOOKUP($A524,'RAWDATA Cars Buyers DB'!$A:$A,'RAWDATA Cars Buyers DB'!K:K)&gt;54,"Old ",IF(_xlfn.XLOOKUP($A524,'RAWDATA Cars Buyers DB'!$A:$A,'RAWDATA Cars Buyers DB'!K:K)&gt;=31,"Middle Age ",IF(_xlfn.XLOOKUP($A524,'RAWDATA Cars Buyers DB'!$A:$A,'RAWDATA Cars Buyers DB'!K:K)&lt;31,"Adolescent","Invalid")))</f>
        <v xml:space="preserve">Old </v>
      </c>
      <c r="M524" s="8" t="str">
        <f>_xlfn.XLOOKUP($A524,'RAWDATA Cars Buyers DB'!$A:$A,'RAWDATA Cars Buyers DB'!L:L)</f>
        <v>Yes</v>
      </c>
    </row>
    <row r="525" spans="1:13">
      <c r="A525" s="6">
        <v>47841</v>
      </c>
      <c r="B525" s="10" t="str">
        <f>IF(_xlfn.XLOOKUP($A525,'RAWDATA Cars Buyers DB'!$A:$A,'RAWDATA Cars Buyers DB'!B:B)="S","Single","Married")</f>
        <v>Single</v>
      </c>
      <c r="C525" s="10" t="str">
        <f>IF(_xlfn.XLOOKUP($A525,'RAWDATA Cars Buyers DB'!$A:$A,'RAWDATA Cars Buyers DB'!C:C)="F","Female","Male")</f>
        <v>Female</v>
      </c>
      <c r="D525" s="7">
        <f>_xlfn.XLOOKUP($A525,'RAWDATA Cars Buyers DB'!$A:$A,'RAWDATA Cars Buyers DB'!D:D)</f>
        <v>36209</v>
      </c>
      <c r="E525" s="8">
        <f>_xlfn.XLOOKUP($A525,'RAWDATA Cars Buyers DB'!$A:$A,'RAWDATA Cars Buyers DB'!E:E)</f>
        <v>5</v>
      </c>
      <c r="F525" s="8" t="str">
        <f>_xlfn.XLOOKUP($A525,'RAWDATA Cars Buyers DB'!$A:$A,'RAWDATA Cars Buyers DB'!F:F)</f>
        <v>Partial College</v>
      </c>
      <c r="G525" s="8" t="str">
        <f>_xlfn.XLOOKUP($A525,'RAWDATA Cars Buyers DB'!$A:$A,'RAWDATA Cars Buyers DB'!G:G)</f>
        <v>Clerical</v>
      </c>
      <c r="H525" s="8" t="str">
        <f>_xlfn.XLOOKUP($A525,'RAWDATA Cars Buyers DB'!$A:$A,'RAWDATA Cars Buyers DB'!H:H)</f>
        <v>No</v>
      </c>
      <c r="I525" s="8" t="str">
        <f>_xlfn.XLOOKUP($A525,'RAWDATA Cars Buyers DB'!$A:$A,'RAWDATA Cars Buyers DB'!I:I)</f>
        <v>4–6 Kilometre</v>
      </c>
      <c r="J525" s="8" t="str">
        <f>_xlfn.XLOOKUP($A525,'RAWDATA Cars Buyers DB'!$A:$A,'RAWDATA Cars Buyers DB'!J:J)</f>
        <v>Baden-Württemberg</v>
      </c>
      <c r="K525" s="8">
        <f>_xlfn.XLOOKUP($A525,'RAWDATA Cars Buyers DB'!$A:$A,'RAWDATA Cars Buyers DB'!K:K)</f>
        <v>28</v>
      </c>
      <c r="L525" s="10" t="str">
        <f>IF(_xlfn.XLOOKUP($A525,'RAWDATA Cars Buyers DB'!$A:$A,'RAWDATA Cars Buyers DB'!K:K)&gt;54,"Old ",IF(_xlfn.XLOOKUP($A525,'RAWDATA Cars Buyers DB'!$A:$A,'RAWDATA Cars Buyers DB'!K:K)&gt;=31,"Middle Age ",IF(_xlfn.XLOOKUP($A525,'RAWDATA Cars Buyers DB'!$A:$A,'RAWDATA Cars Buyers DB'!K:K)&lt;31,"Adolescent","Invalid")))</f>
        <v>Adolescent</v>
      </c>
      <c r="M525" s="8" t="str">
        <f>_xlfn.XLOOKUP($A525,'RAWDATA Cars Buyers DB'!$A:$A,'RAWDATA Cars Buyers DB'!L:L)</f>
        <v>No</v>
      </c>
    </row>
    <row r="526" spans="1:13">
      <c r="A526" s="6">
        <v>80640</v>
      </c>
      <c r="B526" s="10" t="str">
        <f>IF(_xlfn.XLOOKUP($A526,'RAWDATA Cars Buyers DB'!$A:$A,'RAWDATA Cars Buyers DB'!B:B)="S","Single","Married")</f>
        <v>Single</v>
      </c>
      <c r="C526" s="10" t="str">
        <f>IF(_xlfn.XLOOKUP($A526,'RAWDATA Cars Buyers DB'!$A:$A,'RAWDATA Cars Buyers DB'!C:C)="F","Female","Male")</f>
        <v>Female</v>
      </c>
      <c r="D526" s="7">
        <f>_xlfn.XLOOKUP($A526,'RAWDATA Cars Buyers DB'!$A:$A,'RAWDATA Cars Buyers DB'!D:D)</f>
        <v>110930</v>
      </c>
      <c r="E526" s="8">
        <f>_xlfn.XLOOKUP($A526,'RAWDATA Cars Buyers DB'!$A:$A,'RAWDATA Cars Buyers DB'!E:E)</f>
        <v>5</v>
      </c>
      <c r="F526" s="8" t="str">
        <f>_xlfn.XLOOKUP($A526,'RAWDATA Cars Buyers DB'!$A:$A,'RAWDATA Cars Buyers DB'!F:F)</f>
        <v>Graduate Degree</v>
      </c>
      <c r="G526" s="8" t="str">
        <f>_xlfn.XLOOKUP($A526,'RAWDATA Cars Buyers DB'!$A:$A,'RAWDATA Cars Buyers DB'!G:G)</f>
        <v>Management</v>
      </c>
      <c r="H526" s="8" t="str">
        <f>_xlfn.XLOOKUP($A526,'RAWDATA Cars Buyers DB'!$A:$A,'RAWDATA Cars Buyers DB'!H:H)</f>
        <v>No</v>
      </c>
      <c r="I526" s="8" t="str">
        <f>_xlfn.XLOOKUP($A526,'RAWDATA Cars Buyers DB'!$A:$A,'RAWDATA Cars Buyers DB'!I:I)</f>
        <v>6+ Kilometre</v>
      </c>
      <c r="J526" s="8" t="str">
        <f>_xlfn.XLOOKUP($A526,'RAWDATA Cars Buyers DB'!$A:$A,'RAWDATA Cars Buyers DB'!J:J)</f>
        <v>Saarland</v>
      </c>
      <c r="K526" s="8">
        <f>_xlfn.XLOOKUP($A526,'RAWDATA Cars Buyers DB'!$A:$A,'RAWDATA Cars Buyers DB'!K:K)</f>
        <v>22</v>
      </c>
      <c r="L526" s="10" t="str">
        <f>IF(_xlfn.XLOOKUP($A526,'RAWDATA Cars Buyers DB'!$A:$A,'RAWDATA Cars Buyers DB'!K:K)&gt;54,"Old ",IF(_xlfn.XLOOKUP($A526,'RAWDATA Cars Buyers DB'!$A:$A,'RAWDATA Cars Buyers DB'!K:K)&gt;=31,"Middle Age ",IF(_xlfn.XLOOKUP($A526,'RAWDATA Cars Buyers DB'!$A:$A,'RAWDATA Cars Buyers DB'!K:K)&lt;31,"Adolescent","Invalid")))</f>
        <v>Adolescent</v>
      </c>
      <c r="M526" s="8" t="str">
        <f>_xlfn.XLOOKUP($A526,'RAWDATA Cars Buyers DB'!$A:$A,'RAWDATA Cars Buyers DB'!L:L)</f>
        <v>No</v>
      </c>
    </row>
    <row r="527" spans="1:13">
      <c r="A527" s="6">
        <v>75510</v>
      </c>
      <c r="B527" s="10" t="str">
        <f>IF(_xlfn.XLOOKUP($A527,'RAWDATA Cars Buyers DB'!$A:$A,'RAWDATA Cars Buyers DB'!B:B)="S","Single","Married")</f>
        <v>Single</v>
      </c>
      <c r="C527" s="10" t="str">
        <f>IF(_xlfn.XLOOKUP($A527,'RAWDATA Cars Buyers DB'!$A:$A,'RAWDATA Cars Buyers DB'!C:C)="F","Female","Male")</f>
        <v>Male</v>
      </c>
      <c r="D527" s="7">
        <f>_xlfn.XLOOKUP($A527,'RAWDATA Cars Buyers DB'!$A:$A,'RAWDATA Cars Buyers DB'!D:D)</f>
        <v>63148</v>
      </c>
      <c r="E527" s="8">
        <f>_xlfn.XLOOKUP($A527,'RAWDATA Cars Buyers DB'!$A:$A,'RAWDATA Cars Buyers DB'!E:E)</f>
        <v>0</v>
      </c>
      <c r="F527" s="8" t="str">
        <f>_xlfn.XLOOKUP($A527,'RAWDATA Cars Buyers DB'!$A:$A,'RAWDATA Cars Buyers DB'!F:F)</f>
        <v>Partial College</v>
      </c>
      <c r="G527" s="8" t="str">
        <f>_xlfn.XLOOKUP($A527,'RAWDATA Cars Buyers DB'!$A:$A,'RAWDATA Cars Buyers DB'!G:G)</f>
        <v>Management</v>
      </c>
      <c r="H527" s="8" t="str">
        <f>_xlfn.XLOOKUP($A527,'RAWDATA Cars Buyers DB'!$A:$A,'RAWDATA Cars Buyers DB'!H:H)</f>
        <v>No</v>
      </c>
      <c r="I527" s="8" t="str">
        <f>_xlfn.XLOOKUP($A527,'RAWDATA Cars Buyers DB'!$A:$A,'RAWDATA Cars Buyers DB'!I:I)</f>
        <v>6+ Kilometre</v>
      </c>
      <c r="J527" s="8" t="str">
        <f>_xlfn.XLOOKUP($A527,'RAWDATA Cars Buyers DB'!$A:$A,'RAWDATA Cars Buyers DB'!J:J)</f>
        <v>Hamburg</v>
      </c>
      <c r="K527" s="8">
        <f>_xlfn.XLOOKUP($A527,'RAWDATA Cars Buyers DB'!$A:$A,'RAWDATA Cars Buyers DB'!K:K)</f>
        <v>45</v>
      </c>
      <c r="L527" s="10" t="str">
        <f>IF(_xlfn.XLOOKUP($A527,'RAWDATA Cars Buyers DB'!$A:$A,'RAWDATA Cars Buyers DB'!K:K)&gt;54,"Old ",IF(_xlfn.XLOOKUP($A527,'RAWDATA Cars Buyers DB'!$A:$A,'RAWDATA Cars Buyers DB'!K:K)&gt;=31,"Middle Age ",IF(_xlfn.XLOOKUP($A527,'RAWDATA Cars Buyers DB'!$A:$A,'RAWDATA Cars Buyers DB'!K:K)&lt;31,"Adolescent","Invalid")))</f>
        <v xml:space="preserve">Middle Age </v>
      </c>
      <c r="M527" s="8" t="str">
        <f>_xlfn.XLOOKUP($A527,'RAWDATA Cars Buyers DB'!$A:$A,'RAWDATA Cars Buyers DB'!L:L)</f>
        <v>No</v>
      </c>
    </row>
    <row r="528" spans="1:13">
      <c r="A528" s="6">
        <v>44911</v>
      </c>
      <c r="B528" s="10" t="str">
        <f>IF(_xlfn.XLOOKUP($A528,'RAWDATA Cars Buyers DB'!$A:$A,'RAWDATA Cars Buyers DB'!B:B)="S","Single","Married")</f>
        <v>Single</v>
      </c>
      <c r="C528" s="10" t="str">
        <f>IF(_xlfn.XLOOKUP($A528,'RAWDATA Cars Buyers DB'!$A:$A,'RAWDATA Cars Buyers DB'!C:C)="F","Female","Male")</f>
        <v>Male</v>
      </c>
      <c r="D528" s="7">
        <f>_xlfn.XLOOKUP($A528,'RAWDATA Cars Buyers DB'!$A:$A,'RAWDATA Cars Buyers DB'!D:D)</f>
        <v>111218</v>
      </c>
      <c r="E528" s="8">
        <f>_xlfn.XLOOKUP($A528,'RAWDATA Cars Buyers DB'!$A:$A,'RAWDATA Cars Buyers DB'!E:E)</f>
        <v>1</v>
      </c>
      <c r="F528" s="8" t="str">
        <f>_xlfn.XLOOKUP($A528,'RAWDATA Cars Buyers DB'!$A:$A,'RAWDATA Cars Buyers DB'!F:F)</f>
        <v>Partial College</v>
      </c>
      <c r="G528" s="8" t="str">
        <f>_xlfn.XLOOKUP($A528,'RAWDATA Cars Buyers DB'!$A:$A,'RAWDATA Cars Buyers DB'!G:G)</f>
        <v>Management</v>
      </c>
      <c r="H528" s="8" t="str">
        <f>_xlfn.XLOOKUP($A528,'RAWDATA Cars Buyers DB'!$A:$A,'RAWDATA Cars Buyers DB'!H:H)</f>
        <v>Yes</v>
      </c>
      <c r="I528" s="8" t="str">
        <f>_xlfn.XLOOKUP($A528,'RAWDATA Cars Buyers DB'!$A:$A,'RAWDATA Cars Buyers DB'!I:I)</f>
        <v>2–4 Kilometre</v>
      </c>
      <c r="J528" s="8" t="str">
        <f>_xlfn.XLOOKUP($A528,'RAWDATA Cars Buyers DB'!$A:$A,'RAWDATA Cars Buyers DB'!J:J)</f>
        <v>North Rhine-Westphalia</v>
      </c>
      <c r="K528" s="8">
        <f>_xlfn.XLOOKUP($A528,'RAWDATA Cars Buyers DB'!$A:$A,'RAWDATA Cars Buyers DB'!K:K)</f>
        <v>28</v>
      </c>
      <c r="L528" s="10" t="str">
        <f>IF(_xlfn.XLOOKUP($A528,'RAWDATA Cars Buyers DB'!$A:$A,'RAWDATA Cars Buyers DB'!K:K)&gt;54,"Old ",IF(_xlfn.XLOOKUP($A528,'RAWDATA Cars Buyers DB'!$A:$A,'RAWDATA Cars Buyers DB'!K:K)&gt;=31,"Middle Age ",IF(_xlfn.XLOOKUP($A528,'RAWDATA Cars Buyers DB'!$A:$A,'RAWDATA Cars Buyers DB'!K:K)&lt;31,"Adolescent","Invalid")))</f>
        <v>Adolescent</v>
      </c>
      <c r="M528" s="8" t="str">
        <f>_xlfn.XLOOKUP($A528,'RAWDATA Cars Buyers DB'!$A:$A,'RAWDATA Cars Buyers DB'!L:L)</f>
        <v>Yes</v>
      </c>
    </row>
    <row r="529" spans="1:13">
      <c r="A529" s="6">
        <v>69031</v>
      </c>
      <c r="B529" s="10" t="str">
        <f>IF(_xlfn.XLOOKUP($A529,'RAWDATA Cars Buyers DB'!$A:$A,'RAWDATA Cars Buyers DB'!B:B)="S","Single","Married")</f>
        <v>Single</v>
      </c>
      <c r="C529" s="10" t="str">
        <f>IF(_xlfn.XLOOKUP($A529,'RAWDATA Cars Buyers DB'!$A:$A,'RAWDATA Cars Buyers DB'!C:C)="F","Female","Male")</f>
        <v>Male</v>
      </c>
      <c r="D529" s="7">
        <f>_xlfn.XLOOKUP($A529,'RAWDATA Cars Buyers DB'!$A:$A,'RAWDATA Cars Buyers DB'!D:D)</f>
        <v>22224</v>
      </c>
      <c r="E529" s="8">
        <f>_xlfn.XLOOKUP($A529,'RAWDATA Cars Buyers DB'!$A:$A,'RAWDATA Cars Buyers DB'!E:E)</f>
        <v>2</v>
      </c>
      <c r="F529" s="8" t="str">
        <f>_xlfn.XLOOKUP($A529,'RAWDATA Cars Buyers DB'!$A:$A,'RAWDATA Cars Buyers DB'!F:F)</f>
        <v>Bachelors</v>
      </c>
      <c r="G529" s="8" t="str">
        <f>_xlfn.XLOOKUP($A529,'RAWDATA Cars Buyers DB'!$A:$A,'RAWDATA Cars Buyers DB'!G:G)</f>
        <v>Management</v>
      </c>
      <c r="H529" s="8" t="str">
        <f>_xlfn.XLOOKUP($A529,'RAWDATA Cars Buyers DB'!$A:$A,'RAWDATA Cars Buyers DB'!H:H)</f>
        <v>No</v>
      </c>
      <c r="I529" s="8" t="str">
        <f>_xlfn.XLOOKUP($A529,'RAWDATA Cars Buyers DB'!$A:$A,'RAWDATA Cars Buyers DB'!I:I)</f>
        <v>4–6 Kilometre</v>
      </c>
      <c r="J529" s="8" t="str">
        <f>_xlfn.XLOOKUP($A529,'RAWDATA Cars Buyers DB'!$A:$A,'RAWDATA Cars Buyers DB'!J:J)</f>
        <v>North Rhine-Westphalia</v>
      </c>
      <c r="K529" s="8">
        <f>_xlfn.XLOOKUP($A529,'RAWDATA Cars Buyers DB'!$A:$A,'RAWDATA Cars Buyers DB'!K:K)</f>
        <v>61</v>
      </c>
      <c r="L529" s="10" t="str">
        <f>IF(_xlfn.XLOOKUP($A529,'RAWDATA Cars Buyers DB'!$A:$A,'RAWDATA Cars Buyers DB'!K:K)&gt;54,"Old ",IF(_xlfn.XLOOKUP($A529,'RAWDATA Cars Buyers DB'!$A:$A,'RAWDATA Cars Buyers DB'!K:K)&gt;=31,"Middle Age ",IF(_xlfn.XLOOKUP($A529,'RAWDATA Cars Buyers DB'!$A:$A,'RAWDATA Cars Buyers DB'!K:K)&lt;31,"Adolescent","Invalid")))</f>
        <v xml:space="preserve">Old </v>
      </c>
      <c r="M529" s="8" t="str">
        <f>_xlfn.XLOOKUP($A529,'RAWDATA Cars Buyers DB'!$A:$A,'RAWDATA Cars Buyers DB'!L:L)</f>
        <v>Yes</v>
      </c>
    </row>
    <row r="530" spans="1:13">
      <c r="A530" s="6">
        <v>98726</v>
      </c>
      <c r="B530" s="10" t="str">
        <f>IF(_xlfn.XLOOKUP($A530,'RAWDATA Cars Buyers DB'!$A:$A,'RAWDATA Cars Buyers DB'!B:B)="S","Single","Married")</f>
        <v>Married</v>
      </c>
      <c r="C530" s="10" t="str">
        <f>IF(_xlfn.XLOOKUP($A530,'RAWDATA Cars Buyers DB'!$A:$A,'RAWDATA Cars Buyers DB'!C:C)="F","Female","Male")</f>
        <v>Male</v>
      </c>
      <c r="D530" s="7">
        <f>_xlfn.XLOOKUP($A530,'RAWDATA Cars Buyers DB'!$A:$A,'RAWDATA Cars Buyers DB'!D:D)</f>
        <v>68695</v>
      </c>
      <c r="E530" s="8">
        <f>_xlfn.XLOOKUP($A530,'RAWDATA Cars Buyers DB'!$A:$A,'RAWDATA Cars Buyers DB'!E:E)</f>
        <v>1</v>
      </c>
      <c r="F530" s="8" t="str">
        <f>_xlfn.XLOOKUP($A530,'RAWDATA Cars Buyers DB'!$A:$A,'RAWDATA Cars Buyers DB'!F:F)</f>
        <v>Graduate Degree</v>
      </c>
      <c r="G530" s="8" t="str">
        <f>_xlfn.XLOOKUP($A530,'RAWDATA Cars Buyers DB'!$A:$A,'RAWDATA Cars Buyers DB'!G:G)</f>
        <v>Clerical</v>
      </c>
      <c r="H530" s="8" t="str">
        <f>_xlfn.XLOOKUP($A530,'RAWDATA Cars Buyers DB'!$A:$A,'RAWDATA Cars Buyers DB'!H:H)</f>
        <v>No</v>
      </c>
      <c r="I530" s="8" t="str">
        <f>_xlfn.XLOOKUP($A530,'RAWDATA Cars Buyers DB'!$A:$A,'RAWDATA Cars Buyers DB'!I:I)</f>
        <v>0–1 Kilometre</v>
      </c>
      <c r="J530" s="8" t="str">
        <f>_xlfn.XLOOKUP($A530,'RAWDATA Cars Buyers DB'!$A:$A,'RAWDATA Cars Buyers DB'!J:J)</f>
        <v>Hesse</v>
      </c>
      <c r="K530" s="8">
        <f>_xlfn.XLOOKUP($A530,'RAWDATA Cars Buyers DB'!$A:$A,'RAWDATA Cars Buyers DB'!K:K)</f>
        <v>35</v>
      </c>
      <c r="L530" s="10" t="str">
        <f>IF(_xlfn.XLOOKUP($A530,'RAWDATA Cars Buyers DB'!$A:$A,'RAWDATA Cars Buyers DB'!K:K)&gt;54,"Old ",IF(_xlfn.XLOOKUP($A530,'RAWDATA Cars Buyers DB'!$A:$A,'RAWDATA Cars Buyers DB'!K:K)&gt;=31,"Middle Age ",IF(_xlfn.XLOOKUP($A530,'RAWDATA Cars Buyers DB'!$A:$A,'RAWDATA Cars Buyers DB'!K:K)&lt;31,"Adolescent","Invalid")))</f>
        <v xml:space="preserve">Middle Age </v>
      </c>
      <c r="M530" s="8" t="str">
        <f>_xlfn.XLOOKUP($A530,'RAWDATA Cars Buyers DB'!$A:$A,'RAWDATA Cars Buyers DB'!L:L)</f>
        <v>No</v>
      </c>
    </row>
    <row r="531" spans="1:13">
      <c r="A531" s="6">
        <v>17357</v>
      </c>
      <c r="B531" s="10" t="str">
        <f>IF(_xlfn.XLOOKUP($A531,'RAWDATA Cars Buyers DB'!$A:$A,'RAWDATA Cars Buyers DB'!B:B)="S","Single","Married")</f>
        <v>Married</v>
      </c>
      <c r="C531" s="10" t="str">
        <f>IF(_xlfn.XLOOKUP($A531,'RAWDATA Cars Buyers DB'!$A:$A,'RAWDATA Cars Buyers DB'!C:C)="F","Female","Male")</f>
        <v>Female</v>
      </c>
      <c r="D531" s="7">
        <f>_xlfn.XLOOKUP($A531,'RAWDATA Cars Buyers DB'!$A:$A,'RAWDATA Cars Buyers DB'!D:D)</f>
        <v>52441</v>
      </c>
      <c r="E531" s="8">
        <f>_xlfn.XLOOKUP($A531,'RAWDATA Cars Buyers DB'!$A:$A,'RAWDATA Cars Buyers DB'!E:E)</f>
        <v>5</v>
      </c>
      <c r="F531" s="8" t="str">
        <f>_xlfn.XLOOKUP($A531,'RAWDATA Cars Buyers DB'!$A:$A,'RAWDATA Cars Buyers DB'!F:F)</f>
        <v>Partial College</v>
      </c>
      <c r="G531" s="8" t="str">
        <f>_xlfn.XLOOKUP($A531,'RAWDATA Cars Buyers DB'!$A:$A,'RAWDATA Cars Buyers DB'!G:G)</f>
        <v>Management</v>
      </c>
      <c r="H531" s="8" t="str">
        <f>_xlfn.XLOOKUP($A531,'RAWDATA Cars Buyers DB'!$A:$A,'RAWDATA Cars Buyers DB'!H:H)</f>
        <v>No</v>
      </c>
      <c r="I531" s="8" t="str">
        <f>_xlfn.XLOOKUP($A531,'RAWDATA Cars Buyers DB'!$A:$A,'RAWDATA Cars Buyers DB'!I:I)</f>
        <v>0–1 Kilometre</v>
      </c>
      <c r="J531" s="8" t="str">
        <f>_xlfn.XLOOKUP($A531,'RAWDATA Cars Buyers DB'!$A:$A,'RAWDATA Cars Buyers DB'!J:J)</f>
        <v>Bremen</v>
      </c>
      <c r="K531" s="8">
        <f>_xlfn.XLOOKUP($A531,'RAWDATA Cars Buyers DB'!$A:$A,'RAWDATA Cars Buyers DB'!K:K)</f>
        <v>43</v>
      </c>
      <c r="L531" s="10" t="str">
        <f>IF(_xlfn.XLOOKUP($A531,'RAWDATA Cars Buyers DB'!$A:$A,'RAWDATA Cars Buyers DB'!K:K)&gt;54,"Old ",IF(_xlfn.XLOOKUP($A531,'RAWDATA Cars Buyers DB'!$A:$A,'RAWDATA Cars Buyers DB'!K:K)&gt;=31,"Middle Age ",IF(_xlfn.XLOOKUP($A531,'RAWDATA Cars Buyers DB'!$A:$A,'RAWDATA Cars Buyers DB'!K:K)&lt;31,"Adolescent","Invalid")))</f>
        <v xml:space="preserve">Middle Age </v>
      </c>
      <c r="M531" s="8" t="str">
        <f>_xlfn.XLOOKUP($A531,'RAWDATA Cars Buyers DB'!$A:$A,'RAWDATA Cars Buyers DB'!L:L)</f>
        <v>No</v>
      </c>
    </row>
    <row r="532" spans="1:13">
      <c r="A532" s="6">
        <v>42479</v>
      </c>
      <c r="B532" s="10" t="str">
        <f>IF(_xlfn.XLOOKUP($A532,'RAWDATA Cars Buyers DB'!$A:$A,'RAWDATA Cars Buyers DB'!B:B)="S","Single","Married")</f>
        <v>Single</v>
      </c>
      <c r="C532" s="10" t="str">
        <f>IF(_xlfn.XLOOKUP($A532,'RAWDATA Cars Buyers DB'!$A:$A,'RAWDATA Cars Buyers DB'!C:C)="F","Female","Male")</f>
        <v>Male</v>
      </c>
      <c r="D532" s="7">
        <f>_xlfn.XLOOKUP($A532,'RAWDATA Cars Buyers DB'!$A:$A,'RAWDATA Cars Buyers DB'!D:D)</f>
        <v>59129</v>
      </c>
      <c r="E532" s="8">
        <f>_xlfn.XLOOKUP($A532,'RAWDATA Cars Buyers DB'!$A:$A,'RAWDATA Cars Buyers DB'!E:E)</f>
        <v>5</v>
      </c>
      <c r="F532" s="8" t="str">
        <f>_xlfn.XLOOKUP($A532,'RAWDATA Cars Buyers DB'!$A:$A,'RAWDATA Cars Buyers DB'!F:F)</f>
        <v>Graduate Degree</v>
      </c>
      <c r="G532" s="8" t="str">
        <f>_xlfn.XLOOKUP($A532,'RAWDATA Cars Buyers DB'!$A:$A,'RAWDATA Cars Buyers DB'!G:G)</f>
        <v>Skilled Manual</v>
      </c>
      <c r="H532" s="8" t="str">
        <f>_xlfn.XLOOKUP($A532,'RAWDATA Cars Buyers DB'!$A:$A,'RAWDATA Cars Buyers DB'!H:H)</f>
        <v>No</v>
      </c>
      <c r="I532" s="8" t="str">
        <f>_xlfn.XLOOKUP($A532,'RAWDATA Cars Buyers DB'!$A:$A,'RAWDATA Cars Buyers DB'!I:I)</f>
        <v>6+ Kilometre</v>
      </c>
      <c r="J532" s="8" t="str">
        <f>_xlfn.XLOOKUP($A532,'RAWDATA Cars Buyers DB'!$A:$A,'RAWDATA Cars Buyers DB'!J:J)</f>
        <v>Hamburg</v>
      </c>
      <c r="K532" s="8">
        <f>_xlfn.XLOOKUP($A532,'RAWDATA Cars Buyers DB'!$A:$A,'RAWDATA Cars Buyers DB'!K:K)</f>
        <v>69</v>
      </c>
      <c r="L532" s="10" t="str">
        <f>IF(_xlfn.XLOOKUP($A532,'RAWDATA Cars Buyers DB'!$A:$A,'RAWDATA Cars Buyers DB'!K:K)&gt;54,"Old ",IF(_xlfn.XLOOKUP($A532,'RAWDATA Cars Buyers DB'!$A:$A,'RAWDATA Cars Buyers DB'!K:K)&gt;=31,"Middle Age ",IF(_xlfn.XLOOKUP($A532,'RAWDATA Cars Buyers DB'!$A:$A,'RAWDATA Cars Buyers DB'!K:K)&lt;31,"Adolescent","Invalid")))</f>
        <v xml:space="preserve">Old </v>
      </c>
      <c r="M532" s="8" t="str">
        <f>_xlfn.XLOOKUP($A532,'RAWDATA Cars Buyers DB'!$A:$A,'RAWDATA Cars Buyers DB'!L:L)</f>
        <v>No</v>
      </c>
    </row>
    <row r="533" spans="1:13">
      <c r="A533" s="6">
        <v>71476</v>
      </c>
      <c r="B533" s="10" t="str">
        <f>IF(_xlfn.XLOOKUP($A533,'RAWDATA Cars Buyers DB'!$A:$A,'RAWDATA Cars Buyers DB'!B:B)="S","Single","Married")</f>
        <v>Married</v>
      </c>
      <c r="C533" s="10" t="str">
        <f>IF(_xlfn.XLOOKUP($A533,'RAWDATA Cars Buyers DB'!$A:$A,'RAWDATA Cars Buyers DB'!C:C)="F","Female","Male")</f>
        <v>Female</v>
      </c>
      <c r="D533" s="7">
        <f>_xlfn.XLOOKUP($A533,'RAWDATA Cars Buyers DB'!$A:$A,'RAWDATA Cars Buyers DB'!D:D)</f>
        <v>82368</v>
      </c>
      <c r="E533" s="8">
        <f>_xlfn.XLOOKUP($A533,'RAWDATA Cars Buyers DB'!$A:$A,'RAWDATA Cars Buyers DB'!E:E)</f>
        <v>3</v>
      </c>
      <c r="F533" s="8" t="str">
        <f>_xlfn.XLOOKUP($A533,'RAWDATA Cars Buyers DB'!$A:$A,'RAWDATA Cars Buyers DB'!F:F)</f>
        <v>High School</v>
      </c>
      <c r="G533" s="8" t="str">
        <f>_xlfn.XLOOKUP($A533,'RAWDATA Cars Buyers DB'!$A:$A,'RAWDATA Cars Buyers DB'!G:G)</f>
        <v>Clerical</v>
      </c>
      <c r="H533" s="8" t="str">
        <f>_xlfn.XLOOKUP($A533,'RAWDATA Cars Buyers DB'!$A:$A,'RAWDATA Cars Buyers DB'!H:H)</f>
        <v>Yes</v>
      </c>
      <c r="I533" s="8" t="str">
        <f>_xlfn.XLOOKUP($A533,'RAWDATA Cars Buyers DB'!$A:$A,'RAWDATA Cars Buyers DB'!I:I)</f>
        <v>6+ Kilometre</v>
      </c>
      <c r="J533" s="8" t="str">
        <f>_xlfn.XLOOKUP($A533,'RAWDATA Cars Buyers DB'!$A:$A,'RAWDATA Cars Buyers DB'!J:J)</f>
        <v>Lower Saxony</v>
      </c>
      <c r="K533" s="8">
        <f>_xlfn.XLOOKUP($A533,'RAWDATA Cars Buyers DB'!$A:$A,'RAWDATA Cars Buyers DB'!K:K)</f>
        <v>33</v>
      </c>
      <c r="L533" s="10" t="str">
        <f>IF(_xlfn.XLOOKUP($A533,'RAWDATA Cars Buyers DB'!$A:$A,'RAWDATA Cars Buyers DB'!K:K)&gt;54,"Old ",IF(_xlfn.XLOOKUP($A533,'RAWDATA Cars Buyers DB'!$A:$A,'RAWDATA Cars Buyers DB'!K:K)&gt;=31,"Middle Age ",IF(_xlfn.XLOOKUP($A533,'RAWDATA Cars Buyers DB'!$A:$A,'RAWDATA Cars Buyers DB'!K:K)&lt;31,"Adolescent","Invalid")))</f>
        <v xml:space="preserve">Middle Age </v>
      </c>
      <c r="M533" s="8" t="str">
        <f>_xlfn.XLOOKUP($A533,'RAWDATA Cars Buyers DB'!$A:$A,'RAWDATA Cars Buyers DB'!L:L)</f>
        <v>No</v>
      </c>
    </row>
    <row r="534" spans="1:13">
      <c r="A534" s="6">
        <v>54811</v>
      </c>
      <c r="B534" s="10" t="str">
        <f>IF(_xlfn.XLOOKUP($A534,'RAWDATA Cars Buyers DB'!$A:$A,'RAWDATA Cars Buyers DB'!B:B)="S","Single","Married")</f>
        <v>Married</v>
      </c>
      <c r="C534" s="10" t="str">
        <f>IF(_xlfn.XLOOKUP($A534,'RAWDATA Cars Buyers DB'!$A:$A,'RAWDATA Cars Buyers DB'!C:C)="F","Female","Male")</f>
        <v>Male</v>
      </c>
      <c r="D534" s="7">
        <f>_xlfn.XLOOKUP($A534,'RAWDATA Cars Buyers DB'!$A:$A,'RAWDATA Cars Buyers DB'!D:D)</f>
        <v>112122</v>
      </c>
      <c r="E534" s="8">
        <f>_xlfn.XLOOKUP($A534,'RAWDATA Cars Buyers DB'!$A:$A,'RAWDATA Cars Buyers DB'!E:E)</f>
        <v>0</v>
      </c>
      <c r="F534" s="8" t="str">
        <f>_xlfn.XLOOKUP($A534,'RAWDATA Cars Buyers DB'!$A:$A,'RAWDATA Cars Buyers DB'!F:F)</f>
        <v>High School</v>
      </c>
      <c r="G534" s="8" t="str">
        <f>_xlfn.XLOOKUP($A534,'RAWDATA Cars Buyers DB'!$A:$A,'RAWDATA Cars Buyers DB'!G:G)</f>
        <v>Skilled Manual</v>
      </c>
      <c r="H534" s="8" t="str">
        <f>_xlfn.XLOOKUP($A534,'RAWDATA Cars Buyers DB'!$A:$A,'RAWDATA Cars Buyers DB'!H:H)</f>
        <v>No</v>
      </c>
      <c r="I534" s="8" t="str">
        <f>_xlfn.XLOOKUP($A534,'RAWDATA Cars Buyers DB'!$A:$A,'RAWDATA Cars Buyers DB'!I:I)</f>
        <v>1–2 Kilometre</v>
      </c>
      <c r="J534" s="8" t="str">
        <f>_xlfn.XLOOKUP($A534,'RAWDATA Cars Buyers DB'!$A:$A,'RAWDATA Cars Buyers DB'!J:J)</f>
        <v>Saxony</v>
      </c>
      <c r="K534" s="8">
        <f>_xlfn.XLOOKUP($A534,'RAWDATA Cars Buyers DB'!$A:$A,'RAWDATA Cars Buyers DB'!K:K)</f>
        <v>22</v>
      </c>
      <c r="L534" s="10" t="str">
        <f>IF(_xlfn.XLOOKUP($A534,'RAWDATA Cars Buyers DB'!$A:$A,'RAWDATA Cars Buyers DB'!K:K)&gt;54,"Old ",IF(_xlfn.XLOOKUP($A534,'RAWDATA Cars Buyers DB'!$A:$A,'RAWDATA Cars Buyers DB'!K:K)&gt;=31,"Middle Age ",IF(_xlfn.XLOOKUP($A534,'RAWDATA Cars Buyers DB'!$A:$A,'RAWDATA Cars Buyers DB'!K:K)&lt;31,"Adolescent","Invalid")))</f>
        <v>Adolescent</v>
      </c>
      <c r="M534" s="8" t="str">
        <f>_xlfn.XLOOKUP($A534,'RAWDATA Cars Buyers DB'!$A:$A,'RAWDATA Cars Buyers DB'!L:L)</f>
        <v>No</v>
      </c>
    </row>
    <row r="535" spans="1:13">
      <c r="A535" s="6">
        <v>46208</v>
      </c>
      <c r="B535" s="10" t="str">
        <f>IF(_xlfn.XLOOKUP($A535,'RAWDATA Cars Buyers DB'!$A:$A,'RAWDATA Cars Buyers DB'!B:B)="S","Single","Married")</f>
        <v>Married</v>
      </c>
      <c r="C535" s="10" t="str">
        <f>IF(_xlfn.XLOOKUP($A535,'RAWDATA Cars Buyers DB'!$A:$A,'RAWDATA Cars Buyers DB'!C:C)="F","Female","Male")</f>
        <v>Female</v>
      </c>
      <c r="D535" s="7">
        <f>_xlfn.XLOOKUP($A535,'RAWDATA Cars Buyers DB'!$A:$A,'RAWDATA Cars Buyers DB'!D:D)</f>
        <v>64760</v>
      </c>
      <c r="E535" s="8">
        <f>_xlfn.XLOOKUP($A535,'RAWDATA Cars Buyers DB'!$A:$A,'RAWDATA Cars Buyers DB'!E:E)</f>
        <v>3</v>
      </c>
      <c r="F535" s="8" t="str">
        <f>_xlfn.XLOOKUP($A535,'RAWDATA Cars Buyers DB'!$A:$A,'RAWDATA Cars Buyers DB'!F:F)</f>
        <v>Partial College</v>
      </c>
      <c r="G535" s="8" t="str">
        <f>_xlfn.XLOOKUP($A535,'RAWDATA Cars Buyers DB'!$A:$A,'RAWDATA Cars Buyers DB'!G:G)</f>
        <v>Management</v>
      </c>
      <c r="H535" s="8" t="str">
        <f>_xlfn.XLOOKUP($A535,'RAWDATA Cars Buyers DB'!$A:$A,'RAWDATA Cars Buyers DB'!H:H)</f>
        <v>No</v>
      </c>
      <c r="I535" s="8" t="str">
        <f>_xlfn.XLOOKUP($A535,'RAWDATA Cars Buyers DB'!$A:$A,'RAWDATA Cars Buyers DB'!I:I)</f>
        <v>6+ Kilometre</v>
      </c>
      <c r="J535" s="8" t="str">
        <f>_xlfn.XLOOKUP($A535,'RAWDATA Cars Buyers DB'!$A:$A,'RAWDATA Cars Buyers DB'!J:J)</f>
        <v>Lower Saxony</v>
      </c>
      <c r="K535" s="8">
        <f>_xlfn.XLOOKUP($A535,'RAWDATA Cars Buyers DB'!$A:$A,'RAWDATA Cars Buyers DB'!K:K)</f>
        <v>53</v>
      </c>
      <c r="L535" s="10" t="str">
        <f>IF(_xlfn.XLOOKUP($A535,'RAWDATA Cars Buyers DB'!$A:$A,'RAWDATA Cars Buyers DB'!K:K)&gt;54,"Old ",IF(_xlfn.XLOOKUP($A535,'RAWDATA Cars Buyers DB'!$A:$A,'RAWDATA Cars Buyers DB'!K:K)&gt;=31,"Middle Age ",IF(_xlfn.XLOOKUP($A535,'RAWDATA Cars Buyers DB'!$A:$A,'RAWDATA Cars Buyers DB'!K:K)&lt;31,"Adolescent","Invalid")))</f>
        <v xml:space="preserve">Middle Age </v>
      </c>
      <c r="M535" s="8" t="str">
        <f>_xlfn.XLOOKUP($A535,'RAWDATA Cars Buyers DB'!$A:$A,'RAWDATA Cars Buyers DB'!L:L)</f>
        <v>Yes</v>
      </c>
    </row>
    <row r="536" spans="1:13">
      <c r="A536" s="6">
        <v>30150</v>
      </c>
      <c r="B536" s="10" t="str">
        <f>IF(_xlfn.XLOOKUP($A536,'RAWDATA Cars Buyers DB'!$A:$A,'RAWDATA Cars Buyers DB'!B:B)="S","Single","Married")</f>
        <v>Married</v>
      </c>
      <c r="C536" s="10" t="str">
        <f>IF(_xlfn.XLOOKUP($A536,'RAWDATA Cars Buyers DB'!$A:$A,'RAWDATA Cars Buyers DB'!C:C)="F","Female","Male")</f>
        <v>Male</v>
      </c>
      <c r="D536" s="7">
        <f>_xlfn.XLOOKUP($A536,'RAWDATA Cars Buyers DB'!$A:$A,'RAWDATA Cars Buyers DB'!D:D)</f>
        <v>43478</v>
      </c>
      <c r="E536" s="8">
        <f>_xlfn.XLOOKUP($A536,'RAWDATA Cars Buyers DB'!$A:$A,'RAWDATA Cars Buyers DB'!E:E)</f>
        <v>3</v>
      </c>
      <c r="F536" s="8" t="str">
        <f>_xlfn.XLOOKUP($A536,'RAWDATA Cars Buyers DB'!$A:$A,'RAWDATA Cars Buyers DB'!F:F)</f>
        <v>Graduate Degree</v>
      </c>
      <c r="G536" s="8" t="str">
        <f>_xlfn.XLOOKUP($A536,'RAWDATA Cars Buyers DB'!$A:$A,'RAWDATA Cars Buyers DB'!G:G)</f>
        <v>Professional</v>
      </c>
      <c r="H536" s="8" t="str">
        <f>_xlfn.XLOOKUP($A536,'RAWDATA Cars Buyers DB'!$A:$A,'RAWDATA Cars Buyers DB'!H:H)</f>
        <v>Yes</v>
      </c>
      <c r="I536" s="8" t="str">
        <f>_xlfn.XLOOKUP($A536,'RAWDATA Cars Buyers DB'!$A:$A,'RAWDATA Cars Buyers DB'!I:I)</f>
        <v>1–2 Kilometre</v>
      </c>
      <c r="J536" s="8" t="str">
        <f>_xlfn.XLOOKUP($A536,'RAWDATA Cars Buyers DB'!$A:$A,'RAWDATA Cars Buyers DB'!J:J)</f>
        <v>Bavaria</v>
      </c>
      <c r="K536" s="8">
        <f>_xlfn.XLOOKUP($A536,'RAWDATA Cars Buyers DB'!$A:$A,'RAWDATA Cars Buyers DB'!K:K)</f>
        <v>52</v>
      </c>
      <c r="L536" s="10" t="str">
        <f>IF(_xlfn.XLOOKUP($A536,'RAWDATA Cars Buyers DB'!$A:$A,'RAWDATA Cars Buyers DB'!K:K)&gt;54,"Old ",IF(_xlfn.XLOOKUP($A536,'RAWDATA Cars Buyers DB'!$A:$A,'RAWDATA Cars Buyers DB'!K:K)&gt;=31,"Middle Age ",IF(_xlfn.XLOOKUP($A536,'RAWDATA Cars Buyers DB'!$A:$A,'RAWDATA Cars Buyers DB'!K:K)&lt;31,"Adolescent","Invalid")))</f>
        <v xml:space="preserve">Middle Age </v>
      </c>
      <c r="M536" s="8" t="str">
        <f>_xlfn.XLOOKUP($A536,'RAWDATA Cars Buyers DB'!$A:$A,'RAWDATA Cars Buyers DB'!L:L)</f>
        <v>Yes</v>
      </c>
    </row>
    <row r="537" spans="1:13">
      <c r="A537" s="6">
        <v>81180</v>
      </c>
      <c r="B537" s="10" t="str">
        <f>IF(_xlfn.XLOOKUP($A537,'RAWDATA Cars Buyers DB'!$A:$A,'RAWDATA Cars Buyers DB'!B:B)="S","Single","Married")</f>
        <v>Single</v>
      </c>
      <c r="C537" s="10" t="str">
        <f>IF(_xlfn.XLOOKUP($A537,'RAWDATA Cars Buyers DB'!$A:$A,'RAWDATA Cars Buyers DB'!C:C)="F","Female","Male")</f>
        <v>Male</v>
      </c>
      <c r="D537" s="7">
        <f>_xlfn.XLOOKUP($A537,'RAWDATA Cars Buyers DB'!$A:$A,'RAWDATA Cars Buyers DB'!D:D)</f>
        <v>91854</v>
      </c>
      <c r="E537" s="8">
        <f>_xlfn.XLOOKUP($A537,'RAWDATA Cars Buyers DB'!$A:$A,'RAWDATA Cars Buyers DB'!E:E)</f>
        <v>3</v>
      </c>
      <c r="F537" s="8" t="str">
        <f>_xlfn.XLOOKUP($A537,'RAWDATA Cars Buyers DB'!$A:$A,'RAWDATA Cars Buyers DB'!F:F)</f>
        <v>Partial College</v>
      </c>
      <c r="G537" s="8" t="str">
        <f>_xlfn.XLOOKUP($A537,'RAWDATA Cars Buyers DB'!$A:$A,'RAWDATA Cars Buyers DB'!G:G)</f>
        <v>Skilled Manual</v>
      </c>
      <c r="H537" s="8" t="str">
        <f>_xlfn.XLOOKUP($A537,'RAWDATA Cars Buyers DB'!$A:$A,'RAWDATA Cars Buyers DB'!H:H)</f>
        <v>Yes</v>
      </c>
      <c r="I537" s="8" t="str">
        <f>_xlfn.XLOOKUP($A537,'RAWDATA Cars Buyers DB'!$A:$A,'RAWDATA Cars Buyers DB'!I:I)</f>
        <v>0–1 Kilometre</v>
      </c>
      <c r="J537" s="8" t="str">
        <f>_xlfn.XLOOKUP($A537,'RAWDATA Cars Buyers DB'!$A:$A,'RAWDATA Cars Buyers DB'!J:J)</f>
        <v>Hesse</v>
      </c>
      <c r="K537" s="8">
        <f>_xlfn.XLOOKUP($A537,'RAWDATA Cars Buyers DB'!$A:$A,'RAWDATA Cars Buyers DB'!K:K)</f>
        <v>69</v>
      </c>
      <c r="L537" s="10" t="str">
        <f>IF(_xlfn.XLOOKUP($A537,'RAWDATA Cars Buyers DB'!$A:$A,'RAWDATA Cars Buyers DB'!K:K)&gt;54,"Old ",IF(_xlfn.XLOOKUP($A537,'RAWDATA Cars Buyers DB'!$A:$A,'RAWDATA Cars Buyers DB'!K:K)&gt;=31,"Middle Age ",IF(_xlfn.XLOOKUP($A537,'RAWDATA Cars Buyers DB'!$A:$A,'RAWDATA Cars Buyers DB'!K:K)&lt;31,"Adolescent","Invalid")))</f>
        <v xml:space="preserve">Old </v>
      </c>
      <c r="M537" s="8" t="str">
        <f>_xlfn.XLOOKUP($A537,'RAWDATA Cars Buyers DB'!$A:$A,'RAWDATA Cars Buyers DB'!L:L)</f>
        <v>Yes</v>
      </c>
    </row>
    <row r="538" spans="1:13">
      <c r="A538" s="6">
        <v>53286</v>
      </c>
      <c r="B538" s="10" t="str">
        <f>IF(_xlfn.XLOOKUP($A538,'RAWDATA Cars Buyers DB'!$A:$A,'RAWDATA Cars Buyers DB'!B:B)="S","Single","Married")</f>
        <v>Single</v>
      </c>
      <c r="C538" s="10" t="str">
        <f>IF(_xlfn.XLOOKUP($A538,'RAWDATA Cars Buyers DB'!$A:$A,'RAWDATA Cars Buyers DB'!C:C)="F","Female","Male")</f>
        <v>Female</v>
      </c>
      <c r="D538" s="7">
        <f>_xlfn.XLOOKUP($A538,'RAWDATA Cars Buyers DB'!$A:$A,'RAWDATA Cars Buyers DB'!D:D)</f>
        <v>114230</v>
      </c>
      <c r="E538" s="8">
        <f>_xlfn.XLOOKUP($A538,'RAWDATA Cars Buyers DB'!$A:$A,'RAWDATA Cars Buyers DB'!E:E)</f>
        <v>0</v>
      </c>
      <c r="F538" s="8" t="str">
        <f>_xlfn.XLOOKUP($A538,'RAWDATA Cars Buyers DB'!$A:$A,'RAWDATA Cars Buyers DB'!F:F)</f>
        <v>Graduate Degree</v>
      </c>
      <c r="G538" s="8" t="str">
        <f>_xlfn.XLOOKUP($A538,'RAWDATA Cars Buyers DB'!$A:$A,'RAWDATA Cars Buyers DB'!G:G)</f>
        <v>Management</v>
      </c>
      <c r="H538" s="8" t="str">
        <f>_xlfn.XLOOKUP($A538,'RAWDATA Cars Buyers DB'!$A:$A,'RAWDATA Cars Buyers DB'!H:H)</f>
        <v>No</v>
      </c>
      <c r="I538" s="8" t="str">
        <f>_xlfn.XLOOKUP($A538,'RAWDATA Cars Buyers DB'!$A:$A,'RAWDATA Cars Buyers DB'!I:I)</f>
        <v>1–2 Kilometre</v>
      </c>
      <c r="J538" s="8" t="str">
        <f>_xlfn.XLOOKUP($A538,'RAWDATA Cars Buyers DB'!$A:$A,'RAWDATA Cars Buyers DB'!J:J)</f>
        <v>Saxony-Anhalt</v>
      </c>
      <c r="K538" s="8">
        <f>_xlfn.XLOOKUP($A538,'RAWDATA Cars Buyers DB'!$A:$A,'RAWDATA Cars Buyers DB'!K:K)</f>
        <v>43</v>
      </c>
      <c r="L538" s="10" t="str">
        <f>IF(_xlfn.XLOOKUP($A538,'RAWDATA Cars Buyers DB'!$A:$A,'RAWDATA Cars Buyers DB'!K:K)&gt;54,"Old ",IF(_xlfn.XLOOKUP($A538,'RAWDATA Cars Buyers DB'!$A:$A,'RAWDATA Cars Buyers DB'!K:K)&gt;=31,"Middle Age ",IF(_xlfn.XLOOKUP($A538,'RAWDATA Cars Buyers DB'!$A:$A,'RAWDATA Cars Buyers DB'!K:K)&lt;31,"Adolescent","Invalid")))</f>
        <v xml:space="preserve">Middle Age </v>
      </c>
      <c r="M538" s="8" t="str">
        <f>_xlfn.XLOOKUP($A538,'RAWDATA Cars Buyers DB'!$A:$A,'RAWDATA Cars Buyers DB'!L:L)</f>
        <v>No</v>
      </c>
    </row>
    <row r="539" spans="1:13">
      <c r="A539" s="6">
        <v>78450</v>
      </c>
      <c r="B539" s="10" t="str">
        <f>IF(_xlfn.XLOOKUP($A539,'RAWDATA Cars Buyers DB'!$A:$A,'RAWDATA Cars Buyers DB'!B:B)="S","Single","Married")</f>
        <v>Married</v>
      </c>
      <c r="C539" s="10" t="str">
        <f>IF(_xlfn.XLOOKUP($A539,'RAWDATA Cars Buyers DB'!$A:$A,'RAWDATA Cars Buyers DB'!C:C)="F","Female","Male")</f>
        <v>Male</v>
      </c>
      <c r="D539" s="7">
        <f>_xlfn.XLOOKUP($A539,'RAWDATA Cars Buyers DB'!$A:$A,'RAWDATA Cars Buyers DB'!D:D)</f>
        <v>105716</v>
      </c>
      <c r="E539" s="8">
        <f>_xlfn.XLOOKUP($A539,'RAWDATA Cars Buyers DB'!$A:$A,'RAWDATA Cars Buyers DB'!E:E)</f>
        <v>0</v>
      </c>
      <c r="F539" s="8" t="str">
        <f>_xlfn.XLOOKUP($A539,'RAWDATA Cars Buyers DB'!$A:$A,'RAWDATA Cars Buyers DB'!F:F)</f>
        <v>Graduate Degree</v>
      </c>
      <c r="G539" s="8" t="str">
        <f>_xlfn.XLOOKUP($A539,'RAWDATA Cars Buyers DB'!$A:$A,'RAWDATA Cars Buyers DB'!G:G)</f>
        <v>Skilled Manual</v>
      </c>
      <c r="H539" s="8" t="str">
        <f>_xlfn.XLOOKUP($A539,'RAWDATA Cars Buyers DB'!$A:$A,'RAWDATA Cars Buyers DB'!H:H)</f>
        <v>Yes</v>
      </c>
      <c r="I539" s="8" t="str">
        <f>_xlfn.XLOOKUP($A539,'RAWDATA Cars Buyers DB'!$A:$A,'RAWDATA Cars Buyers DB'!I:I)</f>
        <v>1–2 Kilometre</v>
      </c>
      <c r="J539" s="8" t="str">
        <f>_xlfn.XLOOKUP($A539,'RAWDATA Cars Buyers DB'!$A:$A,'RAWDATA Cars Buyers DB'!J:J)</f>
        <v>Thuringia</v>
      </c>
      <c r="K539" s="8">
        <f>_xlfn.XLOOKUP($A539,'RAWDATA Cars Buyers DB'!$A:$A,'RAWDATA Cars Buyers DB'!K:K)</f>
        <v>28</v>
      </c>
      <c r="L539" s="10" t="str">
        <f>IF(_xlfn.XLOOKUP($A539,'RAWDATA Cars Buyers DB'!$A:$A,'RAWDATA Cars Buyers DB'!K:K)&gt;54,"Old ",IF(_xlfn.XLOOKUP($A539,'RAWDATA Cars Buyers DB'!$A:$A,'RAWDATA Cars Buyers DB'!K:K)&gt;=31,"Middle Age ",IF(_xlfn.XLOOKUP($A539,'RAWDATA Cars Buyers DB'!$A:$A,'RAWDATA Cars Buyers DB'!K:K)&lt;31,"Adolescent","Invalid")))</f>
        <v>Adolescent</v>
      </c>
      <c r="M539" s="8" t="str">
        <f>_xlfn.XLOOKUP($A539,'RAWDATA Cars Buyers DB'!$A:$A,'RAWDATA Cars Buyers DB'!L:L)</f>
        <v>No</v>
      </c>
    </row>
    <row r="540" spans="1:13">
      <c r="A540" s="6">
        <v>31352</v>
      </c>
      <c r="B540" s="10" t="str">
        <f>IF(_xlfn.XLOOKUP($A540,'RAWDATA Cars Buyers DB'!$A:$A,'RAWDATA Cars Buyers DB'!B:B)="S","Single","Married")</f>
        <v>Married</v>
      </c>
      <c r="C540" s="10" t="str">
        <f>IF(_xlfn.XLOOKUP($A540,'RAWDATA Cars Buyers DB'!$A:$A,'RAWDATA Cars Buyers DB'!C:C)="F","Female","Male")</f>
        <v>Male</v>
      </c>
      <c r="D540" s="7">
        <f>_xlfn.XLOOKUP($A540,'RAWDATA Cars Buyers DB'!$A:$A,'RAWDATA Cars Buyers DB'!D:D)</f>
        <v>32180</v>
      </c>
      <c r="E540" s="8">
        <f>_xlfn.XLOOKUP($A540,'RAWDATA Cars Buyers DB'!$A:$A,'RAWDATA Cars Buyers DB'!E:E)</f>
        <v>4</v>
      </c>
      <c r="F540" s="8" t="str">
        <f>_xlfn.XLOOKUP($A540,'RAWDATA Cars Buyers DB'!$A:$A,'RAWDATA Cars Buyers DB'!F:F)</f>
        <v>Bachelors</v>
      </c>
      <c r="G540" s="8" t="str">
        <f>_xlfn.XLOOKUP($A540,'RAWDATA Cars Buyers DB'!$A:$A,'RAWDATA Cars Buyers DB'!G:G)</f>
        <v>Management</v>
      </c>
      <c r="H540" s="8" t="str">
        <f>_xlfn.XLOOKUP($A540,'RAWDATA Cars Buyers DB'!$A:$A,'RAWDATA Cars Buyers DB'!H:H)</f>
        <v>No</v>
      </c>
      <c r="I540" s="8" t="str">
        <f>_xlfn.XLOOKUP($A540,'RAWDATA Cars Buyers DB'!$A:$A,'RAWDATA Cars Buyers DB'!I:I)</f>
        <v>2–4 Kilometre</v>
      </c>
      <c r="J540" s="8" t="str">
        <f>_xlfn.XLOOKUP($A540,'RAWDATA Cars Buyers DB'!$A:$A,'RAWDATA Cars Buyers DB'!J:J)</f>
        <v>Saarland</v>
      </c>
      <c r="K540" s="8">
        <f>_xlfn.XLOOKUP($A540,'RAWDATA Cars Buyers DB'!$A:$A,'RAWDATA Cars Buyers DB'!K:K)</f>
        <v>32</v>
      </c>
      <c r="L540" s="10" t="str">
        <f>IF(_xlfn.XLOOKUP($A540,'RAWDATA Cars Buyers DB'!$A:$A,'RAWDATA Cars Buyers DB'!K:K)&gt;54,"Old ",IF(_xlfn.XLOOKUP($A540,'RAWDATA Cars Buyers DB'!$A:$A,'RAWDATA Cars Buyers DB'!K:K)&gt;=31,"Middle Age ",IF(_xlfn.XLOOKUP($A540,'RAWDATA Cars Buyers DB'!$A:$A,'RAWDATA Cars Buyers DB'!K:K)&lt;31,"Adolescent","Invalid")))</f>
        <v xml:space="preserve">Middle Age </v>
      </c>
      <c r="M540" s="8" t="str">
        <f>_xlfn.XLOOKUP($A540,'RAWDATA Cars Buyers DB'!$A:$A,'RAWDATA Cars Buyers DB'!L:L)</f>
        <v>No</v>
      </c>
    </row>
    <row r="541" spans="1:13">
      <c r="A541" s="6">
        <v>65069</v>
      </c>
      <c r="B541" s="10" t="str">
        <f>IF(_xlfn.XLOOKUP($A541,'RAWDATA Cars Buyers DB'!$A:$A,'RAWDATA Cars Buyers DB'!B:B)="S","Single","Married")</f>
        <v>Single</v>
      </c>
      <c r="C541" s="10" t="str">
        <f>IF(_xlfn.XLOOKUP($A541,'RAWDATA Cars Buyers DB'!$A:$A,'RAWDATA Cars Buyers DB'!C:C)="F","Female","Male")</f>
        <v>Male</v>
      </c>
      <c r="D541" s="7">
        <f>_xlfn.XLOOKUP($A541,'RAWDATA Cars Buyers DB'!$A:$A,'RAWDATA Cars Buyers DB'!D:D)</f>
        <v>118538</v>
      </c>
      <c r="E541" s="8">
        <f>_xlfn.XLOOKUP($A541,'RAWDATA Cars Buyers DB'!$A:$A,'RAWDATA Cars Buyers DB'!E:E)</f>
        <v>1</v>
      </c>
      <c r="F541" s="8" t="str">
        <f>_xlfn.XLOOKUP($A541,'RAWDATA Cars Buyers DB'!$A:$A,'RAWDATA Cars Buyers DB'!F:F)</f>
        <v>Bachelors</v>
      </c>
      <c r="G541" s="8" t="str">
        <f>_xlfn.XLOOKUP($A541,'RAWDATA Cars Buyers DB'!$A:$A,'RAWDATA Cars Buyers DB'!G:G)</f>
        <v>Management</v>
      </c>
      <c r="H541" s="8" t="str">
        <f>_xlfn.XLOOKUP($A541,'RAWDATA Cars Buyers DB'!$A:$A,'RAWDATA Cars Buyers DB'!H:H)</f>
        <v>Yes</v>
      </c>
      <c r="I541" s="8" t="str">
        <f>_xlfn.XLOOKUP($A541,'RAWDATA Cars Buyers DB'!$A:$A,'RAWDATA Cars Buyers DB'!I:I)</f>
        <v>6+ Kilometre</v>
      </c>
      <c r="J541" s="8" t="str">
        <f>_xlfn.XLOOKUP($A541,'RAWDATA Cars Buyers DB'!$A:$A,'RAWDATA Cars Buyers DB'!J:J)</f>
        <v>North Rhine-Westphalia</v>
      </c>
      <c r="K541" s="8">
        <f>_xlfn.XLOOKUP($A541,'RAWDATA Cars Buyers DB'!$A:$A,'RAWDATA Cars Buyers DB'!K:K)</f>
        <v>21</v>
      </c>
      <c r="L541" s="10" t="str">
        <f>IF(_xlfn.XLOOKUP($A541,'RAWDATA Cars Buyers DB'!$A:$A,'RAWDATA Cars Buyers DB'!K:K)&gt;54,"Old ",IF(_xlfn.XLOOKUP($A541,'RAWDATA Cars Buyers DB'!$A:$A,'RAWDATA Cars Buyers DB'!K:K)&gt;=31,"Middle Age ",IF(_xlfn.XLOOKUP($A541,'RAWDATA Cars Buyers DB'!$A:$A,'RAWDATA Cars Buyers DB'!K:K)&lt;31,"Adolescent","Invalid")))</f>
        <v>Adolescent</v>
      </c>
      <c r="M541" s="8" t="str">
        <f>_xlfn.XLOOKUP($A541,'RAWDATA Cars Buyers DB'!$A:$A,'RAWDATA Cars Buyers DB'!L:L)</f>
        <v>Yes</v>
      </c>
    </row>
    <row r="542" spans="1:13">
      <c r="A542" s="6">
        <v>24397</v>
      </c>
      <c r="B542" s="10" t="str">
        <f>IF(_xlfn.XLOOKUP($A542,'RAWDATA Cars Buyers DB'!$A:$A,'RAWDATA Cars Buyers DB'!B:B)="S","Single","Married")</f>
        <v>Married</v>
      </c>
      <c r="C542" s="10" t="str">
        <f>IF(_xlfn.XLOOKUP($A542,'RAWDATA Cars Buyers DB'!$A:$A,'RAWDATA Cars Buyers DB'!C:C)="F","Female","Male")</f>
        <v>Female</v>
      </c>
      <c r="D542" s="7">
        <f>_xlfn.XLOOKUP($A542,'RAWDATA Cars Buyers DB'!$A:$A,'RAWDATA Cars Buyers DB'!D:D)</f>
        <v>35372</v>
      </c>
      <c r="E542" s="8">
        <f>_xlfn.XLOOKUP($A542,'RAWDATA Cars Buyers DB'!$A:$A,'RAWDATA Cars Buyers DB'!E:E)</f>
        <v>1</v>
      </c>
      <c r="F542" s="8" t="str">
        <f>_xlfn.XLOOKUP($A542,'RAWDATA Cars Buyers DB'!$A:$A,'RAWDATA Cars Buyers DB'!F:F)</f>
        <v>Bachelors</v>
      </c>
      <c r="G542" s="8" t="str">
        <f>_xlfn.XLOOKUP($A542,'RAWDATA Cars Buyers DB'!$A:$A,'RAWDATA Cars Buyers DB'!G:G)</f>
        <v>Management</v>
      </c>
      <c r="H542" s="8" t="str">
        <f>_xlfn.XLOOKUP($A542,'RAWDATA Cars Buyers DB'!$A:$A,'RAWDATA Cars Buyers DB'!H:H)</f>
        <v>Yes</v>
      </c>
      <c r="I542" s="8" t="str">
        <f>_xlfn.XLOOKUP($A542,'RAWDATA Cars Buyers DB'!$A:$A,'RAWDATA Cars Buyers DB'!I:I)</f>
        <v>1–2 Kilometre</v>
      </c>
      <c r="J542" s="8" t="str">
        <f>_xlfn.XLOOKUP($A542,'RAWDATA Cars Buyers DB'!$A:$A,'RAWDATA Cars Buyers DB'!J:J)</f>
        <v>Brandenburg</v>
      </c>
      <c r="K542" s="8">
        <f>_xlfn.XLOOKUP($A542,'RAWDATA Cars Buyers DB'!$A:$A,'RAWDATA Cars Buyers DB'!K:K)</f>
        <v>26</v>
      </c>
      <c r="L542" s="10" t="str">
        <f>IF(_xlfn.XLOOKUP($A542,'RAWDATA Cars Buyers DB'!$A:$A,'RAWDATA Cars Buyers DB'!K:K)&gt;54,"Old ",IF(_xlfn.XLOOKUP($A542,'RAWDATA Cars Buyers DB'!$A:$A,'RAWDATA Cars Buyers DB'!K:K)&gt;=31,"Middle Age ",IF(_xlfn.XLOOKUP($A542,'RAWDATA Cars Buyers DB'!$A:$A,'RAWDATA Cars Buyers DB'!K:K)&lt;31,"Adolescent","Invalid")))</f>
        <v>Adolescent</v>
      </c>
      <c r="M542" s="8" t="str">
        <f>_xlfn.XLOOKUP($A542,'RAWDATA Cars Buyers DB'!$A:$A,'RAWDATA Cars Buyers DB'!L:L)</f>
        <v>Yes</v>
      </c>
    </row>
    <row r="543" spans="1:13">
      <c r="A543" s="6">
        <v>51555</v>
      </c>
      <c r="B543" s="10" t="str">
        <f>IF(_xlfn.XLOOKUP($A543,'RAWDATA Cars Buyers DB'!$A:$A,'RAWDATA Cars Buyers DB'!B:B)="S","Single","Married")</f>
        <v>Single</v>
      </c>
      <c r="C543" s="10" t="str">
        <f>IF(_xlfn.XLOOKUP($A543,'RAWDATA Cars Buyers DB'!$A:$A,'RAWDATA Cars Buyers DB'!C:C)="F","Female","Male")</f>
        <v>Male</v>
      </c>
      <c r="D543" s="7">
        <f>_xlfn.XLOOKUP($A543,'RAWDATA Cars Buyers DB'!$A:$A,'RAWDATA Cars Buyers DB'!D:D)</f>
        <v>49796</v>
      </c>
      <c r="E543" s="8">
        <f>_xlfn.XLOOKUP($A543,'RAWDATA Cars Buyers DB'!$A:$A,'RAWDATA Cars Buyers DB'!E:E)</f>
        <v>4</v>
      </c>
      <c r="F543" s="8" t="str">
        <f>_xlfn.XLOOKUP($A543,'RAWDATA Cars Buyers DB'!$A:$A,'RAWDATA Cars Buyers DB'!F:F)</f>
        <v>Partial College</v>
      </c>
      <c r="G543" s="8" t="str">
        <f>_xlfn.XLOOKUP($A543,'RAWDATA Cars Buyers DB'!$A:$A,'RAWDATA Cars Buyers DB'!G:G)</f>
        <v>Professional</v>
      </c>
      <c r="H543" s="8" t="str">
        <f>_xlfn.XLOOKUP($A543,'RAWDATA Cars Buyers DB'!$A:$A,'RAWDATA Cars Buyers DB'!H:H)</f>
        <v>No</v>
      </c>
      <c r="I543" s="8" t="str">
        <f>_xlfn.XLOOKUP($A543,'RAWDATA Cars Buyers DB'!$A:$A,'RAWDATA Cars Buyers DB'!I:I)</f>
        <v>0–1 Kilometre</v>
      </c>
      <c r="J543" s="8" t="str">
        <f>_xlfn.XLOOKUP($A543,'RAWDATA Cars Buyers DB'!$A:$A,'RAWDATA Cars Buyers DB'!J:J)</f>
        <v>Bremen</v>
      </c>
      <c r="K543" s="8">
        <f>_xlfn.XLOOKUP($A543,'RAWDATA Cars Buyers DB'!$A:$A,'RAWDATA Cars Buyers DB'!K:K)</f>
        <v>67</v>
      </c>
      <c r="L543" s="10" t="str">
        <f>IF(_xlfn.XLOOKUP($A543,'RAWDATA Cars Buyers DB'!$A:$A,'RAWDATA Cars Buyers DB'!K:K)&gt;54,"Old ",IF(_xlfn.XLOOKUP($A543,'RAWDATA Cars Buyers DB'!$A:$A,'RAWDATA Cars Buyers DB'!K:K)&gt;=31,"Middle Age ",IF(_xlfn.XLOOKUP($A543,'RAWDATA Cars Buyers DB'!$A:$A,'RAWDATA Cars Buyers DB'!K:K)&lt;31,"Adolescent","Invalid")))</f>
        <v xml:space="preserve">Old </v>
      </c>
      <c r="M543" s="8" t="str">
        <f>_xlfn.XLOOKUP($A543,'RAWDATA Cars Buyers DB'!$A:$A,'RAWDATA Cars Buyers DB'!L:L)</f>
        <v>Yes</v>
      </c>
    </row>
    <row r="544" spans="1:13">
      <c r="A544" s="6">
        <v>56959</v>
      </c>
      <c r="B544" s="10" t="str">
        <f>IF(_xlfn.XLOOKUP($A544,'RAWDATA Cars Buyers DB'!$A:$A,'RAWDATA Cars Buyers DB'!B:B)="S","Single","Married")</f>
        <v>Married</v>
      </c>
      <c r="C544" s="10" t="str">
        <f>IF(_xlfn.XLOOKUP($A544,'RAWDATA Cars Buyers DB'!$A:$A,'RAWDATA Cars Buyers DB'!C:C)="F","Female","Male")</f>
        <v>Male</v>
      </c>
      <c r="D544" s="7">
        <f>_xlfn.XLOOKUP($A544,'RAWDATA Cars Buyers DB'!$A:$A,'RAWDATA Cars Buyers DB'!D:D)</f>
        <v>78272</v>
      </c>
      <c r="E544" s="8">
        <f>_xlfn.XLOOKUP($A544,'RAWDATA Cars Buyers DB'!$A:$A,'RAWDATA Cars Buyers DB'!E:E)</f>
        <v>4</v>
      </c>
      <c r="F544" s="8" t="str">
        <f>_xlfn.XLOOKUP($A544,'RAWDATA Cars Buyers DB'!$A:$A,'RAWDATA Cars Buyers DB'!F:F)</f>
        <v>Bachelors</v>
      </c>
      <c r="G544" s="8" t="str">
        <f>_xlfn.XLOOKUP($A544,'RAWDATA Cars Buyers DB'!$A:$A,'RAWDATA Cars Buyers DB'!G:G)</f>
        <v>Skilled Manual</v>
      </c>
      <c r="H544" s="8" t="str">
        <f>_xlfn.XLOOKUP($A544,'RAWDATA Cars Buyers DB'!$A:$A,'RAWDATA Cars Buyers DB'!H:H)</f>
        <v>Yes</v>
      </c>
      <c r="I544" s="8" t="str">
        <f>_xlfn.XLOOKUP($A544,'RAWDATA Cars Buyers DB'!$A:$A,'RAWDATA Cars Buyers DB'!I:I)</f>
        <v>4–6 Kilometre</v>
      </c>
      <c r="J544" s="8" t="str">
        <f>_xlfn.XLOOKUP($A544,'RAWDATA Cars Buyers DB'!$A:$A,'RAWDATA Cars Buyers DB'!J:J)</f>
        <v>Berlin</v>
      </c>
      <c r="K544" s="8">
        <f>_xlfn.XLOOKUP($A544,'RAWDATA Cars Buyers DB'!$A:$A,'RAWDATA Cars Buyers DB'!K:K)</f>
        <v>40</v>
      </c>
      <c r="L544" s="10" t="str">
        <f>IF(_xlfn.XLOOKUP($A544,'RAWDATA Cars Buyers DB'!$A:$A,'RAWDATA Cars Buyers DB'!K:K)&gt;54,"Old ",IF(_xlfn.XLOOKUP($A544,'RAWDATA Cars Buyers DB'!$A:$A,'RAWDATA Cars Buyers DB'!K:K)&gt;=31,"Middle Age ",IF(_xlfn.XLOOKUP($A544,'RAWDATA Cars Buyers DB'!$A:$A,'RAWDATA Cars Buyers DB'!K:K)&lt;31,"Adolescent","Invalid")))</f>
        <v xml:space="preserve">Middle Age </v>
      </c>
      <c r="M544" s="8" t="str">
        <f>_xlfn.XLOOKUP($A544,'RAWDATA Cars Buyers DB'!$A:$A,'RAWDATA Cars Buyers DB'!L:L)</f>
        <v>No</v>
      </c>
    </row>
    <row r="545" spans="1:13">
      <c r="A545" s="6">
        <v>10728</v>
      </c>
      <c r="B545" s="10" t="str">
        <f>IF(_xlfn.XLOOKUP($A545,'RAWDATA Cars Buyers DB'!$A:$A,'RAWDATA Cars Buyers DB'!B:B)="S","Single","Married")</f>
        <v>Married</v>
      </c>
      <c r="C545" s="10" t="str">
        <f>IF(_xlfn.XLOOKUP($A545,'RAWDATA Cars Buyers DB'!$A:$A,'RAWDATA Cars Buyers DB'!C:C)="F","Female","Male")</f>
        <v>Female</v>
      </c>
      <c r="D545" s="7">
        <f>_xlfn.XLOOKUP($A545,'RAWDATA Cars Buyers DB'!$A:$A,'RAWDATA Cars Buyers DB'!D:D)</f>
        <v>109963</v>
      </c>
      <c r="E545" s="8">
        <f>_xlfn.XLOOKUP($A545,'RAWDATA Cars Buyers DB'!$A:$A,'RAWDATA Cars Buyers DB'!E:E)</f>
        <v>5</v>
      </c>
      <c r="F545" s="8" t="str">
        <f>_xlfn.XLOOKUP($A545,'RAWDATA Cars Buyers DB'!$A:$A,'RAWDATA Cars Buyers DB'!F:F)</f>
        <v>Bachelors</v>
      </c>
      <c r="G545" s="8" t="str">
        <f>_xlfn.XLOOKUP($A545,'RAWDATA Cars Buyers DB'!$A:$A,'RAWDATA Cars Buyers DB'!G:G)</f>
        <v>Clerical</v>
      </c>
      <c r="H545" s="8" t="str">
        <f>_xlfn.XLOOKUP($A545,'RAWDATA Cars Buyers DB'!$A:$A,'RAWDATA Cars Buyers DB'!H:H)</f>
        <v>No</v>
      </c>
      <c r="I545" s="8" t="str">
        <f>_xlfn.XLOOKUP($A545,'RAWDATA Cars Buyers DB'!$A:$A,'RAWDATA Cars Buyers DB'!I:I)</f>
        <v>1–2 Kilometre</v>
      </c>
      <c r="J545" s="8" t="str">
        <f>_xlfn.XLOOKUP($A545,'RAWDATA Cars Buyers DB'!$A:$A,'RAWDATA Cars Buyers DB'!J:J)</f>
        <v>Baden-Württemberg</v>
      </c>
      <c r="K545" s="8">
        <f>_xlfn.XLOOKUP($A545,'RAWDATA Cars Buyers DB'!$A:$A,'RAWDATA Cars Buyers DB'!K:K)</f>
        <v>38</v>
      </c>
      <c r="L545" s="10" t="str">
        <f>IF(_xlfn.XLOOKUP($A545,'RAWDATA Cars Buyers DB'!$A:$A,'RAWDATA Cars Buyers DB'!K:K)&gt;54,"Old ",IF(_xlfn.XLOOKUP($A545,'RAWDATA Cars Buyers DB'!$A:$A,'RAWDATA Cars Buyers DB'!K:K)&gt;=31,"Middle Age ",IF(_xlfn.XLOOKUP($A545,'RAWDATA Cars Buyers DB'!$A:$A,'RAWDATA Cars Buyers DB'!K:K)&lt;31,"Adolescent","Invalid")))</f>
        <v xml:space="preserve">Middle Age </v>
      </c>
      <c r="M545" s="8" t="str">
        <f>_xlfn.XLOOKUP($A545,'RAWDATA Cars Buyers DB'!$A:$A,'RAWDATA Cars Buyers DB'!L:L)</f>
        <v>Yes</v>
      </c>
    </row>
    <row r="546" spans="1:13">
      <c r="A546" s="6">
        <v>60517</v>
      </c>
      <c r="B546" s="10" t="str">
        <f>IF(_xlfn.XLOOKUP($A546,'RAWDATA Cars Buyers DB'!$A:$A,'RAWDATA Cars Buyers DB'!B:B)="S","Single","Married")</f>
        <v>Single</v>
      </c>
      <c r="C546" s="10" t="str">
        <f>IF(_xlfn.XLOOKUP($A546,'RAWDATA Cars Buyers DB'!$A:$A,'RAWDATA Cars Buyers DB'!C:C)="F","Female","Male")</f>
        <v>Female</v>
      </c>
      <c r="D546" s="7">
        <f>_xlfn.XLOOKUP($A546,'RAWDATA Cars Buyers DB'!$A:$A,'RAWDATA Cars Buyers DB'!D:D)</f>
        <v>118826</v>
      </c>
      <c r="E546" s="8">
        <f>_xlfn.XLOOKUP($A546,'RAWDATA Cars Buyers DB'!$A:$A,'RAWDATA Cars Buyers DB'!E:E)</f>
        <v>3</v>
      </c>
      <c r="F546" s="8" t="str">
        <f>_xlfn.XLOOKUP($A546,'RAWDATA Cars Buyers DB'!$A:$A,'RAWDATA Cars Buyers DB'!F:F)</f>
        <v>High School</v>
      </c>
      <c r="G546" s="8" t="str">
        <f>_xlfn.XLOOKUP($A546,'RAWDATA Cars Buyers DB'!$A:$A,'RAWDATA Cars Buyers DB'!G:G)</f>
        <v>Clerical</v>
      </c>
      <c r="H546" s="8" t="str">
        <f>_xlfn.XLOOKUP($A546,'RAWDATA Cars Buyers DB'!$A:$A,'RAWDATA Cars Buyers DB'!H:H)</f>
        <v>Yes</v>
      </c>
      <c r="I546" s="8" t="str">
        <f>_xlfn.XLOOKUP($A546,'RAWDATA Cars Buyers DB'!$A:$A,'RAWDATA Cars Buyers DB'!I:I)</f>
        <v>6+ Kilometre</v>
      </c>
      <c r="J546" s="8" t="str">
        <f>_xlfn.XLOOKUP($A546,'RAWDATA Cars Buyers DB'!$A:$A,'RAWDATA Cars Buyers DB'!J:J)</f>
        <v>Baden-Württemberg</v>
      </c>
      <c r="K546" s="8">
        <f>_xlfn.XLOOKUP($A546,'RAWDATA Cars Buyers DB'!$A:$A,'RAWDATA Cars Buyers DB'!K:K)</f>
        <v>44</v>
      </c>
      <c r="L546" s="10" t="str">
        <f>IF(_xlfn.XLOOKUP($A546,'RAWDATA Cars Buyers DB'!$A:$A,'RAWDATA Cars Buyers DB'!K:K)&gt;54,"Old ",IF(_xlfn.XLOOKUP($A546,'RAWDATA Cars Buyers DB'!$A:$A,'RAWDATA Cars Buyers DB'!K:K)&gt;=31,"Middle Age ",IF(_xlfn.XLOOKUP($A546,'RAWDATA Cars Buyers DB'!$A:$A,'RAWDATA Cars Buyers DB'!K:K)&lt;31,"Adolescent","Invalid")))</f>
        <v xml:space="preserve">Middle Age </v>
      </c>
      <c r="M546" s="8" t="str">
        <f>_xlfn.XLOOKUP($A546,'RAWDATA Cars Buyers DB'!$A:$A,'RAWDATA Cars Buyers DB'!L:L)</f>
        <v>Yes</v>
      </c>
    </row>
    <row r="547" spans="1:13">
      <c r="A547" s="6">
        <v>76234</v>
      </c>
      <c r="B547" s="10" t="str">
        <f>IF(_xlfn.XLOOKUP($A547,'RAWDATA Cars Buyers DB'!$A:$A,'RAWDATA Cars Buyers DB'!B:B)="S","Single","Married")</f>
        <v>Married</v>
      </c>
      <c r="C547" s="10" t="str">
        <f>IF(_xlfn.XLOOKUP($A547,'RAWDATA Cars Buyers DB'!$A:$A,'RAWDATA Cars Buyers DB'!C:C)="F","Female","Male")</f>
        <v>Female</v>
      </c>
      <c r="D547" s="7">
        <f>_xlfn.XLOOKUP($A547,'RAWDATA Cars Buyers DB'!$A:$A,'RAWDATA Cars Buyers DB'!D:D)</f>
        <v>113635</v>
      </c>
      <c r="E547" s="8">
        <f>_xlfn.XLOOKUP($A547,'RAWDATA Cars Buyers DB'!$A:$A,'RAWDATA Cars Buyers DB'!E:E)</f>
        <v>4</v>
      </c>
      <c r="F547" s="8" t="str">
        <f>_xlfn.XLOOKUP($A547,'RAWDATA Cars Buyers DB'!$A:$A,'RAWDATA Cars Buyers DB'!F:F)</f>
        <v>Graduate Degree</v>
      </c>
      <c r="G547" s="8" t="str">
        <f>_xlfn.XLOOKUP($A547,'RAWDATA Cars Buyers DB'!$A:$A,'RAWDATA Cars Buyers DB'!G:G)</f>
        <v>Clerical</v>
      </c>
      <c r="H547" s="8" t="str">
        <f>_xlfn.XLOOKUP($A547,'RAWDATA Cars Buyers DB'!$A:$A,'RAWDATA Cars Buyers DB'!H:H)</f>
        <v>No</v>
      </c>
      <c r="I547" s="8" t="str">
        <f>_xlfn.XLOOKUP($A547,'RAWDATA Cars Buyers DB'!$A:$A,'RAWDATA Cars Buyers DB'!I:I)</f>
        <v>2–4 Kilometre</v>
      </c>
      <c r="J547" s="8" t="str">
        <f>_xlfn.XLOOKUP($A547,'RAWDATA Cars Buyers DB'!$A:$A,'RAWDATA Cars Buyers DB'!J:J)</f>
        <v>Rhineland-Palatinate</v>
      </c>
      <c r="K547" s="8">
        <f>_xlfn.XLOOKUP($A547,'RAWDATA Cars Buyers DB'!$A:$A,'RAWDATA Cars Buyers DB'!K:K)</f>
        <v>66</v>
      </c>
      <c r="L547" s="10" t="str">
        <f>IF(_xlfn.XLOOKUP($A547,'RAWDATA Cars Buyers DB'!$A:$A,'RAWDATA Cars Buyers DB'!K:K)&gt;54,"Old ",IF(_xlfn.XLOOKUP($A547,'RAWDATA Cars Buyers DB'!$A:$A,'RAWDATA Cars Buyers DB'!K:K)&gt;=31,"Middle Age ",IF(_xlfn.XLOOKUP($A547,'RAWDATA Cars Buyers DB'!$A:$A,'RAWDATA Cars Buyers DB'!K:K)&lt;31,"Adolescent","Invalid")))</f>
        <v xml:space="preserve">Old </v>
      </c>
      <c r="M547" s="8" t="str">
        <f>_xlfn.XLOOKUP($A547,'RAWDATA Cars Buyers DB'!$A:$A,'RAWDATA Cars Buyers DB'!L:L)</f>
        <v>Yes</v>
      </c>
    </row>
    <row r="548" spans="1:13">
      <c r="A548" s="6">
        <v>49954</v>
      </c>
      <c r="B548" s="10" t="str">
        <f>IF(_xlfn.XLOOKUP($A548,'RAWDATA Cars Buyers DB'!$A:$A,'RAWDATA Cars Buyers DB'!B:B)="S","Single","Married")</f>
        <v>Single</v>
      </c>
      <c r="C548" s="10" t="str">
        <f>IF(_xlfn.XLOOKUP($A548,'RAWDATA Cars Buyers DB'!$A:$A,'RAWDATA Cars Buyers DB'!C:C)="F","Female","Male")</f>
        <v>Male</v>
      </c>
      <c r="D548" s="7">
        <f>_xlfn.XLOOKUP($A548,'RAWDATA Cars Buyers DB'!$A:$A,'RAWDATA Cars Buyers DB'!D:D)</f>
        <v>74040</v>
      </c>
      <c r="E548" s="8">
        <f>_xlfn.XLOOKUP($A548,'RAWDATA Cars Buyers DB'!$A:$A,'RAWDATA Cars Buyers DB'!E:E)</f>
        <v>2</v>
      </c>
      <c r="F548" s="8" t="str">
        <f>_xlfn.XLOOKUP($A548,'RAWDATA Cars Buyers DB'!$A:$A,'RAWDATA Cars Buyers DB'!F:F)</f>
        <v>Graduate Degree</v>
      </c>
      <c r="G548" s="8" t="str">
        <f>_xlfn.XLOOKUP($A548,'RAWDATA Cars Buyers DB'!$A:$A,'RAWDATA Cars Buyers DB'!G:G)</f>
        <v>Clerical</v>
      </c>
      <c r="H548" s="8" t="str">
        <f>_xlfn.XLOOKUP($A548,'RAWDATA Cars Buyers DB'!$A:$A,'RAWDATA Cars Buyers DB'!H:H)</f>
        <v>Yes</v>
      </c>
      <c r="I548" s="8" t="str">
        <f>_xlfn.XLOOKUP($A548,'RAWDATA Cars Buyers DB'!$A:$A,'RAWDATA Cars Buyers DB'!I:I)</f>
        <v>0–1 Kilometre</v>
      </c>
      <c r="J548" s="8" t="str">
        <f>_xlfn.XLOOKUP($A548,'RAWDATA Cars Buyers DB'!$A:$A,'RAWDATA Cars Buyers DB'!J:J)</f>
        <v>Saxony</v>
      </c>
      <c r="K548" s="8">
        <f>_xlfn.XLOOKUP($A548,'RAWDATA Cars Buyers DB'!$A:$A,'RAWDATA Cars Buyers DB'!K:K)</f>
        <v>41</v>
      </c>
      <c r="L548" s="10" t="str">
        <f>IF(_xlfn.XLOOKUP($A548,'RAWDATA Cars Buyers DB'!$A:$A,'RAWDATA Cars Buyers DB'!K:K)&gt;54,"Old ",IF(_xlfn.XLOOKUP($A548,'RAWDATA Cars Buyers DB'!$A:$A,'RAWDATA Cars Buyers DB'!K:K)&gt;=31,"Middle Age ",IF(_xlfn.XLOOKUP($A548,'RAWDATA Cars Buyers DB'!$A:$A,'RAWDATA Cars Buyers DB'!K:K)&lt;31,"Adolescent","Invalid")))</f>
        <v xml:space="preserve">Middle Age </v>
      </c>
      <c r="M548" s="8" t="str">
        <f>_xlfn.XLOOKUP($A548,'RAWDATA Cars Buyers DB'!$A:$A,'RAWDATA Cars Buyers DB'!L:L)</f>
        <v>No</v>
      </c>
    </row>
    <row r="549" spans="1:13">
      <c r="A549" s="6">
        <v>57280</v>
      </c>
      <c r="B549" s="10" t="str">
        <f>IF(_xlfn.XLOOKUP($A549,'RAWDATA Cars Buyers DB'!$A:$A,'RAWDATA Cars Buyers DB'!B:B)="S","Single","Married")</f>
        <v>Single</v>
      </c>
      <c r="C549" s="10" t="str">
        <f>IF(_xlfn.XLOOKUP($A549,'RAWDATA Cars Buyers DB'!$A:$A,'RAWDATA Cars Buyers DB'!C:C)="F","Female","Male")</f>
        <v>Male</v>
      </c>
      <c r="D549" s="7">
        <f>_xlfn.XLOOKUP($A549,'RAWDATA Cars Buyers DB'!$A:$A,'RAWDATA Cars Buyers DB'!D:D)</f>
        <v>95357</v>
      </c>
      <c r="E549" s="8">
        <f>_xlfn.XLOOKUP($A549,'RAWDATA Cars Buyers DB'!$A:$A,'RAWDATA Cars Buyers DB'!E:E)</f>
        <v>1</v>
      </c>
      <c r="F549" s="8" t="str">
        <f>_xlfn.XLOOKUP($A549,'RAWDATA Cars Buyers DB'!$A:$A,'RAWDATA Cars Buyers DB'!F:F)</f>
        <v>Bachelors</v>
      </c>
      <c r="G549" s="8" t="str">
        <f>_xlfn.XLOOKUP($A549,'RAWDATA Cars Buyers DB'!$A:$A,'RAWDATA Cars Buyers DB'!G:G)</f>
        <v>Management</v>
      </c>
      <c r="H549" s="8" t="str">
        <f>_xlfn.XLOOKUP($A549,'RAWDATA Cars Buyers DB'!$A:$A,'RAWDATA Cars Buyers DB'!H:H)</f>
        <v>Yes</v>
      </c>
      <c r="I549" s="8" t="str">
        <f>_xlfn.XLOOKUP($A549,'RAWDATA Cars Buyers DB'!$A:$A,'RAWDATA Cars Buyers DB'!I:I)</f>
        <v>2–4 Kilometre</v>
      </c>
      <c r="J549" s="8" t="str">
        <f>_xlfn.XLOOKUP($A549,'RAWDATA Cars Buyers DB'!$A:$A,'RAWDATA Cars Buyers DB'!J:J)</f>
        <v>Saarland</v>
      </c>
      <c r="K549" s="8">
        <f>_xlfn.XLOOKUP($A549,'RAWDATA Cars Buyers DB'!$A:$A,'RAWDATA Cars Buyers DB'!K:K)</f>
        <v>30</v>
      </c>
      <c r="L549" s="10" t="str">
        <f>IF(_xlfn.XLOOKUP($A549,'RAWDATA Cars Buyers DB'!$A:$A,'RAWDATA Cars Buyers DB'!K:K)&gt;54,"Old ",IF(_xlfn.XLOOKUP($A549,'RAWDATA Cars Buyers DB'!$A:$A,'RAWDATA Cars Buyers DB'!K:K)&gt;=31,"Middle Age ",IF(_xlfn.XLOOKUP($A549,'RAWDATA Cars Buyers DB'!$A:$A,'RAWDATA Cars Buyers DB'!K:K)&lt;31,"Adolescent","Invalid")))</f>
        <v>Adolescent</v>
      </c>
      <c r="M549" s="8" t="str">
        <f>_xlfn.XLOOKUP($A549,'RAWDATA Cars Buyers DB'!$A:$A,'RAWDATA Cars Buyers DB'!L:L)</f>
        <v>Yes</v>
      </c>
    </row>
    <row r="550" spans="1:13">
      <c r="A550" s="6">
        <v>89459</v>
      </c>
      <c r="B550" s="10" t="str">
        <f>IF(_xlfn.XLOOKUP($A550,'RAWDATA Cars Buyers DB'!$A:$A,'RAWDATA Cars Buyers DB'!B:B)="S","Single","Married")</f>
        <v>Married</v>
      </c>
      <c r="C550" s="10" t="str">
        <f>IF(_xlfn.XLOOKUP($A550,'RAWDATA Cars Buyers DB'!$A:$A,'RAWDATA Cars Buyers DB'!C:C)="F","Female","Male")</f>
        <v>Male</v>
      </c>
      <c r="D550" s="7">
        <f>_xlfn.XLOOKUP($A550,'RAWDATA Cars Buyers DB'!$A:$A,'RAWDATA Cars Buyers DB'!D:D)</f>
        <v>91368</v>
      </c>
      <c r="E550" s="8">
        <f>_xlfn.XLOOKUP($A550,'RAWDATA Cars Buyers DB'!$A:$A,'RAWDATA Cars Buyers DB'!E:E)</f>
        <v>4</v>
      </c>
      <c r="F550" s="8" t="str">
        <f>_xlfn.XLOOKUP($A550,'RAWDATA Cars Buyers DB'!$A:$A,'RAWDATA Cars Buyers DB'!F:F)</f>
        <v>Graduate Degree</v>
      </c>
      <c r="G550" s="8" t="str">
        <f>_xlfn.XLOOKUP($A550,'RAWDATA Cars Buyers DB'!$A:$A,'RAWDATA Cars Buyers DB'!G:G)</f>
        <v>Skilled Manual</v>
      </c>
      <c r="H550" s="8" t="str">
        <f>_xlfn.XLOOKUP($A550,'RAWDATA Cars Buyers DB'!$A:$A,'RAWDATA Cars Buyers DB'!H:H)</f>
        <v>Yes</v>
      </c>
      <c r="I550" s="8" t="str">
        <f>_xlfn.XLOOKUP($A550,'RAWDATA Cars Buyers DB'!$A:$A,'RAWDATA Cars Buyers DB'!I:I)</f>
        <v>4–6 Kilometre</v>
      </c>
      <c r="J550" s="8" t="str">
        <f>_xlfn.XLOOKUP($A550,'RAWDATA Cars Buyers DB'!$A:$A,'RAWDATA Cars Buyers DB'!J:J)</f>
        <v>Mecklenburg-Vorpommern</v>
      </c>
      <c r="K550" s="8">
        <f>_xlfn.XLOOKUP($A550,'RAWDATA Cars Buyers DB'!$A:$A,'RAWDATA Cars Buyers DB'!K:K)</f>
        <v>52</v>
      </c>
      <c r="L550" s="10" t="str">
        <f>IF(_xlfn.XLOOKUP($A550,'RAWDATA Cars Buyers DB'!$A:$A,'RAWDATA Cars Buyers DB'!K:K)&gt;54,"Old ",IF(_xlfn.XLOOKUP($A550,'RAWDATA Cars Buyers DB'!$A:$A,'RAWDATA Cars Buyers DB'!K:K)&gt;=31,"Middle Age ",IF(_xlfn.XLOOKUP($A550,'RAWDATA Cars Buyers DB'!$A:$A,'RAWDATA Cars Buyers DB'!K:K)&lt;31,"Adolescent","Invalid")))</f>
        <v xml:space="preserve">Middle Age </v>
      </c>
      <c r="M550" s="8" t="str">
        <f>_xlfn.XLOOKUP($A550,'RAWDATA Cars Buyers DB'!$A:$A,'RAWDATA Cars Buyers DB'!L:L)</f>
        <v>No</v>
      </c>
    </row>
    <row r="551" spans="1:13">
      <c r="A551" s="6">
        <v>26779</v>
      </c>
      <c r="B551" s="10" t="str">
        <f>IF(_xlfn.XLOOKUP($A551,'RAWDATA Cars Buyers DB'!$A:$A,'RAWDATA Cars Buyers DB'!B:B)="S","Single","Married")</f>
        <v>Single</v>
      </c>
      <c r="C551" s="10" t="str">
        <f>IF(_xlfn.XLOOKUP($A551,'RAWDATA Cars Buyers DB'!$A:$A,'RAWDATA Cars Buyers DB'!C:C)="F","Female","Male")</f>
        <v>Female</v>
      </c>
      <c r="D551" s="7">
        <f>_xlfn.XLOOKUP($A551,'RAWDATA Cars Buyers DB'!$A:$A,'RAWDATA Cars Buyers DB'!D:D)</f>
        <v>98356</v>
      </c>
      <c r="E551" s="8">
        <f>_xlfn.XLOOKUP($A551,'RAWDATA Cars Buyers DB'!$A:$A,'RAWDATA Cars Buyers DB'!E:E)</f>
        <v>2</v>
      </c>
      <c r="F551" s="8" t="str">
        <f>_xlfn.XLOOKUP($A551,'RAWDATA Cars Buyers DB'!$A:$A,'RAWDATA Cars Buyers DB'!F:F)</f>
        <v>High School</v>
      </c>
      <c r="G551" s="8" t="str">
        <f>_xlfn.XLOOKUP($A551,'RAWDATA Cars Buyers DB'!$A:$A,'RAWDATA Cars Buyers DB'!G:G)</f>
        <v>Skilled Manual</v>
      </c>
      <c r="H551" s="8" t="str">
        <f>_xlfn.XLOOKUP($A551,'RAWDATA Cars Buyers DB'!$A:$A,'RAWDATA Cars Buyers DB'!H:H)</f>
        <v>Yes</v>
      </c>
      <c r="I551" s="8" t="str">
        <f>_xlfn.XLOOKUP($A551,'RAWDATA Cars Buyers DB'!$A:$A,'RAWDATA Cars Buyers DB'!I:I)</f>
        <v>1–2 Kilometre</v>
      </c>
      <c r="J551" s="8" t="str">
        <f>_xlfn.XLOOKUP($A551,'RAWDATA Cars Buyers DB'!$A:$A,'RAWDATA Cars Buyers DB'!J:J)</f>
        <v>Saarland</v>
      </c>
      <c r="K551" s="8">
        <f>_xlfn.XLOOKUP($A551,'RAWDATA Cars Buyers DB'!$A:$A,'RAWDATA Cars Buyers DB'!K:K)</f>
        <v>51</v>
      </c>
      <c r="L551" s="10" t="str">
        <f>IF(_xlfn.XLOOKUP($A551,'RAWDATA Cars Buyers DB'!$A:$A,'RAWDATA Cars Buyers DB'!K:K)&gt;54,"Old ",IF(_xlfn.XLOOKUP($A551,'RAWDATA Cars Buyers DB'!$A:$A,'RAWDATA Cars Buyers DB'!K:K)&gt;=31,"Middle Age ",IF(_xlfn.XLOOKUP($A551,'RAWDATA Cars Buyers DB'!$A:$A,'RAWDATA Cars Buyers DB'!K:K)&lt;31,"Adolescent","Invalid")))</f>
        <v xml:space="preserve">Middle Age </v>
      </c>
      <c r="M551" s="8" t="str">
        <f>_xlfn.XLOOKUP($A551,'RAWDATA Cars Buyers DB'!$A:$A,'RAWDATA Cars Buyers DB'!L:L)</f>
        <v>No</v>
      </c>
    </row>
    <row r="552" spans="1:13">
      <c r="A552" s="6">
        <v>73932</v>
      </c>
      <c r="B552" s="10" t="str">
        <f>IF(_xlfn.XLOOKUP($A552,'RAWDATA Cars Buyers DB'!$A:$A,'RAWDATA Cars Buyers DB'!B:B)="S","Single","Married")</f>
        <v>Single</v>
      </c>
      <c r="C552" s="10" t="str">
        <f>IF(_xlfn.XLOOKUP($A552,'RAWDATA Cars Buyers DB'!$A:$A,'RAWDATA Cars Buyers DB'!C:C)="F","Female","Male")</f>
        <v>Male</v>
      </c>
      <c r="D552" s="7">
        <f>_xlfn.XLOOKUP($A552,'RAWDATA Cars Buyers DB'!$A:$A,'RAWDATA Cars Buyers DB'!D:D)</f>
        <v>36211</v>
      </c>
      <c r="E552" s="8">
        <f>_xlfn.XLOOKUP($A552,'RAWDATA Cars Buyers DB'!$A:$A,'RAWDATA Cars Buyers DB'!E:E)</f>
        <v>2</v>
      </c>
      <c r="F552" s="8" t="str">
        <f>_xlfn.XLOOKUP($A552,'RAWDATA Cars Buyers DB'!$A:$A,'RAWDATA Cars Buyers DB'!F:F)</f>
        <v>High School</v>
      </c>
      <c r="G552" s="8" t="str">
        <f>_xlfn.XLOOKUP($A552,'RAWDATA Cars Buyers DB'!$A:$A,'RAWDATA Cars Buyers DB'!G:G)</f>
        <v>Professional</v>
      </c>
      <c r="H552" s="8" t="str">
        <f>_xlfn.XLOOKUP($A552,'RAWDATA Cars Buyers DB'!$A:$A,'RAWDATA Cars Buyers DB'!H:H)</f>
        <v>Yes</v>
      </c>
      <c r="I552" s="8" t="str">
        <f>_xlfn.XLOOKUP($A552,'RAWDATA Cars Buyers DB'!$A:$A,'RAWDATA Cars Buyers DB'!I:I)</f>
        <v>1–2 Kilometre</v>
      </c>
      <c r="J552" s="8" t="str">
        <f>_xlfn.XLOOKUP($A552,'RAWDATA Cars Buyers DB'!$A:$A,'RAWDATA Cars Buyers DB'!J:J)</f>
        <v>Brandenburg</v>
      </c>
      <c r="K552" s="8">
        <f>_xlfn.XLOOKUP($A552,'RAWDATA Cars Buyers DB'!$A:$A,'RAWDATA Cars Buyers DB'!K:K)</f>
        <v>40</v>
      </c>
      <c r="L552" s="10" t="str">
        <f>IF(_xlfn.XLOOKUP($A552,'RAWDATA Cars Buyers DB'!$A:$A,'RAWDATA Cars Buyers DB'!K:K)&gt;54,"Old ",IF(_xlfn.XLOOKUP($A552,'RAWDATA Cars Buyers DB'!$A:$A,'RAWDATA Cars Buyers DB'!K:K)&gt;=31,"Middle Age ",IF(_xlfn.XLOOKUP($A552,'RAWDATA Cars Buyers DB'!$A:$A,'RAWDATA Cars Buyers DB'!K:K)&lt;31,"Adolescent","Invalid")))</f>
        <v xml:space="preserve">Middle Age </v>
      </c>
      <c r="M552" s="8" t="str">
        <f>_xlfn.XLOOKUP($A552,'RAWDATA Cars Buyers DB'!$A:$A,'RAWDATA Cars Buyers DB'!L:L)</f>
        <v>No</v>
      </c>
    </row>
    <row r="553" spans="1:13">
      <c r="A553" s="6">
        <v>82936</v>
      </c>
      <c r="B553" s="10" t="str">
        <f>IF(_xlfn.XLOOKUP($A553,'RAWDATA Cars Buyers DB'!$A:$A,'RAWDATA Cars Buyers DB'!B:B)="S","Single","Married")</f>
        <v>Married</v>
      </c>
      <c r="C553" s="10" t="str">
        <f>IF(_xlfn.XLOOKUP($A553,'RAWDATA Cars Buyers DB'!$A:$A,'RAWDATA Cars Buyers DB'!C:C)="F","Female","Male")</f>
        <v>Male</v>
      </c>
      <c r="D553" s="7">
        <f>_xlfn.XLOOKUP($A553,'RAWDATA Cars Buyers DB'!$A:$A,'RAWDATA Cars Buyers DB'!D:D)</f>
        <v>25842</v>
      </c>
      <c r="E553" s="8">
        <f>_xlfn.XLOOKUP($A553,'RAWDATA Cars Buyers DB'!$A:$A,'RAWDATA Cars Buyers DB'!E:E)</f>
        <v>2</v>
      </c>
      <c r="F553" s="8" t="str">
        <f>_xlfn.XLOOKUP($A553,'RAWDATA Cars Buyers DB'!$A:$A,'RAWDATA Cars Buyers DB'!F:F)</f>
        <v>Bachelors</v>
      </c>
      <c r="G553" s="8" t="str">
        <f>_xlfn.XLOOKUP($A553,'RAWDATA Cars Buyers DB'!$A:$A,'RAWDATA Cars Buyers DB'!G:G)</f>
        <v>Skilled Manual</v>
      </c>
      <c r="H553" s="8" t="str">
        <f>_xlfn.XLOOKUP($A553,'RAWDATA Cars Buyers DB'!$A:$A,'RAWDATA Cars Buyers DB'!H:H)</f>
        <v>No</v>
      </c>
      <c r="I553" s="8" t="str">
        <f>_xlfn.XLOOKUP($A553,'RAWDATA Cars Buyers DB'!$A:$A,'RAWDATA Cars Buyers DB'!I:I)</f>
        <v>6+ Kilometre</v>
      </c>
      <c r="J553" s="8" t="str">
        <f>_xlfn.XLOOKUP($A553,'RAWDATA Cars Buyers DB'!$A:$A,'RAWDATA Cars Buyers DB'!J:J)</f>
        <v>Hesse</v>
      </c>
      <c r="K553" s="8">
        <f>_xlfn.XLOOKUP($A553,'RAWDATA Cars Buyers DB'!$A:$A,'RAWDATA Cars Buyers DB'!K:K)</f>
        <v>58</v>
      </c>
      <c r="L553" s="10" t="str">
        <f>IF(_xlfn.XLOOKUP($A553,'RAWDATA Cars Buyers DB'!$A:$A,'RAWDATA Cars Buyers DB'!K:K)&gt;54,"Old ",IF(_xlfn.XLOOKUP($A553,'RAWDATA Cars Buyers DB'!$A:$A,'RAWDATA Cars Buyers DB'!K:K)&gt;=31,"Middle Age ",IF(_xlfn.XLOOKUP($A553,'RAWDATA Cars Buyers DB'!$A:$A,'RAWDATA Cars Buyers DB'!K:K)&lt;31,"Adolescent","Invalid")))</f>
        <v xml:space="preserve">Old </v>
      </c>
      <c r="M553" s="8" t="str">
        <f>_xlfn.XLOOKUP($A553,'RAWDATA Cars Buyers DB'!$A:$A,'RAWDATA Cars Buyers DB'!L:L)</f>
        <v>No</v>
      </c>
    </row>
    <row r="554" spans="1:13">
      <c r="A554" s="6">
        <v>34466</v>
      </c>
      <c r="B554" s="10" t="str">
        <f>IF(_xlfn.XLOOKUP($A554,'RAWDATA Cars Buyers DB'!$A:$A,'RAWDATA Cars Buyers DB'!B:B)="S","Single","Married")</f>
        <v>Single</v>
      </c>
      <c r="C554" s="10" t="str">
        <f>IF(_xlfn.XLOOKUP($A554,'RAWDATA Cars Buyers DB'!$A:$A,'RAWDATA Cars Buyers DB'!C:C)="F","Female","Male")</f>
        <v>Female</v>
      </c>
      <c r="D554" s="7">
        <f>_xlfn.XLOOKUP($A554,'RAWDATA Cars Buyers DB'!$A:$A,'RAWDATA Cars Buyers DB'!D:D)</f>
        <v>83115</v>
      </c>
      <c r="E554" s="8">
        <f>_xlfn.XLOOKUP($A554,'RAWDATA Cars Buyers DB'!$A:$A,'RAWDATA Cars Buyers DB'!E:E)</f>
        <v>5</v>
      </c>
      <c r="F554" s="8" t="str">
        <f>_xlfn.XLOOKUP($A554,'RAWDATA Cars Buyers DB'!$A:$A,'RAWDATA Cars Buyers DB'!F:F)</f>
        <v>High School</v>
      </c>
      <c r="G554" s="8" t="str">
        <f>_xlfn.XLOOKUP($A554,'RAWDATA Cars Buyers DB'!$A:$A,'RAWDATA Cars Buyers DB'!G:G)</f>
        <v>Skilled Manual</v>
      </c>
      <c r="H554" s="8" t="str">
        <f>_xlfn.XLOOKUP($A554,'RAWDATA Cars Buyers DB'!$A:$A,'RAWDATA Cars Buyers DB'!H:H)</f>
        <v>Yes</v>
      </c>
      <c r="I554" s="8" t="str">
        <f>_xlfn.XLOOKUP($A554,'RAWDATA Cars Buyers DB'!$A:$A,'RAWDATA Cars Buyers DB'!I:I)</f>
        <v>1–2 Kilometre</v>
      </c>
      <c r="J554" s="8" t="str">
        <f>_xlfn.XLOOKUP($A554,'RAWDATA Cars Buyers DB'!$A:$A,'RAWDATA Cars Buyers DB'!J:J)</f>
        <v>Bremen</v>
      </c>
      <c r="K554" s="8">
        <f>_xlfn.XLOOKUP($A554,'RAWDATA Cars Buyers DB'!$A:$A,'RAWDATA Cars Buyers DB'!K:K)</f>
        <v>39</v>
      </c>
      <c r="L554" s="10" t="str">
        <f>IF(_xlfn.XLOOKUP($A554,'RAWDATA Cars Buyers DB'!$A:$A,'RAWDATA Cars Buyers DB'!K:K)&gt;54,"Old ",IF(_xlfn.XLOOKUP($A554,'RAWDATA Cars Buyers DB'!$A:$A,'RAWDATA Cars Buyers DB'!K:K)&gt;=31,"Middle Age ",IF(_xlfn.XLOOKUP($A554,'RAWDATA Cars Buyers DB'!$A:$A,'RAWDATA Cars Buyers DB'!K:K)&lt;31,"Adolescent","Invalid")))</f>
        <v xml:space="preserve">Middle Age </v>
      </c>
      <c r="M554" s="8" t="str">
        <f>_xlfn.XLOOKUP($A554,'RAWDATA Cars Buyers DB'!$A:$A,'RAWDATA Cars Buyers DB'!L:L)</f>
        <v>Yes</v>
      </c>
    </row>
    <row r="555" spans="1:13">
      <c r="A555" s="6">
        <v>46939</v>
      </c>
      <c r="B555" s="10" t="str">
        <f>IF(_xlfn.XLOOKUP($A555,'RAWDATA Cars Buyers DB'!$A:$A,'RAWDATA Cars Buyers DB'!B:B)="S","Single","Married")</f>
        <v>Single</v>
      </c>
      <c r="C555" s="10" t="str">
        <f>IF(_xlfn.XLOOKUP($A555,'RAWDATA Cars Buyers DB'!$A:$A,'RAWDATA Cars Buyers DB'!C:C)="F","Female","Male")</f>
        <v>Female</v>
      </c>
      <c r="D555" s="7">
        <f>_xlfn.XLOOKUP($A555,'RAWDATA Cars Buyers DB'!$A:$A,'RAWDATA Cars Buyers DB'!D:D)</f>
        <v>86852</v>
      </c>
      <c r="E555" s="8">
        <f>_xlfn.XLOOKUP($A555,'RAWDATA Cars Buyers DB'!$A:$A,'RAWDATA Cars Buyers DB'!E:E)</f>
        <v>5</v>
      </c>
      <c r="F555" s="8" t="str">
        <f>_xlfn.XLOOKUP($A555,'RAWDATA Cars Buyers DB'!$A:$A,'RAWDATA Cars Buyers DB'!F:F)</f>
        <v>Graduate Degree</v>
      </c>
      <c r="G555" s="8" t="str">
        <f>_xlfn.XLOOKUP($A555,'RAWDATA Cars Buyers DB'!$A:$A,'RAWDATA Cars Buyers DB'!G:G)</f>
        <v>Skilled Manual</v>
      </c>
      <c r="H555" s="8" t="str">
        <f>_xlfn.XLOOKUP($A555,'RAWDATA Cars Buyers DB'!$A:$A,'RAWDATA Cars Buyers DB'!H:H)</f>
        <v>No</v>
      </c>
      <c r="I555" s="8" t="str">
        <f>_xlfn.XLOOKUP($A555,'RAWDATA Cars Buyers DB'!$A:$A,'RAWDATA Cars Buyers DB'!I:I)</f>
        <v>0–1 Kilometre</v>
      </c>
      <c r="J555" s="8" t="str">
        <f>_xlfn.XLOOKUP($A555,'RAWDATA Cars Buyers DB'!$A:$A,'RAWDATA Cars Buyers DB'!J:J)</f>
        <v>Saarland</v>
      </c>
      <c r="K555" s="8">
        <f>_xlfn.XLOOKUP($A555,'RAWDATA Cars Buyers DB'!$A:$A,'RAWDATA Cars Buyers DB'!K:K)</f>
        <v>27</v>
      </c>
      <c r="L555" s="10" t="str">
        <f>IF(_xlfn.XLOOKUP($A555,'RAWDATA Cars Buyers DB'!$A:$A,'RAWDATA Cars Buyers DB'!K:K)&gt;54,"Old ",IF(_xlfn.XLOOKUP($A555,'RAWDATA Cars Buyers DB'!$A:$A,'RAWDATA Cars Buyers DB'!K:K)&gt;=31,"Middle Age ",IF(_xlfn.XLOOKUP($A555,'RAWDATA Cars Buyers DB'!$A:$A,'RAWDATA Cars Buyers DB'!K:K)&lt;31,"Adolescent","Invalid")))</f>
        <v>Adolescent</v>
      </c>
      <c r="M555" s="8" t="str">
        <f>_xlfn.XLOOKUP($A555,'RAWDATA Cars Buyers DB'!$A:$A,'RAWDATA Cars Buyers DB'!L:L)</f>
        <v>Yes</v>
      </c>
    </row>
    <row r="556" spans="1:13">
      <c r="A556" s="6">
        <v>79896</v>
      </c>
      <c r="B556" s="10" t="str">
        <f>IF(_xlfn.XLOOKUP($A556,'RAWDATA Cars Buyers DB'!$A:$A,'RAWDATA Cars Buyers DB'!B:B)="S","Single","Married")</f>
        <v>Single</v>
      </c>
      <c r="C556" s="10" t="str">
        <f>IF(_xlfn.XLOOKUP($A556,'RAWDATA Cars Buyers DB'!$A:$A,'RAWDATA Cars Buyers DB'!C:C)="F","Female","Male")</f>
        <v>Female</v>
      </c>
      <c r="D556" s="7">
        <f>_xlfn.XLOOKUP($A556,'RAWDATA Cars Buyers DB'!$A:$A,'RAWDATA Cars Buyers DB'!D:D)</f>
        <v>65968</v>
      </c>
      <c r="E556" s="8">
        <f>_xlfn.XLOOKUP($A556,'RAWDATA Cars Buyers DB'!$A:$A,'RAWDATA Cars Buyers DB'!E:E)</f>
        <v>2</v>
      </c>
      <c r="F556" s="8" t="str">
        <f>_xlfn.XLOOKUP($A556,'RAWDATA Cars Buyers DB'!$A:$A,'RAWDATA Cars Buyers DB'!F:F)</f>
        <v>Partial College</v>
      </c>
      <c r="G556" s="8" t="str">
        <f>_xlfn.XLOOKUP($A556,'RAWDATA Cars Buyers DB'!$A:$A,'RAWDATA Cars Buyers DB'!G:G)</f>
        <v>Professional</v>
      </c>
      <c r="H556" s="8" t="str">
        <f>_xlfn.XLOOKUP($A556,'RAWDATA Cars Buyers DB'!$A:$A,'RAWDATA Cars Buyers DB'!H:H)</f>
        <v>No</v>
      </c>
      <c r="I556" s="8" t="str">
        <f>_xlfn.XLOOKUP($A556,'RAWDATA Cars Buyers DB'!$A:$A,'RAWDATA Cars Buyers DB'!I:I)</f>
        <v>4–6 Kilometre</v>
      </c>
      <c r="J556" s="8" t="str">
        <f>_xlfn.XLOOKUP($A556,'RAWDATA Cars Buyers DB'!$A:$A,'RAWDATA Cars Buyers DB'!J:J)</f>
        <v>Thuringia</v>
      </c>
      <c r="K556" s="8">
        <f>_xlfn.XLOOKUP($A556,'RAWDATA Cars Buyers DB'!$A:$A,'RAWDATA Cars Buyers DB'!K:K)</f>
        <v>61</v>
      </c>
      <c r="L556" s="10" t="str">
        <f>IF(_xlfn.XLOOKUP($A556,'RAWDATA Cars Buyers DB'!$A:$A,'RAWDATA Cars Buyers DB'!K:K)&gt;54,"Old ",IF(_xlfn.XLOOKUP($A556,'RAWDATA Cars Buyers DB'!$A:$A,'RAWDATA Cars Buyers DB'!K:K)&gt;=31,"Middle Age ",IF(_xlfn.XLOOKUP($A556,'RAWDATA Cars Buyers DB'!$A:$A,'RAWDATA Cars Buyers DB'!K:K)&lt;31,"Adolescent","Invalid")))</f>
        <v xml:space="preserve">Old </v>
      </c>
      <c r="M556" s="8" t="str">
        <f>_xlfn.XLOOKUP($A556,'RAWDATA Cars Buyers DB'!$A:$A,'RAWDATA Cars Buyers DB'!L:L)</f>
        <v>No</v>
      </c>
    </row>
    <row r="557" spans="1:13">
      <c r="A557" s="6">
        <v>45270</v>
      </c>
      <c r="B557" s="10" t="str">
        <f>IF(_xlfn.XLOOKUP($A557,'RAWDATA Cars Buyers DB'!$A:$A,'RAWDATA Cars Buyers DB'!B:B)="S","Single","Married")</f>
        <v>Single</v>
      </c>
      <c r="C557" s="10" t="str">
        <f>IF(_xlfn.XLOOKUP($A557,'RAWDATA Cars Buyers DB'!$A:$A,'RAWDATA Cars Buyers DB'!C:C)="F","Female","Male")</f>
        <v>Female</v>
      </c>
      <c r="D557" s="7">
        <f>_xlfn.XLOOKUP($A557,'RAWDATA Cars Buyers DB'!$A:$A,'RAWDATA Cars Buyers DB'!D:D)</f>
        <v>37508</v>
      </c>
      <c r="E557" s="8">
        <f>_xlfn.XLOOKUP($A557,'RAWDATA Cars Buyers DB'!$A:$A,'RAWDATA Cars Buyers DB'!E:E)</f>
        <v>5</v>
      </c>
      <c r="F557" s="8" t="str">
        <f>_xlfn.XLOOKUP($A557,'RAWDATA Cars Buyers DB'!$A:$A,'RAWDATA Cars Buyers DB'!F:F)</f>
        <v>Graduate Degree</v>
      </c>
      <c r="G557" s="8" t="str">
        <f>_xlfn.XLOOKUP($A557,'RAWDATA Cars Buyers DB'!$A:$A,'RAWDATA Cars Buyers DB'!G:G)</f>
        <v>Clerical</v>
      </c>
      <c r="H557" s="8" t="str">
        <f>_xlfn.XLOOKUP($A557,'RAWDATA Cars Buyers DB'!$A:$A,'RAWDATA Cars Buyers DB'!H:H)</f>
        <v>No</v>
      </c>
      <c r="I557" s="8" t="str">
        <f>_xlfn.XLOOKUP($A557,'RAWDATA Cars Buyers DB'!$A:$A,'RAWDATA Cars Buyers DB'!I:I)</f>
        <v>2–4 Kilometre</v>
      </c>
      <c r="J557" s="8" t="str">
        <f>_xlfn.XLOOKUP($A557,'RAWDATA Cars Buyers DB'!$A:$A,'RAWDATA Cars Buyers DB'!J:J)</f>
        <v>Bavaria</v>
      </c>
      <c r="K557" s="8">
        <f>_xlfn.XLOOKUP($A557,'RAWDATA Cars Buyers DB'!$A:$A,'RAWDATA Cars Buyers DB'!K:K)</f>
        <v>56</v>
      </c>
      <c r="L557" s="10" t="str">
        <f>IF(_xlfn.XLOOKUP($A557,'RAWDATA Cars Buyers DB'!$A:$A,'RAWDATA Cars Buyers DB'!K:K)&gt;54,"Old ",IF(_xlfn.XLOOKUP($A557,'RAWDATA Cars Buyers DB'!$A:$A,'RAWDATA Cars Buyers DB'!K:K)&gt;=31,"Middle Age ",IF(_xlfn.XLOOKUP($A557,'RAWDATA Cars Buyers DB'!$A:$A,'RAWDATA Cars Buyers DB'!K:K)&lt;31,"Adolescent","Invalid")))</f>
        <v xml:space="preserve">Old </v>
      </c>
      <c r="M557" s="8" t="str">
        <f>_xlfn.XLOOKUP($A557,'RAWDATA Cars Buyers DB'!$A:$A,'RAWDATA Cars Buyers DB'!L:L)</f>
        <v>No</v>
      </c>
    </row>
    <row r="558" spans="1:13">
      <c r="A558" s="6">
        <v>69163</v>
      </c>
      <c r="B558" s="10" t="str">
        <f>IF(_xlfn.XLOOKUP($A558,'RAWDATA Cars Buyers DB'!$A:$A,'RAWDATA Cars Buyers DB'!B:B)="S","Single","Married")</f>
        <v>Married</v>
      </c>
      <c r="C558" s="10" t="str">
        <f>IF(_xlfn.XLOOKUP($A558,'RAWDATA Cars Buyers DB'!$A:$A,'RAWDATA Cars Buyers DB'!C:C)="F","Female","Male")</f>
        <v>Female</v>
      </c>
      <c r="D558" s="7">
        <f>_xlfn.XLOOKUP($A558,'RAWDATA Cars Buyers DB'!$A:$A,'RAWDATA Cars Buyers DB'!D:D)</f>
        <v>42005</v>
      </c>
      <c r="E558" s="8">
        <f>_xlfn.XLOOKUP($A558,'RAWDATA Cars Buyers DB'!$A:$A,'RAWDATA Cars Buyers DB'!E:E)</f>
        <v>3</v>
      </c>
      <c r="F558" s="8" t="str">
        <f>_xlfn.XLOOKUP($A558,'RAWDATA Cars Buyers DB'!$A:$A,'RAWDATA Cars Buyers DB'!F:F)</f>
        <v>Partial College</v>
      </c>
      <c r="G558" s="8" t="str">
        <f>_xlfn.XLOOKUP($A558,'RAWDATA Cars Buyers DB'!$A:$A,'RAWDATA Cars Buyers DB'!G:G)</f>
        <v>Skilled Manual</v>
      </c>
      <c r="H558" s="8" t="str">
        <f>_xlfn.XLOOKUP($A558,'RAWDATA Cars Buyers DB'!$A:$A,'RAWDATA Cars Buyers DB'!H:H)</f>
        <v>Yes</v>
      </c>
      <c r="I558" s="8" t="str">
        <f>_xlfn.XLOOKUP($A558,'RAWDATA Cars Buyers DB'!$A:$A,'RAWDATA Cars Buyers DB'!I:I)</f>
        <v>4–6 Kilometre</v>
      </c>
      <c r="J558" s="8" t="str">
        <f>_xlfn.XLOOKUP($A558,'RAWDATA Cars Buyers DB'!$A:$A,'RAWDATA Cars Buyers DB'!J:J)</f>
        <v>Rhineland-Palatinate</v>
      </c>
      <c r="K558" s="8">
        <f>_xlfn.XLOOKUP($A558,'RAWDATA Cars Buyers DB'!$A:$A,'RAWDATA Cars Buyers DB'!K:K)</f>
        <v>28</v>
      </c>
      <c r="L558" s="10" t="str">
        <f>IF(_xlfn.XLOOKUP($A558,'RAWDATA Cars Buyers DB'!$A:$A,'RAWDATA Cars Buyers DB'!K:K)&gt;54,"Old ",IF(_xlfn.XLOOKUP($A558,'RAWDATA Cars Buyers DB'!$A:$A,'RAWDATA Cars Buyers DB'!K:K)&gt;=31,"Middle Age ",IF(_xlfn.XLOOKUP($A558,'RAWDATA Cars Buyers DB'!$A:$A,'RAWDATA Cars Buyers DB'!K:K)&lt;31,"Adolescent","Invalid")))</f>
        <v>Adolescent</v>
      </c>
      <c r="M558" s="8" t="str">
        <f>_xlfn.XLOOKUP($A558,'RAWDATA Cars Buyers DB'!$A:$A,'RAWDATA Cars Buyers DB'!L:L)</f>
        <v>No</v>
      </c>
    </row>
    <row r="559" spans="1:13">
      <c r="A559" s="6">
        <v>92637</v>
      </c>
      <c r="B559" s="10" t="str">
        <f>IF(_xlfn.XLOOKUP($A559,'RAWDATA Cars Buyers DB'!$A:$A,'RAWDATA Cars Buyers DB'!B:B)="S","Single","Married")</f>
        <v>Single</v>
      </c>
      <c r="C559" s="10" t="str">
        <f>IF(_xlfn.XLOOKUP($A559,'RAWDATA Cars Buyers DB'!$A:$A,'RAWDATA Cars Buyers DB'!C:C)="F","Female","Male")</f>
        <v>Male</v>
      </c>
      <c r="D559" s="7">
        <f>_xlfn.XLOOKUP($A559,'RAWDATA Cars Buyers DB'!$A:$A,'RAWDATA Cars Buyers DB'!D:D)</f>
        <v>74575</v>
      </c>
      <c r="E559" s="8">
        <f>_xlfn.XLOOKUP($A559,'RAWDATA Cars Buyers DB'!$A:$A,'RAWDATA Cars Buyers DB'!E:E)</f>
        <v>2</v>
      </c>
      <c r="F559" s="8" t="str">
        <f>_xlfn.XLOOKUP($A559,'RAWDATA Cars Buyers DB'!$A:$A,'RAWDATA Cars Buyers DB'!F:F)</f>
        <v>Bachelors</v>
      </c>
      <c r="G559" s="8" t="str">
        <f>_xlfn.XLOOKUP($A559,'RAWDATA Cars Buyers DB'!$A:$A,'RAWDATA Cars Buyers DB'!G:G)</f>
        <v>Professional</v>
      </c>
      <c r="H559" s="8" t="str">
        <f>_xlfn.XLOOKUP($A559,'RAWDATA Cars Buyers DB'!$A:$A,'RAWDATA Cars Buyers DB'!H:H)</f>
        <v>No</v>
      </c>
      <c r="I559" s="8" t="str">
        <f>_xlfn.XLOOKUP($A559,'RAWDATA Cars Buyers DB'!$A:$A,'RAWDATA Cars Buyers DB'!I:I)</f>
        <v>1–2 Kilometre</v>
      </c>
      <c r="J559" s="8" t="str">
        <f>_xlfn.XLOOKUP($A559,'RAWDATA Cars Buyers DB'!$A:$A,'RAWDATA Cars Buyers DB'!J:J)</f>
        <v>Hesse</v>
      </c>
      <c r="K559" s="8">
        <f>_xlfn.XLOOKUP($A559,'RAWDATA Cars Buyers DB'!$A:$A,'RAWDATA Cars Buyers DB'!K:K)</f>
        <v>44</v>
      </c>
      <c r="L559" s="10" t="str">
        <f>IF(_xlfn.XLOOKUP($A559,'RAWDATA Cars Buyers DB'!$A:$A,'RAWDATA Cars Buyers DB'!K:K)&gt;54,"Old ",IF(_xlfn.XLOOKUP($A559,'RAWDATA Cars Buyers DB'!$A:$A,'RAWDATA Cars Buyers DB'!K:K)&gt;=31,"Middle Age ",IF(_xlfn.XLOOKUP($A559,'RAWDATA Cars Buyers DB'!$A:$A,'RAWDATA Cars Buyers DB'!K:K)&lt;31,"Adolescent","Invalid")))</f>
        <v xml:space="preserve">Middle Age </v>
      </c>
      <c r="M559" s="8" t="str">
        <f>_xlfn.XLOOKUP($A559,'RAWDATA Cars Buyers DB'!$A:$A,'RAWDATA Cars Buyers DB'!L:L)</f>
        <v>No</v>
      </c>
    </row>
    <row r="560" spans="1:13">
      <c r="A560" s="6">
        <v>61934</v>
      </c>
      <c r="B560" s="10" t="str">
        <f>IF(_xlfn.XLOOKUP($A560,'RAWDATA Cars Buyers DB'!$A:$A,'RAWDATA Cars Buyers DB'!B:B)="S","Single","Married")</f>
        <v>Single</v>
      </c>
      <c r="C560" s="10" t="str">
        <f>IF(_xlfn.XLOOKUP($A560,'RAWDATA Cars Buyers DB'!$A:$A,'RAWDATA Cars Buyers DB'!C:C)="F","Female","Male")</f>
        <v>Female</v>
      </c>
      <c r="D560" s="7">
        <f>_xlfn.XLOOKUP($A560,'RAWDATA Cars Buyers DB'!$A:$A,'RAWDATA Cars Buyers DB'!D:D)</f>
        <v>100742</v>
      </c>
      <c r="E560" s="8">
        <f>_xlfn.XLOOKUP($A560,'RAWDATA Cars Buyers DB'!$A:$A,'RAWDATA Cars Buyers DB'!E:E)</f>
        <v>3</v>
      </c>
      <c r="F560" s="8" t="str">
        <f>_xlfn.XLOOKUP($A560,'RAWDATA Cars Buyers DB'!$A:$A,'RAWDATA Cars Buyers DB'!F:F)</f>
        <v>Partial College</v>
      </c>
      <c r="G560" s="8" t="str">
        <f>_xlfn.XLOOKUP($A560,'RAWDATA Cars Buyers DB'!$A:$A,'RAWDATA Cars Buyers DB'!G:G)</f>
        <v>Professional</v>
      </c>
      <c r="H560" s="8" t="str">
        <f>_xlfn.XLOOKUP($A560,'RAWDATA Cars Buyers DB'!$A:$A,'RAWDATA Cars Buyers DB'!H:H)</f>
        <v>Yes</v>
      </c>
      <c r="I560" s="8" t="str">
        <f>_xlfn.XLOOKUP($A560,'RAWDATA Cars Buyers DB'!$A:$A,'RAWDATA Cars Buyers DB'!I:I)</f>
        <v>2–4 Kilometre</v>
      </c>
      <c r="J560" s="8" t="str">
        <f>_xlfn.XLOOKUP($A560,'RAWDATA Cars Buyers DB'!$A:$A,'RAWDATA Cars Buyers DB'!J:J)</f>
        <v>Saxony-Anhalt</v>
      </c>
      <c r="K560" s="8">
        <f>_xlfn.XLOOKUP($A560,'RAWDATA Cars Buyers DB'!$A:$A,'RAWDATA Cars Buyers DB'!K:K)</f>
        <v>44</v>
      </c>
      <c r="L560" s="10" t="str">
        <f>IF(_xlfn.XLOOKUP($A560,'RAWDATA Cars Buyers DB'!$A:$A,'RAWDATA Cars Buyers DB'!K:K)&gt;54,"Old ",IF(_xlfn.XLOOKUP($A560,'RAWDATA Cars Buyers DB'!$A:$A,'RAWDATA Cars Buyers DB'!K:K)&gt;=31,"Middle Age ",IF(_xlfn.XLOOKUP($A560,'RAWDATA Cars Buyers DB'!$A:$A,'RAWDATA Cars Buyers DB'!K:K)&lt;31,"Adolescent","Invalid")))</f>
        <v xml:space="preserve">Middle Age </v>
      </c>
      <c r="M560" s="8" t="str">
        <f>_xlfn.XLOOKUP($A560,'RAWDATA Cars Buyers DB'!$A:$A,'RAWDATA Cars Buyers DB'!L:L)</f>
        <v>Yes</v>
      </c>
    </row>
    <row r="561" spans="1:13">
      <c r="A561" s="6">
        <v>74895</v>
      </c>
      <c r="B561" s="10" t="str">
        <f>IF(_xlfn.XLOOKUP($A561,'RAWDATA Cars Buyers DB'!$A:$A,'RAWDATA Cars Buyers DB'!B:B)="S","Single","Married")</f>
        <v>Single</v>
      </c>
      <c r="C561" s="10" t="str">
        <f>IF(_xlfn.XLOOKUP($A561,'RAWDATA Cars Buyers DB'!$A:$A,'RAWDATA Cars Buyers DB'!C:C)="F","Female","Male")</f>
        <v>Male</v>
      </c>
      <c r="D561" s="7">
        <f>_xlfn.XLOOKUP($A561,'RAWDATA Cars Buyers DB'!$A:$A,'RAWDATA Cars Buyers DB'!D:D)</f>
        <v>38971</v>
      </c>
      <c r="E561" s="8">
        <f>_xlfn.XLOOKUP($A561,'RAWDATA Cars Buyers DB'!$A:$A,'RAWDATA Cars Buyers DB'!E:E)</f>
        <v>3</v>
      </c>
      <c r="F561" s="8" t="str">
        <f>_xlfn.XLOOKUP($A561,'RAWDATA Cars Buyers DB'!$A:$A,'RAWDATA Cars Buyers DB'!F:F)</f>
        <v>High School</v>
      </c>
      <c r="G561" s="8" t="str">
        <f>_xlfn.XLOOKUP($A561,'RAWDATA Cars Buyers DB'!$A:$A,'RAWDATA Cars Buyers DB'!G:G)</f>
        <v>Management</v>
      </c>
      <c r="H561" s="8" t="str">
        <f>_xlfn.XLOOKUP($A561,'RAWDATA Cars Buyers DB'!$A:$A,'RAWDATA Cars Buyers DB'!H:H)</f>
        <v>No</v>
      </c>
      <c r="I561" s="8" t="str">
        <f>_xlfn.XLOOKUP($A561,'RAWDATA Cars Buyers DB'!$A:$A,'RAWDATA Cars Buyers DB'!I:I)</f>
        <v>6+ Kilometre</v>
      </c>
      <c r="J561" s="8" t="str">
        <f>_xlfn.XLOOKUP($A561,'RAWDATA Cars Buyers DB'!$A:$A,'RAWDATA Cars Buyers DB'!J:J)</f>
        <v>Saxony</v>
      </c>
      <c r="K561" s="8">
        <f>_xlfn.XLOOKUP($A561,'RAWDATA Cars Buyers DB'!$A:$A,'RAWDATA Cars Buyers DB'!K:K)</f>
        <v>52</v>
      </c>
      <c r="L561" s="10" t="str">
        <f>IF(_xlfn.XLOOKUP($A561,'RAWDATA Cars Buyers DB'!$A:$A,'RAWDATA Cars Buyers DB'!K:K)&gt;54,"Old ",IF(_xlfn.XLOOKUP($A561,'RAWDATA Cars Buyers DB'!$A:$A,'RAWDATA Cars Buyers DB'!K:K)&gt;=31,"Middle Age ",IF(_xlfn.XLOOKUP($A561,'RAWDATA Cars Buyers DB'!$A:$A,'RAWDATA Cars Buyers DB'!K:K)&lt;31,"Adolescent","Invalid")))</f>
        <v xml:space="preserve">Middle Age </v>
      </c>
      <c r="M561" s="8" t="str">
        <f>_xlfn.XLOOKUP($A561,'RAWDATA Cars Buyers DB'!$A:$A,'RAWDATA Cars Buyers DB'!L:L)</f>
        <v>Yes</v>
      </c>
    </row>
    <row r="562" spans="1:13">
      <c r="A562" s="6">
        <v>42307</v>
      </c>
      <c r="B562" s="10" t="str">
        <f>IF(_xlfn.XLOOKUP($A562,'RAWDATA Cars Buyers DB'!$A:$A,'RAWDATA Cars Buyers DB'!B:B)="S","Single","Married")</f>
        <v>Single</v>
      </c>
      <c r="C562" s="10" t="str">
        <f>IF(_xlfn.XLOOKUP($A562,'RAWDATA Cars Buyers DB'!$A:$A,'RAWDATA Cars Buyers DB'!C:C)="F","Female","Male")</f>
        <v>Male</v>
      </c>
      <c r="D562" s="7">
        <f>_xlfn.XLOOKUP($A562,'RAWDATA Cars Buyers DB'!$A:$A,'RAWDATA Cars Buyers DB'!D:D)</f>
        <v>45599</v>
      </c>
      <c r="E562" s="8">
        <f>_xlfn.XLOOKUP($A562,'RAWDATA Cars Buyers DB'!$A:$A,'RAWDATA Cars Buyers DB'!E:E)</f>
        <v>2</v>
      </c>
      <c r="F562" s="8" t="str">
        <f>_xlfn.XLOOKUP($A562,'RAWDATA Cars Buyers DB'!$A:$A,'RAWDATA Cars Buyers DB'!F:F)</f>
        <v>Graduate Degree</v>
      </c>
      <c r="G562" s="8" t="str">
        <f>_xlfn.XLOOKUP($A562,'RAWDATA Cars Buyers DB'!$A:$A,'RAWDATA Cars Buyers DB'!G:G)</f>
        <v>Professional</v>
      </c>
      <c r="H562" s="8" t="str">
        <f>_xlfn.XLOOKUP($A562,'RAWDATA Cars Buyers DB'!$A:$A,'RAWDATA Cars Buyers DB'!H:H)</f>
        <v>No</v>
      </c>
      <c r="I562" s="8" t="str">
        <f>_xlfn.XLOOKUP($A562,'RAWDATA Cars Buyers DB'!$A:$A,'RAWDATA Cars Buyers DB'!I:I)</f>
        <v>4–6 Kilometre</v>
      </c>
      <c r="J562" s="8" t="str">
        <f>_xlfn.XLOOKUP($A562,'RAWDATA Cars Buyers DB'!$A:$A,'RAWDATA Cars Buyers DB'!J:J)</f>
        <v>Rhineland-Palatinate</v>
      </c>
      <c r="K562" s="8">
        <f>_xlfn.XLOOKUP($A562,'RAWDATA Cars Buyers DB'!$A:$A,'RAWDATA Cars Buyers DB'!K:K)</f>
        <v>21</v>
      </c>
      <c r="L562" s="10" t="str">
        <f>IF(_xlfn.XLOOKUP($A562,'RAWDATA Cars Buyers DB'!$A:$A,'RAWDATA Cars Buyers DB'!K:K)&gt;54,"Old ",IF(_xlfn.XLOOKUP($A562,'RAWDATA Cars Buyers DB'!$A:$A,'RAWDATA Cars Buyers DB'!K:K)&gt;=31,"Middle Age ",IF(_xlfn.XLOOKUP($A562,'RAWDATA Cars Buyers DB'!$A:$A,'RAWDATA Cars Buyers DB'!K:K)&lt;31,"Adolescent","Invalid")))</f>
        <v>Adolescent</v>
      </c>
      <c r="M562" s="8" t="str">
        <f>_xlfn.XLOOKUP($A562,'RAWDATA Cars Buyers DB'!$A:$A,'RAWDATA Cars Buyers DB'!L:L)</f>
        <v>No</v>
      </c>
    </row>
    <row r="563" spans="1:13">
      <c r="A563" s="6">
        <v>64098</v>
      </c>
      <c r="B563" s="10" t="str">
        <f>IF(_xlfn.XLOOKUP($A563,'RAWDATA Cars Buyers DB'!$A:$A,'RAWDATA Cars Buyers DB'!B:B)="S","Single","Married")</f>
        <v>Single</v>
      </c>
      <c r="C563" s="10" t="str">
        <f>IF(_xlfn.XLOOKUP($A563,'RAWDATA Cars Buyers DB'!$A:$A,'RAWDATA Cars Buyers DB'!C:C)="F","Female","Male")</f>
        <v>Female</v>
      </c>
      <c r="D563" s="7">
        <f>_xlfn.XLOOKUP($A563,'RAWDATA Cars Buyers DB'!$A:$A,'RAWDATA Cars Buyers DB'!D:D)</f>
        <v>107592</v>
      </c>
      <c r="E563" s="8">
        <f>_xlfn.XLOOKUP($A563,'RAWDATA Cars Buyers DB'!$A:$A,'RAWDATA Cars Buyers DB'!E:E)</f>
        <v>1</v>
      </c>
      <c r="F563" s="8" t="str">
        <f>_xlfn.XLOOKUP($A563,'RAWDATA Cars Buyers DB'!$A:$A,'RAWDATA Cars Buyers DB'!F:F)</f>
        <v>Partial College</v>
      </c>
      <c r="G563" s="8" t="str">
        <f>_xlfn.XLOOKUP($A563,'RAWDATA Cars Buyers DB'!$A:$A,'RAWDATA Cars Buyers DB'!G:G)</f>
        <v>Clerical</v>
      </c>
      <c r="H563" s="8" t="str">
        <f>_xlfn.XLOOKUP($A563,'RAWDATA Cars Buyers DB'!$A:$A,'RAWDATA Cars Buyers DB'!H:H)</f>
        <v>No</v>
      </c>
      <c r="I563" s="8" t="str">
        <f>_xlfn.XLOOKUP($A563,'RAWDATA Cars Buyers DB'!$A:$A,'RAWDATA Cars Buyers DB'!I:I)</f>
        <v>2–4 Kilometre</v>
      </c>
      <c r="J563" s="8" t="str">
        <f>_xlfn.XLOOKUP($A563,'RAWDATA Cars Buyers DB'!$A:$A,'RAWDATA Cars Buyers DB'!J:J)</f>
        <v>Brandenburg</v>
      </c>
      <c r="K563" s="8">
        <f>_xlfn.XLOOKUP($A563,'RAWDATA Cars Buyers DB'!$A:$A,'RAWDATA Cars Buyers DB'!K:K)</f>
        <v>38</v>
      </c>
      <c r="L563" s="10" t="str">
        <f>IF(_xlfn.XLOOKUP($A563,'RAWDATA Cars Buyers DB'!$A:$A,'RAWDATA Cars Buyers DB'!K:K)&gt;54,"Old ",IF(_xlfn.XLOOKUP($A563,'RAWDATA Cars Buyers DB'!$A:$A,'RAWDATA Cars Buyers DB'!K:K)&gt;=31,"Middle Age ",IF(_xlfn.XLOOKUP($A563,'RAWDATA Cars Buyers DB'!$A:$A,'RAWDATA Cars Buyers DB'!K:K)&lt;31,"Adolescent","Invalid")))</f>
        <v xml:space="preserve">Middle Age </v>
      </c>
      <c r="M563" s="8" t="str">
        <f>_xlfn.XLOOKUP($A563,'RAWDATA Cars Buyers DB'!$A:$A,'RAWDATA Cars Buyers DB'!L:L)</f>
        <v>Yes</v>
      </c>
    </row>
    <row r="564" spans="1:13">
      <c r="A564" s="6">
        <v>70921</v>
      </c>
      <c r="B564" s="10" t="str">
        <f>IF(_xlfn.XLOOKUP($A564,'RAWDATA Cars Buyers DB'!$A:$A,'RAWDATA Cars Buyers DB'!B:B)="S","Single","Married")</f>
        <v>Married</v>
      </c>
      <c r="C564" s="10" t="str">
        <f>IF(_xlfn.XLOOKUP($A564,'RAWDATA Cars Buyers DB'!$A:$A,'RAWDATA Cars Buyers DB'!C:C)="F","Female","Male")</f>
        <v>Female</v>
      </c>
      <c r="D564" s="7">
        <f>_xlfn.XLOOKUP($A564,'RAWDATA Cars Buyers DB'!$A:$A,'RAWDATA Cars Buyers DB'!D:D)</f>
        <v>86914</v>
      </c>
      <c r="E564" s="8">
        <f>_xlfn.XLOOKUP($A564,'RAWDATA Cars Buyers DB'!$A:$A,'RAWDATA Cars Buyers DB'!E:E)</f>
        <v>2</v>
      </c>
      <c r="F564" s="8" t="str">
        <f>_xlfn.XLOOKUP($A564,'RAWDATA Cars Buyers DB'!$A:$A,'RAWDATA Cars Buyers DB'!F:F)</f>
        <v>Graduate Degree</v>
      </c>
      <c r="G564" s="8" t="str">
        <f>_xlfn.XLOOKUP($A564,'RAWDATA Cars Buyers DB'!$A:$A,'RAWDATA Cars Buyers DB'!G:G)</f>
        <v>Skilled Manual</v>
      </c>
      <c r="H564" s="8" t="str">
        <f>_xlfn.XLOOKUP($A564,'RAWDATA Cars Buyers DB'!$A:$A,'RAWDATA Cars Buyers DB'!H:H)</f>
        <v>No</v>
      </c>
      <c r="I564" s="8" t="str">
        <f>_xlfn.XLOOKUP($A564,'RAWDATA Cars Buyers DB'!$A:$A,'RAWDATA Cars Buyers DB'!I:I)</f>
        <v>2–4 Kilometre</v>
      </c>
      <c r="J564" s="8" t="str">
        <f>_xlfn.XLOOKUP($A564,'RAWDATA Cars Buyers DB'!$A:$A,'RAWDATA Cars Buyers DB'!J:J)</f>
        <v>Saxony</v>
      </c>
      <c r="K564" s="8">
        <f>_xlfn.XLOOKUP($A564,'RAWDATA Cars Buyers DB'!$A:$A,'RAWDATA Cars Buyers DB'!K:K)</f>
        <v>65</v>
      </c>
      <c r="L564" s="10" t="str">
        <f>IF(_xlfn.XLOOKUP($A564,'RAWDATA Cars Buyers DB'!$A:$A,'RAWDATA Cars Buyers DB'!K:K)&gt;54,"Old ",IF(_xlfn.XLOOKUP($A564,'RAWDATA Cars Buyers DB'!$A:$A,'RAWDATA Cars Buyers DB'!K:K)&gt;=31,"Middle Age ",IF(_xlfn.XLOOKUP($A564,'RAWDATA Cars Buyers DB'!$A:$A,'RAWDATA Cars Buyers DB'!K:K)&lt;31,"Adolescent","Invalid")))</f>
        <v xml:space="preserve">Old </v>
      </c>
      <c r="M564" s="8" t="str">
        <f>_xlfn.XLOOKUP($A564,'RAWDATA Cars Buyers DB'!$A:$A,'RAWDATA Cars Buyers DB'!L:L)</f>
        <v>Yes</v>
      </c>
    </row>
    <row r="565" spans="1:13">
      <c r="A565" s="6">
        <v>15486</v>
      </c>
      <c r="B565" s="10" t="str">
        <f>IF(_xlfn.XLOOKUP($A565,'RAWDATA Cars Buyers DB'!$A:$A,'RAWDATA Cars Buyers DB'!B:B)="S","Single","Married")</f>
        <v>Single</v>
      </c>
      <c r="C565" s="10" t="str">
        <f>IF(_xlfn.XLOOKUP($A565,'RAWDATA Cars Buyers DB'!$A:$A,'RAWDATA Cars Buyers DB'!C:C)="F","Female","Male")</f>
        <v>Female</v>
      </c>
      <c r="D565" s="7">
        <f>_xlfn.XLOOKUP($A565,'RAWDATA Cars Buyers DB'!$A:$A,'RAWDATA Cars Buyers DB'!D:D)</f>
        <v>87055</v>
      </c>
      <c r="E565" s="8">
        <f>_xlfn.XLOOKUP($A565,'RAWDATA Cars Buyers DB'!$A:$A,'RAWDATA Cars Buyers DB'!E:E)</f>
        <v>2</v>
      </c>
      <c r="F565" s="8" t="str">
        <f>_xlfn.XLOOKUP($A565,'RAWDATA Cars Buyers DB'!$A:$A,'RAWDATA Cars Buyers DB'!F:F)</f>
        <v>Bachelors</v>
      </c>
      <c r="G565" s="8" t="str">
        <f>_xlfn.XLOOKUP($A565,'RAWDATA Cars Buyers DB'!$A:$A,'RAWDATA Cars Buyers DB'!G:G)</f>
        <v>Professional</v>
      </c>
      <c r="H565" s="8" t="str">
        <f>_xlfn.XLOOKUP($A565,'RAWDATA Cars Buyers DB'!$A:$A,'RAWDATA Cars Buyers DB'!H:H)</f>
        <v>No</v>
      </c>
      <c r="I565" s="8" t="str">
        <f>_xlfn.XLOOKUP($A565,'RAWDATA Cars Buyers DB'!$A:$A,'RAWDATA Cars Buyers DB'!I:I)</f>
        <v>2–4 Kilometre</v>
      </c>
      <c r="J565" s="8" t="str">
        <f>_xlfn.XLOOKUP($A565,'RAWDATA Cars Buyers DB'!$A:$A,'RAWDATA Cars Buyers DB'!J:J)</f>
        <v>Berlin</v>
      </c>
      <c r="K565" s="8">
        <f>_xlfn.XLOOKUP($A565,'RAWDATA Cars Buyers DB'!$A:$A,'RAWDATA Cars Buyers DB'!K:K)</f>
        <v>39</v>
      </c>
      <c r="L565" s="10" t="str">
        <f>IF(_xlfn.XLOOKUP($A565,'RAWDATA Cars Buyers DB'!$A:$A,'RAWDATA Cars Buyers DB'!K:K)&gt;54,"Old ",IF(_xlfn.XLOOKUP($A565,'RAWDATA Cars Buyers DB'!$A:$A,'RAWDATA Cars Buyers DB'!K:K)&gt;=31,"Middle Age ",IF(_xlfn.XLOOKUP($A565,'RAWDATA Cars Buyers DB'!$A:$A,'RAWDATA Cars Buyers DB'!K:K)&lt;31,"Adolescent","Invalid")))</f>
        <v xml:space="preserve">Middle Age </v>
      </c>
      <c r="M565" s="8" t="str">
        <f>_xlfn.XLOOKUP($A565,'RAWDATA Cars Buyers DB'!$A:$A,'RAWDATA Cars Buyers DB'!L:L)</f>
        <v>No</v>
      </c>
    </row>
    <row r="566" spans="1:13">
      <c r="A566" s="6">
        <v>18335</v>
      </c>
      <c r="B566" s="10" t="str">
        <f>IF(_xlfn.XLOOKUP($A566,'RAWDATA Cars Buyers DB'!$A:$A,'RAWDATA Cars Buyers DB'!B:B)="S","Single","Married")</f>
        <v>Single</v>
      </c>
      <c r="C566" s="10" t="str">
        <f>IF(_xlfn.XLOOKUP($A566,'RAWDATA Cars Buyers DB'!$A:$A,'RAWDATA Cars Buyers DB'!C:C)="F","Female","Male")</f>
        <v>Male</v>
      </c>
      <c r="D566" s="7">
        <f>_xlfn.XLOOKUP($A566,'RAWDATA Cars Buyers DB'!$A:$A,'RAWDATA Cars Buyers DB'!D:D)</f>
        <v>107697</v>
      </c>
      <c r="E566" s="8">
        <f>_xlfn.XLOOKUP($A566,'RAWDATA Cars Buyers DB'!$A:$A,'RAWDATA Cars Buyers DB'!E:E)</f>
        <v>5</v>
      </c>
      <c r="F566" s="8" t="str">
        <f>_xlfn.XLOOKUP($A566,'RAWDATA Cars Buyers DB'!$A:$A,'RAWDATA Cars Buyers DB'!F:F)</f>
        <v>Bachelors</v>
      </c>
      <c r="G566" s="8" t="str">
        <f>_xlfn.XLOOKUP($A566,'RAWDATA Cars Buyers DB'!$A:$A,'RAWDATA Cars Buyers DB'!G:G)</f>
        <v>Clerical</v>
      </c>
      <c r="H566" s="8" t="str">
        <f>_xlfn.XLOOKUP($A566,'RAWDATA Cars Buyers DB'!$A:$A,'RAWDATA Cars Buyers DB'!H:H)</f>
        <v>Yes</v>
      </c>
      <c r="I566" s="8" t="str">
        <f>_xlfn.XLOOKUP($A566,'RAWDATA Cars Buyers DB'!$A:$A,'RAWDATA Cars Buyers DB'!I:I)</f>
        <v>0–1 Kilometre</v>
      </c>
      <c r="J566" s="8" t="str">
        <f>_xlfn.XLOOKUP($A566,'RAWDATA Cars Buyers DB'!$A:$A,'RAWDATA Cars Buyers DB'!J:J)</f>
        <v>Hamburg</v>
      </c>
      <c r="K566" s="8">
        <f>_xlfn.XLOOKUP($A566,'RAWDATA Cars Buyers DB'!$A:$A,'RAWDATA Cars Buyers DB'!K:K)</f>
        <v>61</v>
      </c>
      <c r="L566" s="10" t="str">
        <f>IF(_xlfn.XLOOKUP($A566,'RAWDATA Cars Buyers DB'!$A:$A,'RAWDATA Cars Buyers DB'!K:K)&gt;54,"Old ",IF(_xlfn.XLOOKUP($A566,'RAWDATA Cars Buyers DB'!$A:$A,'RAWDATA Cars Buyers DB'!K:K)&gt;=31,"Middle Age ",IF(_xlfn.XLOOKUP($A566,'RAWDATA Cars Buyers DB'!$A:$A,'RAWDATA Cars Buyers DB'!K:K)&lt;31,"Adolescent","Invalid")))</f>
        <v xml:space="preserve">Old </v>
      </c>
      <c r="M566" s="8" t="str">
        <f>_xlfn.XLOOKUP($A566,'RAWDATA Cars Buyers DB'!$A:$A,'RAWDATA Cars Buyers DB'!L:L)</f>
        <v>Yes</v>
      </c>
    </row>
    <row r="567" spans="1:13">
      <c r="A567" s="6">
        <v>96900</v>
      </c>
      <c r="B567" s="10" t="str">
        <f>IF(_xlfn.XLOOKUP($A567,'RAWDATA Cars Buyers DB'!$A:$A,'RAWDATA Cars Buyers DB'!B:B)="S","Single","Married")</f>
        <v>Single</v>
      </c>
      <c r="C567" s="10" t="str">
        <f>IF(_xlfn.XLOOKUP($A567,'RAWDATA Cars Buyers DB'!$A:$A,'RAWDATA Cars Buyers DB'!C:C)="F","Female","Male")</f>
        <v>Female</v>
      </c>
      <c r="D567" s="7">
        <f>_xlfn.XLOOKUP($A567,'RAWDATA Cars Buyers DB'!$A:$A,'RAWDATA Cars Buyers DB'!D:D)</f>
        <v>25355</v>
      </c>
      <c r="E567" s="8">
        <f>_xlfn.XLOOKUP($A567,'RAWDATA Cars Buyers DB'!$A:$A,'RAWDATA Cars Buyers DB'!E:E)</f>
        <v>2</v>
      </c>
      <c r="F567" s="8" t="str">
        <f>_xlfn.XLOOKUP($A567,'RAWDATA Cars Buyers DB'!$A:$A,'RAWDATA Cars Buyers DB'!F:F)</f>
        <v>High School</v>
      </c>
      <c r="G567" s="8" t="str">
        <f>_xlfn.XLOOKUP($A567,'RAWDATA Cars Buyers DB'!$A:$A,'RAWDATA Cars Buyers DB'!G:G)</f>
        <v>Professional</v>
      </c>
      <c r="H567" s="8" t="str">
        <f>_xlfn.XLOOKUP($A567,'RAWDATA Cars Buyers DB'!$A:$A,'RAWDATA Cars Buyers DB'!H:H)</f>
        <v>No</v>
      </c>
      <c r="I567" s="8" t="str">
        <f>_xlfn.XLOOKUP($A567,'RAWDATA Cars Buyers DB'!$A:$A,'RAWDATA Cars Buyers DB'!I:I)</f>
        <v>4–6 Kilometre</v>
      </c>
      <c r="J567" s="8" t="str">
        <f>_xlfn.XLOOKUP($A567,'RAWDATA Cars Buyers DB'!$A:$A,'RAWDATA Cars Buyers DB'!J:J)</f>
        <v>Bremen</v>
      </c>
      <c r="K567" s="8">
        <f>_xlfn.XLOOKUP($A567,'RAWDATA Cars Buyers DB'!$A:$A,'RAWDATA Cars Buyers DB'!K:K)</f>
        <v>60</v>
      </c>
      <c r="L567" s="10" t="str">
        <f>IF(_xlfn.XLOOKUP($A567,'RAWDATA Cars Buyers DB'!$A:$A,'RAWDATA Cars Buyers DB'!K:K)&gt;54,"Old ",IF(_xlfn.XLOOKUP($A567,'RAWDATA Cars Buyers DB'!$A:$A,'RAWDATA Cars Buyers DB'!K:K)&gt;=31,"Middle Age ",IF(_xlfn.XLOOKUP($A567,'RAWDATA Cars Buyers DB'!$A:$A,'RAWDATA Cars Buyers DB'!K:K)&lt;31,"Adolescent","Invalid")))</f>
        <v xml:space="preserve">Old </v>
      </c>
      <c r="M567" s="8" t="str">
        <f>_xlfn.XLOOKUP($A567,'RAWDATA Cars Buyers DB'!$A:$A,'RAWDATA Cars Buyers DB'!L:L)</f>
        <v>Yes</v>
      </c>
    </row>
    <row r="568" spans="1:13">
      <c r="A568" s="6">
        <v>99112</v>
      </c>
      <c r="B568" s="10" t="str">
        <f>IF(_xlfn.XLOOKUP($A568,'RAWDATA Cars Buyers DB'!$A:$A,'RAWDATA Cars Buyers DB'!B:B)="S","Single","Married")</f>
        <v>Single</v>
      </c>
      <c r="C568" s="10" t="str">
        <f>IF(_xlfn.XLOOKUP($A568,'RAWDATA Cars Buyers DB'!$A:$A,'RAWDATA Cars Buyers DB'!C:C)="F","Female","Male")</f>
        <v>Female</v>
      </c>
      <c r="D568" s="7">
        <f>_xlfn.XLOOKUP($A568,'RAWDATA Cars Buyers DB'!$A:$A,'RAWDATA Cars Buyers DB'!D:D)</f>
        <v>74120</v>
      </c>
      <c r="E568" s="8">
        <f>_xlfn.XLOOKUP($A568,'RAWDATA Cars Buyers DB'!$A:$A,'RAWDATA Cars Buyers DB'!E:E)</f>
        <v>1</v>
      </c>
      <c r="F568" s="8" t="str">
        <f>_xlfn.XLOOKUP($A568,'RAWDATA Cars Buyers DB'!$A:$A,'RAWDATA Cars Buyers DB'!F:F)</f>
        <v>Bachelors</v>
      </c>
      <c r="G568" s="8" t="str">
        <f>_xlfn.XLOOKUP($A568,'RAWDATA Cars Buyers DB'!$A:$A,'RAWDATA Cars Buyers DB'!G:G)</f>
        <v>Professional</v>
      </c>
      <c r="H568" s="8" t="str">
        <f>_xlfn.XLOOKUP($A568,'RAWDATA Cars Buyers DB'!$A:$A,'RAWDATA Cars Buyers DB'!H:H)</f>
        <v>No</v>
      </c>
      <c r="I568" s="8" t="str">
        <f>_xlfn.XLOOKUP($A568,'RAWDATA Cars Buyers DB'!$A:$A,'RAWDATA Cars Buyers DB'!I:I)</f>
        <v>2–4 Kilometre</v>
      </c>
      <c r="J568" s="8" t="str">
        <f>_xlfn.XLOOKUP($A568,'RAWDATA Cars Buyers DB'!$A:$A,'RAWDATA Cars Buyers DB'!J:J)</f>
        <v>Rhineland-Palatinate</v>
      </c>
      <c r="K568" s="8">
        <f>_xlfn.XLOOKUP($A568,'RAWDATA Cars Buyers DB'!$A:$A,'RAWDATA Cars Buyers DB'!K:K)</f>
        <v>61</v>
      </c>
      <c r="L568" s="10" t="str">
        <f>IF(_xlfn.XLOOKUP($A568,'RAWDATA Cars Buyers DB'!$A:$A,'RAWDATA Cars Buyers DB'!K:K)&gt;54,"Old ",IF(_xlfn.XLOOKUP($A568,'RAWDATA Cars Buyers DB'!$A:$A,'RAWDATA Cars Buyers DB'!K:K)&gt;=31,"Middle Age ",IF(_xlfn.XLOOKUP($A568,'RAWDATA Cars Buyers DB'!$A:$A,'RAWDATA Cars Buyers DB'!K:K)&lt;31,"Adolescent","Invalid")))</f>
        <v xml:space="preserve">Old </v>
      </c>
      <c r="M568" s="8" t="str">
        <f>_xlfn.XLOOKUP($A568,'RAWDATA Cars Buyers DB'!$A:$A,'RAWDATA Cars Buyers DB'!L:L)</f>
        <v>No</v>
      </c>
    </row>
    <row r="569" spans="1:13">
      <c r="A569" s="6">
        <v>21130</v>
      </c>
      <c r="B569" s="10" t="str">
        <f>IF(_xlfn.XLOOKUP($A569,'RAWDATA Cars Buyers DB'!$A:$A,'RAWDATA Cars Buyers DB'!B:B)="S","Single","Married")</f>
        <v>Married</v>
      </c>
      <c r="C569" s="10" t="str">
        <f>IF(_xlfn.XLOOKUP($A569,'RAWDATA Cars Buyers DB'!$A:$A,'RAWDATA Cars Buyers DB'!C:C)="F","Female","Male")</f>
        <v>Female</v>
      </c>
      <c r="D569" s="7">
        <f>_xlfn.XLOOKUP($A569,'RAWDATA Cars Buyers DB'!$A:$A,'RAWDATA Cars Buyers DB'!D:D)</f>
        <v>94619</v>
      </c>
      <c r="E569" s="8">
        <f>_xlfn.XLOOKUP($A569,'RAWDATA Cars Buyers DB'!$A:$A,'RAWDATA Cars Buyers DB'!E:E)</f>
        <v>5</v>
      </c>
      <c r="F569" s="8" t="str">
        <f>_xlfn.XLOOKUP($A569,'RAWDATA Cars Buyers DB'!$A:$A,'RAWDATA Cars Buyers DB'!F:F)</f>
        <v>Partial College</v>
      </c>
      <c r="G569" s="8" t="str">
        <f>_xlfn.XLOOKUP($A569,'RAWDATA Cars Buyers DB'!$A:$A,'RAWDATA Cars Buyers DB'!G:G)</f>
        <v>Professional</v>
      </c>
      <c r="H569" s="8" t="str">
        <f>_xlfn.XLOOKUP($A569,'RAWDATA Cars Buyers DB'!$A:$A,'RAWDATA Cars Buyers DB'!H:H)</f>
        <v>Yes</v>
      </c>
      <c r="I569" s="8" t="str">
        <f>_xlfn.XLOOKUP($A569,'RAWDATA Cars Buyers DB'!$A:$A,'RAWDATA Cars Buyers DB'!I:I)</f>
        <v>4–6 Kilometre</v>
      </c>
      <c r="J569" s="8" t="str">
        <f>_xlfn.XLOOKUP($A569,'RAWDATA Cars Buyers DB'!$A:$A,'RAWDATA Cars Buyers DB'!J:J)</f>
        <v>Saarland</v>
      </c>
      <c r="K569" s="8">
        <f>_xlfn.XLOOKUP($A569,'RAWDATA Cars Buyers DB'!$A:$A,'RAWDATA Cars Buyers DB'!K:K)</f>
        <v>48</v>
      </c>
      <c r="L569" s="10" t="str">
        <f>IF(_xlfn.XLOOKUP($A569,'RAWDATA Cars Buyers DB'!$A:$A,'RAWDATA Cars Buyers DB'!K:K)&gt;54,"Old ",IF(_xlfn.XLOOKUP($A569,'RAWDATA Cars Buyers DB'!$A:$A,'RAWDATA Cars Buyers DB'!K:K)&gt;=31,"Middle Age ",IF(_xlfn.XLOOKUP($A569,'RAWDATA Cars Buyers DB'!$A:$A,'RAWDATA Cars Buyers DB'!K:K)&lt;31,"Adolescent","Invalid")))</f>
        <v xml:space="preserve">Middle Age </v>
      </c>
      <c r="M569" s="8" t="str">
        <f>_xlfn.XLOOKUP($A569,'RAWDATA Cars Buyers DB'!$A:$A,'RAWDATA Cars Buyers DB'!L:L)</f>
        <v>No</v>
      </c>
    </row>
    <row r="570" spans="1:13">
      <c r="A570" s="6">
        <v>97508</v>
      </c>
      <c r="B570" s="10" t="str">
        <f>IF(_xlfn.XLOOKUP($A570,'RAWDATA Cars Buyers DB'!$A:$A,'RAWDATA Cars Buyers DB'!B:B)="S","Single","Married")</f>
        <v>Married</v>
      </c>
      <c r="C570" s="10" t="str">
        <f>IF(_xlfn.XLOOKUP($A570,'RAWDATA Cars Buyers DB'!$A:$A,'RAWDATA Cars Buyers DB'!C:C)="F","Female","Male")</f>
        <v>Female</v>
      </c>
      <c r="D570" s="7">
        <f>_xlfn.XLOOKUP($A570,'RAWDATA Cars Buyers DB'!$A:$A,'RAWDATA Cars Buyers DB'!D:D)</f>
        <v>58342</v>
      </c>
      <c r="E570" s="8">
        <f>_xlfn.XLOOKUP($A570,'RAWDATA Cars Buyers DB'!$A:$A,'RAWDATA Cars Buyers DB'!E:E)</f>
        <v>0</v>
      </c>
      <c r="F570" s="8" t="str">
        <f>_xlfn.XLOOKUP($A570,'RAWDATA Cars Buyers DB'!$A:$A,'RAWDATA Cars Buyers DB'!F:F)</f>
        <v>Bachelors</v>
      </c>
      <c r="G570" s="8" t="str">
        <f>_xlfn.XLOOKUP($A570,'RAWDATA Cars Buyers DB'!$A:$A,'RAWDATA Cars Buyers DB'!G:G)</f>
        <v>Professional</v>
      </c>
      <c r="H570" s="8" t="str">
        <f>_xlfn.XLOOKUP($A570,'RAWDATA Cars Buyers DB'!$A:$A,'RAWDATA Cars Buyers DB'!H:H)</f>
        <v>Yes</v>
      </c>
      <c r="I570" s="8" t="str">
        <f>_xlfn.XLOOKUP($A570,'RAWDATA Cars Buyers DB'!$A:$A,'RAWDATA Cars Buyers DB'!I:I)</f>
        <v>2–4 Kilometre</v>
      </c>
      <c r="J570" s="8" t="str">
        <f>_xlfn.XLOOKUP($A570,'RAWDATA Cars Buyers DB'!$A:$A,'RAWDATA Cars Buyers DB'!J:J)</f>
        <v>Bavaria</v>
      </c>
      <c r="K570" s="8">
        <f>_xlfn.XLOOKUP($A570,'RAWDATA Cars Buyers DB'!$A:$A,'RAWDATA Cars Buyers DB'!K:K)</f>
        <v>25</v>
      </c>
      <c r="L570" s="10" t="str">
        <f>IF(_xlfn.XLOOKUP($A570,'RAWDATA Cars Buyers DB'!$A:$A,'RAWDATA Cars Buyers DB'!K:K)&gt;54,"Old ",IF(_xlfn.XLOOKUP($A570,'RAWDATA Cars Buyers DB'!$A:$A,'RAWDATA Cars Buyers DB'!K:K)&gt;=31,"Middle Age ",IF(_xlfn.XLOOKUP($A570,'RAWDATA Cars Buyers DB'!$A:$A,'RAWDATA Cars Buyers DB'!K:K)&lt;31,"Adolescent","Invalid")))</f>
        <v>Adolescent</v>
      </c>
      <c r="M570" s="8" t="str">
        <f>_xlfn.XLOOKUP($A570,'RAWDATA Cars Buyers DB'!$A:$A,'RAWDATA Cars Buyers DB'!L:L)</f>
        <v>Yes</v>
      </c>
    </row>
    <row r="571" spans="1:13">
      <c r="A571" s="6">
        <v>70566</v>
      </c>
      <c r="B571" s="10" t="str">
        <f>IF(_xlfn.XLOOKUP($A571,'RAWDATA Cars Buyers DB'!$A:$A,'RAWDATA Cars Buyers DB'!B:B)="S","Single","Married")</f>
        <v>Married</v>
      </c>
      <c r="C571" s="10" t="str">
        <f>IF(_xlfn.XLOOKUP($A571,'RAWDATA Cars Buyers DB'!$A:$A,'RAWDATA Cars Buyers DB'!C:C)="F","Female","Male")</f>
        <v>Female</v>
      </c>
      <c r="D571" s="7">
        <f>_xlfn.XLOOKUP($A571,'RAWDATA Cars Buyers DB'!$A:$A,'RAWDATA Cars Buyers DB'!D:D)</f>
        <v>105992</v>
      </c>
      <c r="E571" s="8">
        <f>_xlfn.XLOOKUP($A571,'RAWDATA Cars Buyers DB'!$A:$A,'RAWDATA Cars Buyers DB'!E:E)</f>
        <v>0</v>
      </c>
      <c r="F571" s="8" t="str">
        <f>_xlfn.XLOOKUP($A571,'RAWDATA Cars Buyers DB'!$A:$A,'RAWDATA Cars Buyers DB'!F:F)</f>
        <v>High School</v>
      </c>
      <c r="G571" s="8" t="str">
        <f>_xlfn.XLOOKUP($A571,'RAWDATA Cars Buyers DB'!$A:$A,'RAWDATA Cars Buyers DB'!G:G)</f>
        <v>Professional</v>
      </c>
      <c r="H571" s="8" t="str">
        <f>_xlfn.XLOOKUP($A571,'RAWDATA Cars Buyers DB'!$A:$A,'RAWDATA Cars Buyers DB'!H:H)</f>
        <v>Yes</v>
      </c>
      <c r="I571" s="8" t="str">
        <f>_xlfn.XLOOKUP($A571,'RAWDATA Cars Buyers DB'!$A:$A,'RAWDATA Cars Buyers DB'!I:I)</f>
        <v>6+ Kilometre</v>
      </c>
      <c r="J571" s="8" t="str">
        <f>_xlfn.XLOOKUP($A571,'RAWDATA Cars Buyers DB'!$A:$A,'RAWDATA Cars Buyers DB'!J:J)</f>
        <v>Hamburg</v>
      </c>
      <c r="K571" s="8">
        <f>_xlfn.XLOOKUP($A571,'RAWDATA Cars Buyers DB'!$A:$A,'RAWDATA Cars Buyers DB'!K:K)</f>
        <v>36</v>
      </c>
      <c r="L571" s="10" t="str">
        <f>IF(_xlfn.XLOOKUP($A571,'RAWDATA Cars Buyers DB'!$A:$A,'RAWDATA Cars Buyers DB'!K:K)&gt;54,"Old ",IF(_xlfn.XLOOKUP($A571,'RAWDATA Cars Buyers DB'!$A:$A,'RAWDATA Cars Buyers DB'!K:K)&gt;=31,"Middle Age ",IF(_xlfn.XLOOKUP($A571,'RAWDATA Cars Buyers DB'!$A:$A,'RAWDATA Cars Buyers DB'!K:K)&lt;31,"Adolescent","Invalid")))</f>
        <v xml:space="preserve">Middle Age </v>
      </c>
      <c r="M571" s="8" t="str">
        <f>_xlfn.XLOOKUP($A571,'RAWDATA Cars Buyers DB'!$A:$A,'RAWDATA Cars Buyers DB'!L:L)</f>
        <v>No</v>
      </c>
    </row>
    <row r="572" spans="1:13">
      <c r="A572" s="6">
        <v>76703</v>
      </c>
      <c r="B572" s="10" t="str">
        <f>IF(_xlfn.XLOOKUP($A572,'RAWDATA Cars Buyers DB'!$A:$A,'RAWDATA Cars Buyers DB'!B:B)="S","Single","Married")</f>
        <v>Married</v>
      </c>
      <c r="C572" s="10" t="str">
        <f>IF(_xlfn.XLOOKUP($A572,'RAWDATA Cars Buyers DB'!$A:$A,'RAWDATA Cars Buyers DB'!C:C)="F","Female","Male")</f>
        <v>Male</v>
      </c>
      <c r="D572" s="7">
        <f>_xlfn.XLOOKUP($A572,'RAWDATA Cars Buyers DB'!$A:$A,'RAWDATA Cars Buyers DB'!D:D)</f>
        <v>98860</v>
      </c>
      <c r="E572" s="8">
        <f>_xlfn.XLOOKUP($A572,'RAWDATA Cars Buyers DB'!$A:$A,'RAWDATA Cars Buyers DB'!E:E)</f>
        <v>3</v>
      </c>
      <c r="F572" s="8" t="str">
        <f>_xlfn.XLOOKUP($A572,'RAWDATA Cars Buyers DB'!$A:$A,'RAWDATA Cars Buyers DB'!F:F)</f>
        <v>Graduate Degree</v>
      </c>
      <c r="G572" s="8" t="str">
        <f>_xlfn.XLOOKUP($A572,'RAWDATA Cars Buyers DB'!$A:$A,'RAWDATA Cars Buyers DB'!G:G)</f>
        <v>Clerical</v>
      </c>
      <c r="H572" s="8" t="str">
        <f>_xlfn.XLOOKUP($A572,'RAWDATA Cars Buyers DB'!$A:$A,'RAWDATA Cars Buyers DB'!H:H)</f>
        <v>No</v>
      </c>
      <c r="I572" s="8" t="str">
        <f>_xlfn.XLOOKUP($A572,'RAWDATA Cars Buyers DB'!$A:$A,'RAWDATA Cars Buyers DB'!I:I)</f>
        <v>6+ Kilometre</v>
      </c>
      <c r="J572" s="8" t="str">
        <f>_xlfn.XLOOKUP($A572,'RAWDATA Cars Buyers DB'!$A:$A,'RAWDATA Cars Buyers DB'!J:J)</f>
        <v>Bavaria</v>
      </c>
      <c r="K572" s="8">
        <f>_xlfn.XLOOKUP($A572,'RAWDATA Cars Buyers DB'!$A:$A,'RAWDATA Cars Buyers DB'!K:K)</f>
        <v>44</v>
      </c>
      <c r="L572" s="10" t="str">
        <f>IF(_xlfn.XLOOKUP($A572,'RAWDATA Cars Buyers DB'!$A:$A,'RAWDATA Cars Buyers DB'!K:K)&gt;54,"Old ",IF(_xlfn.XLOOKUP($A572,'RAWDATA Cars Buyers DB'!$A:$A,'RAWDATA Cars Buyers DB'!K:K)&gt;=31,"Middle Age ",IF(_xlfn.XLOOKUP($A572,'RAWDATA Cars Buyers DB'!$A:$A,'RAWDATA Cars Buyers DB'!K:K)&lt;31,"Adolescent","Invalid")))</f>
        <v xml:space="preserve">Middle Age </v>
      </c>
      <c r="M572" s="8" t="str">
        <f>_xlfn.XLOOKUP($A572,'RAWDATA Cars Buyers DB'!$A:$A,'RAWDATA Cars Buyers DB'!L:L)</f>
        <v>No</v>
      </c>
    </row>
    <row r="573" spans="1:13">
      <c r="A573" s="6">
        <v>37192</v>
      </c>
      <c r="B573" s="10" t="str">
        <f>IF(_xlfn.XLOOKUP($A573,'RAWDATA Cars Buyers DB'!$A:$A,'RAWDATA Cars Buyers DB'!B:B)="S","Single","Married")</f>
        <v>Single</v>
      </c>
      <c r="C573" s="10" t="str">
        <f>IF(_xlfn.XLOOKUP($A573,'RAWDATA Cars Buyers DB'!$A:$A,'RAWDATA Cars Buyers DB'!C:C)="F","Female","Male")</f>
        <v>Male</v>
      </c>
      <c r="D573" s="7">
        <f>_xlfn.XLOOKUP($A573,'RAWDATA Cars Buyers DB'!$A:$A,'RAWDATA Cars Buyers DB'!D:D)</f>
        <v>22257</v>
      </c>
      <c r="E573" s="8">
        <f>_xlfn.XLOOKUP($A573,'RAWDATA Cars Buyers DB'!$A:$A,'RAWDATA Cars Buyers DB'!E:E)</f>
        <v>3</v>
      </c>
      <c r="F573" s="8" t="str">
        <f>_xlfn.XLOOKUP($A573,'RAWDATA Cars Buyers DB'!$A:$A,'RAWDATA Cars Buyers DB'!F:F)</f>
        <v>Graduate Degree</v>
      </c>
      <c r="G573" s="8" t="str">
        <f>_xlfn.XLOOKUP($A573,'RAWDATA Cars Buyers DB'!$A:$A,'RAWDATA Cars Buyers DB'!G:G)</f>
        <v>Skilled Manual</v>
      </c>
      <c r="H573" s="8" t="str">
        <f>_xlfn.XLOOKUP($A573,'RAWDATA Cars Buyers DB'!$A:$A,'RAWDATA Cars Buyers DB'!H:H)</f>
        <v>No</v>
      </c>
      <c r="I573" s="8" t="str">
        <f>_xlfn.XLOOKUP($A573,'RAWDATA Cars Buyers DB'!$A:$A,'RAWDATA Cars Buyers DB'!I:I)</f>
        <v>6+ Kilometre</v>
      </c>
      <c r="J573" s="8" t="str">
        <f>_xlfn.XLOOKUP($A573,'RAWDATA Cars Buyers DB'!$A:$A,'RAWDATA Cars Buyers DB'!J:J)</f>
        <v>Hamburg</v>
      </c>
      <c r="K573" s="8">
        <f>_xlfn.XLOOKUP($A573,'RAWDATA Cars Buyers DB'!$A:$A,'RAWDATA Cars Buyers DB'!K:K)</f>
        <v>57</v>
      </c>
      <c r="L573" s="10" t="str">
        <f>IF(_xlfn.XLOOKUP($A573,'RAWDATA Cars Buyers DB'!$A:$A,'RAWDATA Cars Buyers DB'!K:K)&gt;54,"Old ",IF(_xlfn.XLOOKUP($A573,'RAWDATA Cars Buyers DB'!$A:$A,'RAWDATA Cars Buyers DB'!K:K)&gt;=31,"Middle Age ",IF(_xlfn.XLOOKUP($A573,'RAWDATA Cars Buyers DB'!$A:$A,'RAWDATA Cars Buyers DB'!K:K)&lt;31,"Adolescent","Invalid")))</f>
        <v xml:space="preserve">Old </v>
      </c>
      <c r="M573" s="8" t="str">
        <f>_xlfn.XLOOKUP($A573,'RAWDATA Cars Buyers DB'!$A:$A,'RAWDATA Cars Buyers DB'!L:L)</f>
        <v>Yes</v>
      </c>
    </row>
    <row r="574" spans="1:13">
      <c r="A574" s="6">
        <v>11062</v>
      </c>
      <c r="B574" s="10" t="str">
        <f>IF(_xlfn.XLOOKUP($A574,'RAWDATA Cars Buyers DB'!$A:$A,'RAWDATA Cars Buyers DB'!B:B)="S","Single","Married")</f>
        <v>Single</v>
      </c>
      <c r="C574" s="10" t="str">
        <f>IF(_xlfn.XLOOKUP($A574,'RAWDATA Cars Buyers DB'!$A:$A,'RAWDATA Cars Buyers DB'!C:C)="F","Female","Male")</f>
        <v>Male</v>
      </c>
      <c r="D574" s="7">
        <f>_xlfn.XLOOKUP($A574,'RAWDATA Cars Buyers DB'!$A:$A,'RAWDATA Cars Buyers DB'!D:D)</f>
        <v>47364</v>
      </c>
      <c r="E574" s="8">
        <f>_xlfn.XLOOKUP($A574,'RAWDATA Cars Buyers DB'!$A:$A,'RAWDATA Cars Buyers DB'!E:E)</f>
        <v>1</v>
      </c>
      <c r="F574" s="8" t="str">
        <f>_xlfn.XLOOKUP($A574,'RAWDATA Cars Buyers DB'!$A:$A,'RAWDATA Cars Buyers DB'!F:F)</f>
        <v>Bachelors</v>
      </c>
      <c r="G574" s="8" t="str">
        <f>_xlfn.XLOOKUP($A574,'RAWDATA Cars Buyers DB'!$A:$A,'RAWDATA Cars Buyers DB'!G:G)</f>
        <v>Skilled Manual</v>
      </c>
      <c r="H574" s="8" t="str">
        <f>_xlfn.XLOOKUP($A574,'RAWDATA Cars Buyers DB'!$A:$A,'RAWDATA Cars Buyers DB'!H:H)</f>
        <v>No</v>
      </c>
      <c r="I574" s="8" t="str">
        <f>_xlfn.XLOOKUP($A574,'RAWDATA Cars Buyers DB'!$A:$A,'RAWDATA Cars Buyers DB'!I:I)</f>
        <v>1–2 Kilometre</v>
      </c>
      <c r="J574" s="8" t="str">
        <f>_xlfn.XLOOKUP($A574,'RAWDATA Cars Buyers DB'!$A:$A,'RAWDATA Cars Buyers DB'!J:J)</f>
        <v>Hamburg</v>
      </c>
      <c r="K574" s="8">
        <f>_xlfn.XLOOKUP($A574,'RAWDATA Cars Buyers DB'!$A:$A,'RAWDATA Cars Buyers DB'!K:K)</f>
        <v>23</v>
      </c>
      <c r="L574" s="10" t="str">
        <f>IF(_xlfn.XLOOKUP($A574,'RAWDATA Cars Buyers DB'!$A:$A,'RAWDATA Cars Buyers DB'!K:K)&gt;54,"Old ",IF(_xlfn.XLOOKUP($A574,'RAWDATA Cars Buyers DB'!$A:$A,'RAWDATA Cars Buyers DB'!K:K)&gt;=31,"Middle Age ",IF(_xlfn.XLOOKUP($A574,'RAWDATA Cars Buyers DB'!$A:$A,'RAWDATA Cars Buyers DB'!K:K)&lt;31,"Adolescent","Invalid")))</f>
        <v>Adolescent</v>
      </c>
      <c r="M574" s="8" t="str">
        <f>_xlfn.XLOOKUP($A574,'RAWDATA Cars Buyers DB'!$A:$A,'RAWDATA Cars Buyers DB'!L:L)</f>
        <v>Yes</v>
      </c>
    </row>
    <row r="575" spans="1:13">
      <c r="A575" s="6">
        <v>94076</v>
      </c>
      <c r="B575" s="10" t="str">
        <f>IF(_xlfn.XLOOKUP($A575,'RAWDATA Cars Buyers DB'!$A:$A,'RAWDATA Cars Buyers DB'!B:B)="S","Single","Married")</f>
        <v>Single</v>
      </c>
      <c r="C575" s="10" t="str">
        <f>IF(_xlfn.XLOOKUP($A575,'RAWDATA Cars Buyers DB'!$A:$A,'RAWDATA Cars Buyers DB'!C:C)="F","Female","Male")</f>
        <v>Female</v>
      </c>
      <c r="D575" s="7">
        <f>_xlfn.XLOOKUP($A575,'RAWDATA Cars Buyers DB'!$A:$A,'RAWDATA Cars Buyers DB'!D:D)</f>
        <v>44972</v>
      </c>
      <c r="E575" s="8">
        <f>_xlfn.XLOOKUP($A575,'RAWDATA Cars Buyers DB'!$A:$A,'RAWDATA Cars Buyers DB'!E:E)</f>
        <v>4</v>
      </c>
      <c r="F575" s="8" t="str">
        <f>_xlfn.XLOOKUP($A575,'RAWDATA Cars Buyers DB'!$A:$A,'RAWDATA Cars Buyers DB'!F:F)</f>
        <v>Partial College</v>
      </c>
      <c r="G575" s="8" t="str">
        <f>_xlfn.XLOOKUP($A575,'RAWDATA Cars Buyers DB'!$A:$A,'RAWDATA Cars Buyers DB'!G:G)</f>
        <v>Skilled Manual</v>
      </c>
      <c r="H575" s="8" t="str">
        <f>_xlfn.XLOOKUP($A575,'RAWDATA Cars Buyers DB'!$A:$A,'RAWDATA Cars Buyers DB'!H:H)</f>
        <v>No</v>
      </c>
      <c r="I575" s="8" t="str">
        <f>_xlfn.XLOOKUP($A575,'RAWDATA Cars Buyers DB'!$A:$A,'RAWDATA Cars Buyers DB'!I:I)</f>
        <v>2–4 Kilometre</v>
      </c>
      <c r="J575" s="8" t="str">
        <f>_xlfn.XLOOKUP($A575,'RAWDATA Cars Buyers DB'!$A:$A,'RAWDATA Cars Buyers DB'!J:J)</f>
        <v>Baden-Württemberg</v>
      </c>
      <c r="K575" s="8">
        <f>_xlfn.XLOOKUP($A575,'RAWDATA Cars Buyers DB'!$A:$A,'RAWDATA Cars Buyers DB'!K:K)</f>
        <v>49</v>
      </c>
      <c r="L575" s="10" t="str">
        <f>IF(_xlfn.XLOOKUP($A575,'RAWDATA Cars Buyers DB'!$A:$A,'RAWDATA Cars Buyers DB'!K:K)&gt;54,"Old ",IF(_xlfn.XLOOKUP($A575,'RAWDATA Cars Buyers DB'!$A:$A,'RAWDATA Cars Buyers DB'!K:K)&gt;=31,"Middle Age ",IF(_xlfn.XLOOKUP($A575,'RAWDATA Cars Buyers DB'!$A:$A,'RAWDATA Cars Buyers DB'!K:K)&lt;31,"Adolescent","Invalid")))</f>
        <v xml:space="preserve">Middle Age </v>
      </c>
      <c r="M575" s="8" t="str">
        <f>_xlfn.XLOOKUP($A575,'RAWDATA Cars Buyers DB'!$A:$A,'RAWDATA Cars Buyers DB'!L:L)</f>
        <v>Yes</v>
      </c>
    </row>
    <row r="576" spans="1:13">
      <c r="A576" s="6">
        <v>99780</v>
      </c>
      <c r="B576" s="10" t="str">
        <f>IF(_xlfn.XLOOKUP($A576,'RAWDATA Cars Buyers DB'!$A:$A,'RAWDATA Cars Buyers DB'!B:B)="S","Single","Married")</f>
        <v>Married</v>
      </c>
      <c r="C576" s="10" t="str">
        <f>IF(_xlfn.XLOOKUP($A576,'RAWDATA Cars Buyers DB'!$A:$A,'RAWDATA Cars Buyers DB'!C:C)="F","Female","Male")</f>
        <v>Female</v>
      </c>
      <c r="D576" s="7">
        <f>_xlfn.XLOOKUP($A576,'RAWDATA Cars Buyers DB'!$A:$A,'RAWDATA Cars Buyers DB'!D:D)</f>
        <v>46654</v>
      </c>
      <c r="E576" s="8">
        <f>_xlfn.XLOOKUP($A576,'RAWDATA Cars Buyers DB'!$A:$A,'RAWDATA Cars Buyers DB'!E:E)</f>
        <v>0</v>
      </c>
      <c r="F576" s="8" t="str">
        <f>_xlfn.XLOOKUP($A576,'RAWDATA Cars Buyers DB'!$A:$A,'RAWDATA Cars Buyers DB'!F:F)</f>
        <v>High School</v>
      </c>
      <c r="G576" s="8" t="str">
        <f>_xlfn.XLOOKUP($A576,'RAWDATA Cars Buyers DB'!$A:$A,'RAWDATA Cars Buyers DB'!G:G)</f>
        <v>Skilled Manual</v>
      </c>
      <c r="H576" s="8" t="str">
        <f>_xlfn.XLOOKUP($A576,'RAWDATA Cars Buyers DB'!$A:$A,'RAWDATA Cars Buyers DB'!H:H)</f>
        <v>No</v>
      </c>
      <c r="I576" s="8" t="str">
        <f>_xlfn.XLOOKUP($A576,'RAWDATA Cars Buyers DB'!$A:$A,'RAWDATA Cars Buyers DB'!I:I)</f>
        <v>1–2 Kilometre</v>
      </c>
      <c r="J576" s="8" t="str">
        <f>_xlfn.XLOOKUP($A576,'RAWDATA Cars Buyers DB'!$A:$A,'RAWDATA Cars Buyers DB'!J:J)</f>
        <v>Saarland</v>
      </c>
      <c r="K576" s="8">
        <f>_xlfn.XLOOKUP($A576,'RAWDATA Cars Buyers DB'!$A:$A,'RAWDATA Cars Buyers DB'!K:K)</f>
        <v>39</v>
      </c>
      <c r="L576" s="10" t="str">
        <f>IF(_xlfn.XLOOKUP($A576,'RAWDATA Cars Buyers DB'!$A:$A,'RAWDATA Cars Buyers DB'!K:K)&gt;54,"Old ",IF(_xlfn.XLOOKUP($A576,'RAWDATA Cars Buyers DB'!$A:$A,'RAWDATA Cars Buyers DB'!K:K)&gt;=31,"Middle Age ",IF(_xlfn.XLOOKUP($A576,'RAWDATA Cars Buyers DB'!$A:$A,'RAWDATA Cars Buyers DB'!K:K)&lt;31,"Adolescent","Invalid")))</f>
        <v xml:space="preserve">Middle Age </v>
      </c>
      <c r="M576" s="8" t="str">
        <f>_xlfn.XLOOKUP($A576,'RAWDATA Cars Buyers DB'!$A:$A,'RAWDATA Cars Buyers DB'!L:L)</f>
        <v>No</v>
      </c>
    </row>
    <row r="577" spans="1:13">
      <c r="A577" s="6">
        <v>31545</v>
      </c>
      <c r="B577" s="10" t="str">
        <f>IF(_xlfn.XLOOKUP($A577,'RAWDATA Cars Buyers DB'!$A:$A,'RAWDATA Cars Buyers DB'!B:B)="S","Single","Married")</f>
        <v>Single</v>
      </c>
      <c r="C577" s="10" t="str">
        <f>IF(_xlfn.XLOOKUP($A577,'RAWDATA Cars Buyers DB'!$A:$A,'RAWDATA Cars Buyers DB'!C:C)="F","Female","Male")</f>
        <v>Female</v>
      </c>
      <c r="D577" s="7">
        <f>_xlfn.XLOOKUP($A577,'RAWDATA Cars Buyers DB'!$A:$A,'RAWDATA Cars Buyers DB'!D:D)</f>
        <v>100769</v>
      </c>
      <c r="E577" s="8">
        <f>_xlfn.XLOOKUP($A577,'RAWDATA Cars Buyers DB'!$A:$A,'RAWDATA Cars Buyers DB'!E:E)</f>
        <v>3</v>
      </c>
      <c r="F577" s="8" t="str">
        <f>_xlfn.XLOOKUP($A577,'RAWDATA Cars Buyers DB'!$A:$A,'RAWDATA Cars Buyers DB'!F:F)</f>
        <v>Partial College</v>
      </c>
      <c r="G577" s="8" t="str">
        <f>_xlfn.XLOOKUP($A577,'RAWDATA Cars Buyers DB'!$A:$A,'RAWDATA Cars Buyers DB'!G:G)</f>
        <v>Clerical</v>
      </c>
      <c r="H577" s="8" t="str">
        <f>_xlfn.XLOOKUP($A577,'RAWDATA Cars Buyers DB'!$A:$A,'RAWDATA Cars Buyers DB'!H:H)</f>
        <v>No</v>
      </c>
      <c r="I577" s="8" t="str">
        <f>_xlfn.XLOOKUP($A577,'RAWDATA Cars Buyers DB'!$A:$A,'RAWDATA Cars Buyers DB'!I:I)</f>
        <v>4–6 Kilometre</v>
      </c>
      <c r="J577" s="8" t="str">
        <f>_xlfn.XLOOKUP($A577,'RAWDATA Cars Buyers DB'!$A:$A,'RAWDATA Cars Buyers DB'!J:J)</f>
        <v>Baden-Württemberg</v>
      </c>
      <c r="K577" s="8">
        <f>_xlfn.XLOOKUP($A577,'RAWDATA Cars Buyers DB'!$A:$A,'RAWDATA Cars Buyers DB'!K:K)</f>
        <v>22</v>
      </c>
      <c r="L577" s="10" t="str">
        <f>IF(_xlfn.XLOOKUP($A577,'RAWDATA Cars Buyers DB'!$A:$A,'RAWDATA Cars Buyers DB'!K:K)&gt;54,"Old ",IF(_xlfn.XLOOKUP($A577,'RAWDATA Cars Buyers DB'!$A:$A,'RAWDATA Cars Buyers DB'!K:K)&gt;=31,"Middle Age ",IF(_xlfn.XLOOKUP($A577,'RAWDATA Cars Buyers DB'!$A:$A,'RAWDATA Cars Buyers DB'!K:K)&lt;31,"Adolescent","Invalid")))</f>
        <v>Adolescent</v>
      </c>
      <c r="M577" s="8" t="str">
        <f>_xlfn.XLOOKUP($A577,'RAWDATA Cars Buyers DB'!$A:$A,'RAWDATA Cars Buyers DB'!L:L)</f>
        <v>Yes</v>
      </c>
    </row>
    <row r="578" spans="1:13">
      <c r="A578" s="6">
        <v>31689</v>
      </c>
      <c r="B578" s="10" t="str">
        <f>IF(_xlfn.XLOOKUP($A578,'RAWDATA Cars Buyers DB'!$A:$A,'RAWDATA Cars Buyers DB'!B:B)="S","Single","Married")</f>
        <v>Married</v>
      </c>
      <c r="C578" s="10" t="str">
        <f>IF(_xlfn.XLOOKUP($A578,'RAWDATA Cars Buyers DB'!$A:$A,'RAWDATA Cars Buyers DB'!C:C)="F","Female","Male")</f>
        <v>Male</v>
      </c>
      <c r="D578" s="7">
        <f>_xlfn.XLOOKUP($A578,'RAWDATA Cars Buyers DB'!$A:$A,'RAWDATA Cars Buyers DB'!D:D)</f>
        <v>101423</v>
      </c>
      <c r="E578" s="8">
        <f>_xlfn.XLOOKUP($A578,'RAWDATA Cars Buyers DB'!$A:$A,'RAWDATA Cars Buyers DB'!E:E)</f>
        <v>0</v>
      </c>
      <c r="F578" s="8" t="str">
        <f>_xlfn.XLOOKUP($A578,'RAWDATA Cars Buyers DB'!$A:$A,'RAWDATA Cars Buyers DB'!F:F)</f>
        <v>High School</v>
      </c>
      <c r="G578" s="8" t="str">
        <f>_xlfn.XLOOKUP($A578,'RAWDATA Cars Buyers DB'!$A:$A,'RAWDATA Cars Buyers DB'!G:G)</f>
        <v>Management</v>
      </c>
      <c r="H578" s="8" t="str">
        <f>_xlfn.XLOOKUP($A578,'RAWDATA Cars Buyers DB'!$A:$A,'RAWDATA Cars Buyers DB'!H:H)</f>
        <v>Yes</v>
      </c>
      <c r="I578" s="8" t="str">
        <f>_xlfn.XLOOKUP($A578,'RAWDATA Cars Buyers DB'!$A:$A,'RAWDATA Cars Buyers DB'!I:I)</f>
        <v>1–2 Kilometre</v>
      </c>
      <c r="J578" s="8" t="str">
        <f>_xlfn.XLOOKUP($A578,'RAWDATA Cars Buyers DB'!$A:$A,'RAWDATA Cars Buyers DB'!J:J)</f>
        <v>Berlin</v>
      </c>
      <c r="K578" s="8">
        <f>_xlfn.XLOOKUP($A578,'RAWDATA Cars Buyers DB'!$A:$A,'RAWDATA Cars Buyers DB'!K:K)</f>
        <v>42</v>
      </c>
      <c r="L578" s="10" t="str">
        <f>IF(_xlfn.XLOOKUP($A578,'RAWDATA Cars Buyers DB'!$A:$A,'RAWDATA Cars Buyers DB'!K:K)&gt;54,"Old ",IF(_xlfn.XLOOKUP($A578,'RAWDATA Cars Buyers DB'!$A:$A,'RAWDATA Cars Buyers DB'!K:K)&gt;=31,"Middle Age ",IF(_xlfn.XLOOKUP($A578,'RAWDATA Cars Buyers DB'!$A:$A,'RAWDATA Cars Buyers DB'!K:K)&lt;31,"Adolescent","Invalid")))</f>
        <v xml:space="preserve">Middle Age </v>
      </c>
      <c r="M578" s="8" t="str">
        <f>_xlfn.XLOOKUP($A578,'RAWDATA Cars Buyers DB'!$A:$A,'RAWDATA Cars Buyers DB'!L:L)</f>
        <v>No</v>
      </c>
    </row>
    <row r="579" spans="1:13">
      <c r="A579" s="6">
        <v>21174</v>
      </c>
      <c r="B579" s="10" t="str">
        <f>IF(_xlfn.XLOOKUP($A579,'RAWDATA Cars Buyers DB'!$A:$A,'RAWDATA Cars Buyers DB'!B:B)="S","Single","Married")</f>
        <v>Married</v>
      </c>
      <c r="C579" s="10" t="str">
        <f>IF(_xlfn.XLOOKUP($A579,'RAWDATA Cars Buyers DB'!$A:$A,'RAWDATA Cars Buyers DB'!C:C)="F","Female","Male")</f>
        <v>Female</v>
      </c>
      <c r="D579" s="7">
        <f>_xlfn.XLOOKUP($A579,'RAWDATA Cars Buyers DB'!$A:$A,'RAWDATA Cars Buyers DB'!D:D)</f>
        <v>49320</v>
      </c>
      <c r="E579" s="8">
        <f>_xlfn.XLOOKUP($A579,'RAWDATA Cars Buyers DB'!$A:$A,'RAWDATA Cars Buyers DB'!E:E)</f>
        <v>1</v>
      </c>
      <c r="F579" s="8" t="str">
        <f>_xlfn.XLOOKUP($A579,'RAWDATA Cars Buyers DB'!$A:$A,'RAWDATA Cars Buyers DB'!F:F)</f>
        <v>Bachelors</v>
      </c>
      <c r="G579" s="8" t="str">
        <f>_xlfn.XLOOKUP($A579,'RAWDATA Cars Buyers DB'!$A:$A,'RAWDATA Cars Buyers DB'!G:G)</f>
        <v>Management</v>
      </c>
      <c r="H579" s="8" t="str">
        <f>_xlfn.XLOOKUP($A579,'RAWDATA Cars Buyers DB'!$A:$A,'RAWDATA Cars Buyers DB'!H:H)</f>
        <v>Yes</v>
      </c>
      <c r="I579" s="8" t="str">
        <f>_xlfn.XLOOKUP($A579,'RAWDATA Cars Buyers DB'!$A:$A,'RAWDATA Cars Buyers DB'!I:I)</f>
        <v>4–6 Kilometre</v>
      </c>
      <c r="J579" s="8" t="str">
        <f>_xlfn.XLOOKUP($A579,'RAWDATA Cars Buyers DB'!$A:$A,'RAWDATA Cars Buyers DB'!J:J)</f>
        <v>Saxony-Anhalt</v>
      </c>
      <c r="K579" s="8">
        <f>_xlfn.XLOOKUP($A579,'RAWDATA Cars Buyers DB'!$A:$A,'RAWDATA Cars Buyers DB'!K:K)</f>
        <v>37</v>
      </c>
      <c r="L579" s="10" t="str">
        <f>IF(_xlfn.XLOOKUP($A579,'RAWDATA Cars Buyers DB'!$A:$A,'RAWDATA Cars Buyers DB'!K:K)&gt;54,"Old ",IF(_xlfn.XLOOKUP($A579,'RAWDATA Cars Buyers DB'!$A:$A,'RAWDATA Cars Buyers DB'!K:K)&gt;=31,"Middle Age ",IF(_xlfn.XLOOKUP($A579,'RAWDATA Cars Buyers DB'!$A:$A,'RAWDATA Cars Buyers DB'!K:K)&lt;31,"Adolescent","Invalid")))</f>
        <v xml:space="preserve">Middle Age </v>
      </c>
      <c r="M579" s="8" t="str">
        <f>_xlfn.XLOOKUP($A579,'RAWDATA Cars Buyers DB'!$A:$A,'RAWDATA Cars Buyers DB'!L:L)</f>
        <v>No</v>
      </c>
    </row>
    <row r="580" spans="1:13">
      <c r="A580" s="6">
        <v>98461</v>
      </c>
      <c r="B580" s="10" t="str">
        <f>IF(_xlfn.XLOOKUP($A580,'RAWDATA Cars Buyers DB'!$A:$A,'RAWDATA Cars Buyers DB'!B:B)="S","Single","Married")</f>
        <v>Single</v>
      </c>
      <c r="C580" s="10" t="str">
        <f>IF(_xlfn.XLOOKUP($A580,'RAWDATA Cars Buyers DB'!$A:$A,'RAWDATA Cars Buyers DB'!C:C)="F","Female","Male")</f>
        <v>Female</v>
      </c>
      <c r="D580" s="7">
        <f>_xlfn.XLOOKUP($A580,'RAWDATA Cars Buyers DB'!$A:$A,'RAWDATA Cars Buyers DB'!D:D)</f>
        <v>40808</v>
      </c>
      <c r="E580" s="8">
        <f>_xlfn.XLOOKUP($A580,'RAWDATA Cars Buyers DB'!$A:$A,'RAWDATA Cars Buyers DB'!E:E)</f>
        <v>1</v>
      </c>
      <c r="F580" s="8" t="str">
        <f>_xlfn.XLOOKUP($A580,'RAWDATA Cars Buyers DB'!$A:$A,'RAWDATA Cars Buyers DB'!F:F)</f>
        <v>High School</v>
      </c>
      <c r="G580" s="8" t="str">
        <f>_xlfn.XLOOKUP($A580,'RAWDATA Cars Buyers DB'!$A:$A,'RAWDATA Cars Buyers DB'!G:G)</f>
        <v>Clerical</v>
      </c>
      <c r="H580" s="8" t="str">
        <f>_xlfn.XLOOKUP($A580,'RAWDATA Cars Buyers DB'!$A:$A,'RAWDATA Cars Buyers DB'!H:H)</f>
        <v>No</v>
      </c>
      <c r="I580" s="8" t="str">
        <f>_xlfn.XLOOKUP($A580,'RAWDATA Cars Buyers DB'!$A:$A,'RAWDATA Cars Buyers DB'!I:I)</f>
        <v>4–6 Kilometre</v>
      </c>
      <c r="J580" s="8" t="str">
        <f>_xlfn.XLOOKUP($A580,'RAWDATA Cars Buyers DB'!$A:$A,'RAWDATA Cars Buyers DB'!J:J)</f>
        <v>Schleswig-Holstein</v>
      </c>
      <c r="K580" s="8">
        <f>_xlfn.XLOOKUP($A580,'RAWDATA Cars Buyers DB'!$A:$A,'RAWDATA Cars Buyers DB'!K:K)</f>
        <v>45</v>
      </c>
      <c r="L580" s="10" t="str">
        <f>IF(_xlfn.XLOOKUP($A580,'RAWDATA Cars Buyers DB'!$A:$A,'RAWDATA Cars Buyers DB'!K:K)&gt;54,"Old ",IF(_xlfn.XLOOKUP($A580,'RAWDATA Cars Buyers DB'!$A:$A,'RAWDATA Cars Buyers DB'!K:K)&gt;=31,"Middle Age ",IF(_xlfn.XLOOKUP($A580,'RAWDATA Cars Buyers DB'!$A:$A,'RAWDATA Cars Buyers DB'!K:K)&lt;31,"Adolescent","Invalid")))</f>
        <v xml:space="preserve">Middle Age </v>
      </c>
      <c r="M580" s="8" t="str">
        <f>_xlfn.XLOOKUP($A580,'RAWDATA Cars Buyers DB'!$A:$A,'RAWDATA Cars Buyers DB'!L:L)</f>
        <v>No</v>
      </c>
    </row>
    <row r="581" spans="1:13">
      <c r="A581" s="6">
        <v>19348</v>
      </c>
      <c r="B581" s="10" t="str">
        <f>IF(_xlfn.XLOOKUP($A581,'RAWDATA Cars Buyers DB'!$A:$A,'RAWDATA Cars Buyers DB'!B:B)="S","Single","Married")</f>
        <v>Single</v>
      </c>
      <c r="C581" s="10" t="str">
        <f>IF(_xlfn.XLOOKUP($A581,'RAWDATA Cars Buyers DB'!$A:$A,'RAWDATA Cars Buyers DB'!C:C)="F","Female","Male")</f>
        <v>Female</v>
      </c>
      <c r="D581" s="7">
        <f>_xlfn.XLOOKUP($A581,'RAWDATA Cars Buyers DB'!$A:$A,'RAWDATA Cars Buyers DB'!D:D)</f>
        <v>72389</v>
      </c>
      <c r="E581" s="8">
        <f>_xlfn.XLOOKUP($A581,'RAWDATA Cars Buyers DB'!$A:$A,'RAWDATA Cars Buyers DB'!E:E)</f>
        <v>4</v>
      </c>
      <c r="F581" s="8" t="str">
        <f>_xlfn.XLOOKUP($A581,'RAWDATA Cars Buyers DB'!$A:$A,'RAWDATA Cars Buyers DB'!F:F)</f>
        <v>High School</v>
      </c>
      <c r="G581" s="8" t="str">
        <f>_xlfn.XLOOKUP($A581,'RAWDATA Cars Buyers DB'!$A:$A,'RAWDATA Cars Buyers DB'!G:G)</f>
        <v>Clerical</v>
      </c>
      <c r="H581" s="8" t="str">
        <f>_xlfn.XLOOKUP($A581,'RAWDATA Cars Buyers DB'!$A:$A,'RAWDATA Cars Buyers DB'!H:H)</f>
        <v>No</v>
      </c>
      <c r="I581" s="8" t="str">
        <f>_xlfn.XLOOKUP($A581,'RAWDATA Cars Buyers DB'!$A:$A,'RAWDATA Cars Buyers DB'!I:I)</f>
        <v>4–6 Kilometre</v>
      </c>
      <c r="J581" s="8" t="str">
        <f>_xlfn.XLOOKUP($A581,'RAWDATA Cars Buyers DB'!$A:$A,'RAWDATA Cars Buyers DB'!J:J)</f>
        <v>Saarland</v>
      </c>
      <c r="K581" s="8">
        <f>_xlfn.XLOOKUP($A581,'RAWDATA Cars Buyers DB'!$A:$A,'RAWDATA Cars Buyers DB'!K:K)</f>
        <v>55</v>
      </c>
      <c r="L581" s="10" t="str">
        <f>IF(_xlfn.XLOOKUP($A581,'RAWDATA Cars Buyers DB'!$A:$A,'RAWDATA Cars Buyers DB'!K:K)&gt;54,"Old ",IF(_xlfn.XLOOKUP($A581,'RAWDATA Cars Buyers DB'!$A:$A,'RAWDATA Cars Buyers DB'!K:K)&gt;=31,"Middle Age ",IF(_xlfn.XLOOKUP($A581,'RAWDATA Cars Buyers DB'!$A:$A,'RAWDATA Cars Buyers DB'!K:K)&lt;31,"Adolescent","Invalid")))</f>
        <v xml:space="preserve">Old </v>
      </c>
      <c r="M581" s="8" t="str">
        <f>_xlfn.XLOOKUP($A581,'RAWDATA Cars Buyers DB'!$A:$A,'RAWDATA Cars Buyers DB'!L:L)</f>
        <v>No</v>
      </c>
    </row>
    <row r="582" spans="1:13">
      <c r="A582" s="6">
        <v>33714</v>
      </c>
      <c r="B582" s="10" t="str">
        <f>IF(_xlfn.XLOOKUP($A582,'RAWDATA Cars Buyers DB'!$A:$A,'RAWDATA Cars Buyers DB'!B:B)="S","Single","Married")</f>
        <v>Married</v>
      </c>
      <c r="C582" s="10" t="str">
        <f>IF(_xlfn.XLOOKUP($A582,'RAWDATA Cars Buyers DB'!$A:$A,'RAWDATA Cars Buyers DB'!C:C)="F","Female","Male")</f>
        <v>Male</v>
      </c>
      <c r="D582" s="7">
        <f>_xlfn.XLOOKUP($A582,'RAWDATA Cars Buyers DB'!$A:$A,'RAWDATA Cars Buyers DB'!D:D)</f>
        <v>115690</v>
      </c>
      <c r="E582" s="8">
        <f>_xlfn.XLOOKUP($A582,'RAWDATA Cars Buyers DB'!$A:$A,'RAWDATA Cars Buyers DB'!E:E)</f>
        <v>4</v>
      </c>
      <c r="F582" s="8" t="str">
        <f>_xlfn.XLOOKUP($A582,'RAWDATA Cars Buyers DB'!$A:$A,'RAWDATA Cars Buyers DB'!F:F)</f>
        <v>Bachelors</v>
      </c>
      <c r="G582" s="8" t="str">
        <f>_xlfn.XLOOKUP($A582,'RAWDATA Cars Buyers DB'!$A:$A,'RAWDATA Cars Buyers DB'!G:G)</f>
        <v>Professional</v>
      </c>
      <c r="H582" s="8" t="str">
        <f>_xlfn.XLOOKUP($A582,'RAWDATA Cars Buyers DB'!$A:$A,'RAWDATA Cars Buyers DB'!H:H)</f>
        <v>No</v>
      </c>
      <c r="I582" s="8" t="str">
        <f>_xlfn.XLOOKUP($A582,'RAWDATA Cars Buyers DB'!$A:$A,'RAWDATA Cars Buyers DB'!I:I)</f>
        <v>1–2 Kilometre</v>
      </c>
      <c r="J582" s="8" t="str">
        <f>_xlfn.XLOOKUP($A582,'RAWDATA Cars Buyers DB'!$A:$A,'RAWDATA Cars Buyers DB'!J:J)</f>
        <v>Bremen</v>
      </c>
      <c r="K582" s="8">
        <f>_xlfn.XLOOKUP($A582,'RAWDATA Cars Buyers DB'!$A:$A,'RAWDATA Cars Buyers DB'!K:K)</f>
        <v>27</v>
      </c>
      <c r="L582" s="10" t="str">
        <f>IF(_xlfn.XLOOKUP($A582,'RAWDATA Cars Buyers DB'!$A:$A,'RAWDATA Cars Buyers DB'!K:K)&gt;54,"Old ",IF(_xlfn.XLOOKUP($A582,'RAWDATA Cars Buyers DB'!$A:$A,'RAWDATA Cars Buyers DB'!K:K)&gt;=31,"Middle Age ",IF(_xlfn.XLOOKUP($A582,'RAWDATA Cars Buyers DB'!$A:$A,'RAWDATA Cars Buyers DB'!K:K)&lt;31,"Adolescent","Invalid")))</f>
        <v>Adolescent</v>
      </c>
      <c r="M582" s="8" t="str">
        <f>_xlfn.XLOOKUP($A582,'RAWDATA Cars Buyers DB'!$A:$A,'RAWDATA Cars Buyers DB'!L:L)</f>
        <v>No</v>
      </c>
    </row>
    <row r="583" spans="1:13">
      <c r="A583" s="6">
        <v>48102</v>
      </c>
      <c r="B583" s="10" t="str">
        <f>IF(_xlfn.XLOOKUP($A583,'RAWDATA Cars Buyers DB'!$A:$A,'RAWDATA Cars Buyers DB'!B:B)="S","Single","Married")</f>
        <v>Married</v>
      </c>
      <c r="C583" s="10" t="str">
        <f>IF(_xlfn.XLOOKUP($A583,'RAWDATA Cars Buyers DB'!$A:$A,'RAWDATA Cars Buyers DB'!C:C)="F","Female","Male")</f>
        <v>Female</v>
      </c>
      <c r="D583" s="7">
        <f>_xlfn.XLOOKUP($A583,'RAWDATA Cars Buyers DB'!$A:$A,'RAWDATA Cars Buyers DB'!D:D)</f>
        <v>54773</v>
      </c>
      <c r="E583" s="8">
        <f>_xlfn.XLOOKUP($A583,'RAWDATA Cars Buyers DB'!$A:$A,'RAWDATA Cars Buyers DB'!E:E)</f>
        <v>5</v>
      </c>
      <c r="F583" s="8" t="str">
        <f>_xlfn.XLOOKUP($A583,'RAWDATA Cars Buyers DB'!$A:$A,'RAWDATA Cars Buyers DB'!F:F)</f>
        <v>Partial College</v>
      </c>
      <c r="G583" s="8" t="str">
        <f>_xlfn.XLOOKUP($A583,'RAWDATA Cars Buyers DB'!$A:$A,'RAWDATA Cars Buyers DB'!G:G)</f>
        <v>Professional</v>
      </c>
      <c r="H583" s="8" t="str">
        <f>_xlfn.XLOOKUP($A583,'RAWDATA Cars Buyers DB'!$A:$A,'RAWDATA Cars Buyers DB'!H:H)</f>
        <v>No</v>
      </c>
      <c r="I583" s="8" t="str">
        <f>_xlfn.XLOOKUP($A583,'RAWDATA Cars Buyers DB'!$A:$A,'RAWDATA Cars Buyers DB'!I:I)</f>
        <v>2–4 Kilometre</v>
      </c>
      <c r="J583" s="8" t="str">
        <f>_xlfn.XLOOKUP($A583,'RAWDATA Cars Buyers DB'!$A:$A,'RAWDATA Cars Buyers DB'!J:J)</f>
        <v>Mecklenburg-Vorpommern</v>
      </c>
      <c r="K583" s="8">
        <f>_xlfn.XLOOKUP($A583,'RAWDATA Cars Buyers DB'!$A:$A,'RAWDATA Cars Buyers DB'!K:K)</f>
        <v>36</v>
      </c>
      <c r="L583" s="10" t="str">
        <f>IF(_xlfn.XLOOKUP($A583,'RAWDATA Cars Buyers DB'!$A:$A,'RAWDATA Cars Buyers DB'!K:K)&gt;54,"Old ",IF(_xlfn.XLOOKUP($A583,'RAWDATA Cars Buyers DB'!$A:$A,'RAWDATA Cars Buyers DB'!K:K)&gt;=31,"Middle Age ",IF(_xlfn.XLOOKUP($A583,'RAWDATA Cars Buyers DB'!$A:$A,'RAWDATA Cars Buyers DB'!K:K)&lt;31,"Adolescent","Invalid")))</f>
        <v xml:space="preserve">Middle Age </v>
      </c>
      <c r="M583" s="8" t="str">
        <f>_xlfn.XLOOKUP($A583,'RAWDATA Cars Buyers DB'!$A:$A,'RAWDATA Cars Buyers DB'!L:L)</f>
        <v>Yes</v>
      </c>
    </row>
    <row r="584" spans="1:13">
      <c r="A584" s="6">
        <v>84460</v>
      </c>
      <c r="B584" s="10" t="str">
        <f>IF(_xlfn.XLOOKUP($A584,'RAWDATA Cars Buyers DB'!$A:$A,'RAWDATA Cars Buyers DB'!B:B)="S","Single","Married")</f>
        <v>Married</v>
      </c>
      <c r="C584" s="10" t="str">
        <f>IF(_xlfn.XLOOKUP($A584,'RAWDATA Cars Buyers DB'!$A:$A,'RAWDATA Cars Buyers DB'!C:C)="F","Female","Male")</f>
        <v>Male</v>
      </c>
      <c r="D584" s="7">
        <f>_xlfn.XLOOKUP($A584,'RAWDATA Cars Buyers DB'!$A:$A,'RAWDATA Cars Buyers DB'!D:D)</f>
        <v>71168</v>
      </c>
      <c r="E584" s="8">
        <f>_xlfn.XLOOKUP($A584,'RAWDATA Cars Buyers DB'!$A:$A,'RAWDATA Cars Buyers DB'!E:E)</f>
        <v>1</v>
      </c>
      <c r="F584" s="8" t="str">
        <f>_xlfn.XLOOKUP($A584,'RAWDATA Cars Buyers DB'!$A:$A,'RAWDATA Cars Buyers DB'!F:F)</f>
        <v>Bachelors</v>
      </c>
      <c r="G584" s="8" t="str">
        <f>_xlfn.XLOOKUP($A584,'RAWDATA Cars Buyers DB'!$A:$A,'RAWDATA Cars Buyers DB'!G:G)</f>
        <v>Professional</v>
      </c>
      <c r="H584" s="8" t="str">
        <f>_xlfn.XLOOKUP($A584,'RAWDATA Cars Buyers DB'!$A:$A,'RAWDATA Cars Buyers DB'!H:H)</f>
        <v>No</v>
      </c>
      <c r="I584" s="8" t="str">
        <f>_xlfn.XLOOKUP($A584,'RAWDATA Cars Buyers DB'!$A:$A,'RAWDATA Cars Buyers DB'!I:I)</f>
        <v>1–2 Kilometre</v>
      </c>
      <c r="J584" s="8" t="str">
        <f>_xlfn.XLOOKUP($A584,'RAWDATA Cars Buyers DB'!$A:$A,'RAWDATA Cars Buyers DB'!J:J)</f>
        <v>Mecklenburg-Vorpommern</v>
      </c>
      <c r="K584" s="8">
        <f>_xlfn.XLOOKUP($A584,'RAWDATA Cars Buyers DB'!$A:$A,'RAWDATA Cars Buyers DB'!K:K)</f>
        <v>50</v>
      </c>
      <c r="L584" s="10" t="str">
        <f>IF(_xlfn.XLOOKUP($A584,'RAWDATA Cars Buyers DB'!$A:$A,'RAWDATA Cars Buyers DB'!K:K)&gt;54,"Old ",IF(_xlfn.XLOOKUP($A584,'RAWDATA Cars Buyers DB'!$A:$A,'RAWDATA Cars Buyers DB'!K:K)&gt;=31,"Middle Age ",IF(_xlfn.XLOOKUP($A584,'RAWDATA Cars Buyers DB'!$A:$A,'RAWDATA Cars Buyers DB'!K:K)&lt;31,"Adolescent","Invalid")))</f>
        <v xml:space="preserve">Middle Age </v>
      </c>
      <c r="M584" s="8" t="str">
        <f>_xlfn.XLOOKUP($A584,'RAWDATA Cars Buyers DB'!$A:$A,'RAWDATA Cars Buyers DB'!L:L)</f>
        <v>Yes</v>
      </c>
    </row>
    <row r="585" spans="1:13">
      <c r="A585" s="6">
        <v>99930</v>
      </c>
      <c r="B585" s="10" t="str">
        <f>IF(_xlfn.XLOOKUP($A585,'RAWDATA Cars Buyers DB'!$A:$A,'RAWDATA Cars Buyers DB'!B:B)="S","Single","Married")</f>
        <v>Married</v>
      </c>
      <c r="C585" s="10" t="str">
        <f>IF(_xlfn.XLOOKUP($A585,'RAWDATA Cars Buyers DB'!$A:$A,'RAWDATA Cars Buyers DB'!C:C)="F","Female","Male")</f>
        <v>Female</v>
      </c>
      <c r="D585" s="7">
        <f>_xlfn.XLOOKUP($A585,'RAWDATA Cars Buyers DB'!$A:$A,'RAWDATA Cars Buyers DB'!D:D)</f>
        <v>47747</v>
      </c>
      <c r="E585" s="8">
        <f>_xlfn.XLOOKUP($A585,'RAWDATA Cars Buyers DB'!$A:$A,'RAWDATA Cars Buyers DB'!E:E)</f>
        <v>3</v>
      </c>
      <c r="F585" s="8" t="str">
        <f>_xlfn.XLOOKUP($A585,'RAWDATA Cars Buyers DB'!$A:$A,'RAWDATA Cars Buyers DB'!F:F)</f>
        <v>High School</v>
      </c>
      <c r="G585" s="8" t="str">
        <f>_xlfn.XLOOKUP($A585,'RAWDATA Cars Buyers DB'!$A:$A,'RAWDATA Cars Buyers DB'!G:G)</f>
        <v>Skilled Manual</v>
      </c>
      <c r="H585" s="8" t="str">
        <f>_xlfn.XLOOKUP($A585,'RAWDATA Cars Buyers DB'!$A:$A,'RAWDATA Cars Buyers DB'!H:H)</f>
        <v>Yes</v>
      </c>
      <c r="I585" s="8" t="str">
        <f>_xlfn.XLOOKUP($A585,'RAWDATA Cars Buyers DB'!$A:$A,'RAWDATA Cars Buyers DB'!I:I)</f>
        <v>2–4 Kilometre</v>
      </c>
      <c r="J585" s="8" t="str">
        <f>_xlfn.XLOOKUP($A585,'RAWDATA Cars Buyers DB'!$A:$A,'RAWDATA Cars Buyers DB'!J:J)</f>
        <v>Hamburg</v>
      </c>
      <c r="K585" s="8">
        <f>_xlfn.XLOOKUP($A585,'RAWDATA Cars Buyers DB'!$A:$A,'RAWDATA Cars Buyers DB'!K:K)</f>
        <v>56</v>
      </c>
      <c r="L585" s="10" t="str">
        <f>IF(_xlfn.XLOOKUP($A585,'RAWDATA Cars Buyers DB'!$A:$A,'RAWDATA Cars Buyers DB'!K:K)&gt;54,"Old ",IF(_xlfn.XLOOKUP($A585,'RAWDATA Cars Buyers DB'!$A:$A,'RAWDATA Cars Buyers DB'!K:K)&gt;=31,"Middle Age ",IF(_xlfn.XLOOKUP($A585,'RAWDATA Cars Buyers DB'!$A:$A,'RAWDATA Cars Buyers DB'!K:K)&lt;31,"Adolescent","Invalid")))</f>
        <v xml:space="preserve">Old </v>
      </c>
      <c r="M585" s="8" t="str">
        <f>_xlfn.XLOOKUP($A585,'RAWDATA Cars Buyers DB'!$A:$A,'RAWDATA Cars Buyers DB'!L:L)</f>
        <v>No</v>
      </c>
    </row>
    <row r="586" spans="1:13">
      <c r="A586" s="6">
        <v>16801</v>
      </c>
      <c r="B586" s="10" t="str">
        <f>IF(_xlfn.XLOOKUP($A586,'RAWDATA Cars Buyers DB'!$A:$A,'RAWDATA Cars Buyers DB'!B:B)="S","Single","Married")</f>
        <v>Single</v>
      </c>
      <c r="C586" s="10" t="str">
        <f>IF(_xlfn.XLOOKUP($A586,'RAWDATA Cars Buyers DB'!$A:$A,'RAWDATA Cars Buyers DB'!C:C)="F","Female","Male")</f>
        <v>Male</v>
      </c>
      <c r="D586" s="7">
        <f>_xlfn.XLOOKUP($A586,'RAWDATA Cars Buyers DB'!$A:$A,'RAWDATA Cars Buyers DB'!D:D)</f>
        <v>96396</v>
      </c>
      <c r="E586" s="8">
        <f>_xlfn.XLOOKUP($A586,'RAWDATA Cars Buyers DB'!$A:$A,'RAWDATA Cars Buyers DB'!E:E)</f>
        <v>0</v>
      </c>
      <c r="F586" s="8" t="str">
        <f>_xlfn.XLOOKUP($A586,'RAWDATA Cars Buyers DB'!$A:$A,'RAWDATA Cars Buyers DB'!F:F)</f>
        <v>Bachelors</v>
      </c>
      <c r="G586" s="8" t="str">
        <f>_xlfn.XLOOKUP($A586,'RAWDATA Cars Buyers DB'!$A:$A,'RAWDATA Cars Buyers DB'!G:G)</f>
        <v>Professional</v>
      </c>
      <c r="H586" s="8" t="str">
        <f>_xlfn.XLOOKUP($A586,'RAWDATA Cars Buyers DB'!$A:$A,'RAWDATA Cars Buyers DB'!H:H)</f>
        <v>Yes</v>
      </c>
      <c r="I586" s="8" t="str">
        <f>_xlfn.XLOOKUP($A586,'RAWDATA Cars Buyers DB'!$A:$A,'RAWDATA Cars Buyers DB'!I:I)</f>
        <v>2–4 Kilometre</v>
      </c>
      <c r="J586" s="8" t="str">
        <f>_xlfn.XLOOKUP($A586,'RAWDATA Cars Buyers DB'!$A:$A,'RAWDATA Cars Buyers DB'!J:J)</f>
        <v>Bremen</v>
      </c>
      <c r="K586" s="8">
        <f>_xlfn.XLOOKUP($A586,'RAWDATA Cars Buyers DB'!$A:$A,'RAWDATA Cars Buyers DB'!K:K)</f>
        <v>64</v>
      </c>
      <c r="L586" s="10" t="str">
        <f>IF(_xlfn.XLOOKUP($A586,'RAWDATA Cars Buyers DB'!$A:$A,'RAWDATA Cars Buyers DB'!K:K)&gt;54,"Old ",IF(_xlfn.XLOOKUP($A586,'RAWDATA Cars Buyers DB'!$A:$A,'RAWDATA Cars Buyers DB'!K:K)&gt;=31,"Middle Age ",IF(_xlfn.XLOOKUP($A586,'RAWDATA Cars Buyers DB'!$A:$A,'RAWDATA Cars Buyers DB'!K:K)&lt;31,"Adolescent","Invalid")))</f>
        <v xml:space="preserve">Old </v>
      </c>
      <c r="M586" s="8" t="str">
        <f>_xlfn.XLOOKUP($A586,'RAWDATA Cars Buyers DB'!$A:$A,'RAWDATA Cars Buyers DB'!L:L)</f>
        <v>Yes</v>
      </c>
    </row>
    <row r="587" spans="1:13">
      <c r="A587" s="6">
        <v>82267</v>
      </c>
      <c r="B587" s="10" t="str">
        <f>IF(_xlfn.XLOOKUP($A587,'RAWDATA Cars Buyers DB'!$A:$A,'RAWDATA Cars Buyers DB'!B:B)="S","Single","Married")</f>
        <v>Married</v>
      </c>
      <c r="C587" s="10" t="str">
        <f>IF(_xlfn.XLOOKUP($A587,'RAWDATA Cars Buyers DB'!$A:$A,'RAWDATA Cars Buyers DB'!C:C)="F","Female","Male")</f>
        <v>Male</v>
      </c>
      <c r="D587" s="7">
        <f>_xlfn.XLOOKUP($A587,'RAWDATA Cars Buyers DB'!$A:$A,'RAWDATA Cars Buyers DB'!D:D)</f>
        <v>103692</v>
      </c>
      <c r="E587" s="8">
        <f>_xlfn.XLOOKUP($A587,'RAWDATA Cars Buyers DB'!$A:$A,'RAWDATA Cars Buyers DB'!E:E)</f>
        <v>2</v>
      </c>
      <c r="F587" s="8" t="str">
        <f>_xlfn.XLOOKUP($A587,'RAWDATA Cars Buyers DB'!$A:$A,'RAWDATA Cars Buyers DB'!F:F)</f>
        <v>High School</v>
      </c>
      <c r="G587" s="8" t="str">
        <f>_xlfn.XLOOKUP($A587,'RAWDATA Cars Buyers DB'!$A:$A,'RAWDATA Cars Buyers DB'!G:G)</f>
        <v>Management</v>
      </c>
      <c r="H587" s="8" t="str">
        <f>_xlfn.XLOOKUP($A587,'RAWDATA Cars Buyers DB'!$A:$A,'RAWDATA Cars Buyers DB'!H:H)</f>
        <v>No</v>
      </c>
      <c r="I587" s="8" t="str">
        <f>_xlfn.XLOOKUP($A587,'RAWDATA Cars Buyers DB'!$A:$A,'RAWDATA Cars Buyers DB'!I:I)</f>
        <v>4–6 Kilometre</v>
      </c>
      <c r="J587" s="8" t="str">
        <f>_xlfn.XLOOKUP($A587,'RAWDATA Cars Buyers DB'!$A:$A,'RAWDATA Cars Buyers DB'!J:J)</f>
        <v>Brandenburg</v>
      </c>
      <c r="K587" s="8">
        <f>_xlfn.XLOOKUP($A587,'RAWDATA Cars Buyers DB'!$A:$A,'RAWDATA Cars Buyers DB'!K:K)</f>
        <v>52</v>
      </c>
      <c r="L587" s="10" t="str">
        <f>IF(_xlfn.XLOOKUP($A587,'RAWDATA Cars Buyers DB'!$A:$A,'RAWDATA Cars Buyers DB'!K:K)&gt;54,"Old ",IF(_xlfn.XLOOKUP($A587,'RAWDATA Cars Buyers DB'!$A:$A,'RAWDATA Cars Buyers DB'!K:K)&gt;=31,"Middle Age ",IF(_xlfn.XLOOKUP($A587,'RAWDATA Cars Buyers DB'!$A:$A,'RAWDATA Cars Buyers DB'!K:K)&lt;31,"Adolescent","Invalid")))</f>
        <v xml:space="preserve">Middle Age </v>
      </c>
      <c r="M587" s="8" t="str">
        <f>_xlfn.XLOOKUP($A587,'RAWDATA Cars Buyers DB'!$A:$A,'RAWDATA Cars Buyers DB'!L:L)</f>
        <v>Yes</v>
      </c>
    </row>
    <row r="588" spans="1:13">
      <c r="A588" s="6">
        <v>58136</v>
      </c>
      <c r="B588" s="10" t="str">
        <f>IF(_xlfn.XLOOKUP($A588,'RAWDATA Cars Buyers DB'!$A:$A,'RAWDATA Cars Buyers DB'!B:B)="S","Single","Married")</f>
        <v>Married</v>
      </c>
      <c r="C588" s="10" t="str">
        <f>IF(_xlfn.XLOOKUP($A588,'RAWDATA Cars Buyers DB'!$A:$A,'RAWDATA Cars Buyers DB'!C:C)="F","Female","Male")</f>
        <v>Male</v>
      </c>
      <c r="D588" s="7">
        <f>_xlfn.XLOOKUP($A588,'RAWDATA Cars Buyers DB'!$A:$A,'RAWDATA Cars Buyers DB'!D:D)</f>
        <v>77505</v>
      </c>
      <c r="E588" s="8">
        <f>_xlfn.XLOOKUP($A588,'RAWDATA Cars Buyers DB'!$A:$A,'RAWDATA Cars Buyers DB'!E:E)</f>
        <v>4</v>
      </c>
      <c r="F588" s="8" t="str">
        <f>_xlfn.XLOOKUP($A588,'RAWDATA Cars Buyers DB'!$A:$A,'RAWDATA Cars Buyers DB'!F:F)</f>
        <v>Bachelors</v>
      </c>
      <c r="G588" s="8" t="str">
        <f>_xlfn.XLOOKUP($A588,'RAWDATA Cars Buyers DB'!$A:$A,'RAWDATA Cars Buyers DB'!G:G)</f>
        <v>Skilled Manual</v>
      </c>
      <c r="H588" s="8" t="str">
        <f>_xlfn.XLOOKUP($A588,'RAWDATA Cars Buyers DB'!$A:$A,'RAWDATA Cars Buyers DB'!H:H)</f>
        <v>Yes</v>
      </c>
      <c r="I588" s="8" t="str">
        <f>_xlfn.XLOOKUP($A588,'RAWDATA Cars Buyers DB'!$A:$A,'RAWDATA Cars Buyers DB'!I:I)</f>
        <v>1–2 Kilometre</v>
      </c>
      <c r="J588" s="8" t="str">
        <f>_xlfn.XLOOKUP($A588,'RAWDATA Cars Buyers DB'!$A:$A,'RAWDATA Cars Buyers DB'!J:J)</f>
        <v>Berlin</v>
      </c>
      <c r="K588" s="8">
        <f>_xlfn.XLOOKUP($A588,'RAWDATA Cars Buyers DB'!$A:$A,'RAWDATA Cars Buyers DB'!K:K)</f>
        <v>46</v>
      </c>
      <c r="L588" s="10" t="str">
        <f>IF(_xlfn.XLOOKUP($A588,'RAWDATA Cars Buyers DB'!$A:$A,'RAWDATA Cars Buyers DB'!K:K)&gt;54,"Old ",IF(_xlfn.XLOOKUP($A588,'RAWDATA Cars Buyers DB'!$A:$A,'RAWDATA Cars Buyers DB'!K:K)&gt;=31,"Middle Age ",IF(_xlfn.XLOOKUP($A588,'RAWDATA Cars Buyers DB'!$A:$A,'RAWDATA Cars Buyers DB'!K:K)&lt;31,"Adolescent","Invalid")))</f>
        <v xml:space="preserve">Middle Age </v>
      </c>
      <c r="M588" s="8" t="str">
        <f>_xlfn.XLOOKUP($A588,'RAWDATA Cars Buyers DB'!$A:$A,'RAWDATA Cars Buyers DB'!L:L)</f>
        <v>No</v>
      </c>
    </row>
    <row r="589" spans="1:13">
      <c r="A589" s="6">
        <v>33625</v>
      </c>
      <c r="B589" s="10" t="str">
        <f>IF(_xlfn.XLOOKUP($A589,'RAWDATA Cars Buyers DB'!$A:$A,'RAWDATA Cars Buyers DB'!B:B)="S","Single","Married")</f>
        <v>Married</v>
      </c>
      <c r="C589" s="10" t="str">
        <f>IF(_xlfn.XLOOKUP($A589,'RAWDATA Cars Buyers DB'!$A:$A,'RAWDATA Cars Buyers DB'!C:C)="F","Female","Male")</f>
        <v>Female</v>
      </c>
      <c r="D589" s="7">
        <f>_xlfn.XLOOKUP($A589,'RAWDATA Cars Buyers DB'!$A:$A,'RAWDATA Cars Buyers DB'!D:D)</f>
        <v>105896</v>
      </c>
      <c r="E589" s="8">
        <f>_xlfn.XLOOKUP($A589,'RAWDATA Cars Buyers DB'!$A:$A,'RAWDATA Cars Buyers DB'!E:E)</f>
        <v>2</v>
      </c>
      <c r="F589" s="8" t="str">
        <f>_xlfn.XLOOKUP($A589,'RAWDATA Cars Buyers DB'!$A:$A,'RAWDATA Cars Buyers DB'!F:F)</f>
        <v>Graduate Degree</v>
      </c>
      <c r="G589" s="8" t="str">
        <f>_xlfn.XLOOKUP($A589,'RAWDATA Cars Buyers DB'!$A:$A,'RAWDATA Cars Buyers DB'!G:G)</f>
        <v>Professional</v>
      </c>
      <c r="H589" s="8" t="str">
        <f>_xlfn.XLOOKUP($A589,'RAWDATA Cars Buyers DB'!$A:$A,'RAWDATA Cars Buyers DB'!H:H)</f>
        <v>No</v>
      </c>
      <c r="I589" s="8" t="str">
        <f>_xlfn.XLOOKUP($A589,'RAWDATA Cars Buyers DB'!$A:$A,'RAWDATA Cars Buyers DB'!I:I)</f>
        <v>2–4 Kilometre</v>
      </c>
      <c r="J589" s="8" t="str">
        <f>_xlfn.XLOOKUP($A589,'RAWDATA Cars Buyers DB'!$A:$A,'RAWDATA Cars Buyers DB'!J:J)</f>
        <v>Lower Saxony</v>
      </c>
      <c r="K589" s="8">
        <f>_xlfn.XLOOKUP($A589,'RAWDATA Cars Buyers DB'!$A:$A,'RAWDATA Cars Buyers DB'!K:K)</f>
        <v>64</v>
      </c>
      <c r="L589" s="10" t="str">
        <f>IF(_xlfn.XLOOKUP($A589,'RAWDATA Cars Buyers DB'!$A:$A,'RAWDATA Cars Buyers DB'!K:K)&gt;54,"Old ",IF(_xlfn.XLOOKUP($A589,'RAWDATA Cars Buyers DB'!$A:$A,'RAWDATA Cars Buyers DB'!K:K)&gt;=31,"Middle Age ",IF(_xlfn.XLOOKUP($A589,'RAWDATA Cars Buyers DB'!$A:$A,'RAWDATA Cars Buyers DB'!K:K)&lt;31,"Adolescent","Invalid")))</f>
        <v xml:space="preserve">Old </v>
      </c>
      <c r="M589" s="8" t="str">
        <f>_xlfn.XLOOKUP($A589,'RAWDATA Cars Buyers DB'!$A:$A,'RAWDATA Cars Buyers DB'!L:L)</f>
        <v>No</v>
      </c>
    </row>
    <row r="590" spans="1:13">
      <c r="A590" s="6">
        <v>92873</v>
      </c>
      <c r="B590" s="10" t="str">
        <f>IF(_xlfn.XLOOKUP($A590,'RAWDATA Cars Buyers DB'!$A:$A,'RAWDATA Cars Buyers DB'!B:B)="S","Single","Married")</f>
        <v>Married</v>
      </c>
      <c r="C590" s="10" t="str">
        <f>IF(_xlfn.XLOOKUP($A590,'RAWDATA Cars Buyers DB'!$A:$A,'RAWDATA Cars Buyers DB'!C:C)="F","Female","Male")</f>
        <v>Female</v>
      </c>
      <c r="D590" s="7">
        <f>_xlfn.XLOOKUP($A590,'RAWDATA Cars Buyers DB'!$A:$A,'RAWDATA Cars Buyers DB'!D:D)</f>
        <v>38135</v>
      </c>
      <c r="E590" s="8">
        <f>_xlfn.XLOOKUP($A590,'RAWDATA Cars Buyers DB'!$A:$A,'RAWDATA Cars Buyers DB'!E:E)</f>
        <v>3</v>
      </c>
      <c r="F590" s="8" t="str">
        <f>_xlfn.XLOOKUP($A590,'RAWDATA Cars Buyers DB'!$A:$A,'RAWDATA Cars Buyers DB'!F:F)</f>
        <v>Graduate Degree</v>
      </c>
      <c r="G590" s="8" t="str">
        <f>_xlfn.XLOOKUP($A590,'RAWDATA Cars Buyers DB'!$A:$A,'RAWDATA Cars Buyers DB'!G:G)</f>
        <v>Skilled Manual</v>
      </c>
      <c r="H590" s="8" t="str">
        <f>_xlfn.XLOOKUP($A590,'RAWDATA Cars Buyers DB'!$A:$A,'RAWDATA Cars Buyers DB'!H:H)</f>
        <v>No</v>
      </c>
      <c r="I590" s="8" t="str">
        <f>_xlfn.XLOOKUP($A590,'RAWDATA Cars Buyers DB'!$A:$A,'RAWDATA Cars Buyers DB'!I:I)</f>
        <v>6+ Kilometre</v>
      </c>
      <c r="J590" s="8" t="str">
        <f>_xlfn.XLOOKUP($A590,'RAWDATA Cars Buyers DB'!$A:$A,'RAWDATA Cars Buyers DB'!J:J)</f>
        <v>Bremen</v>
      </c>
      <c r="K590" s="8">
        <f>_xlfn.XLOOKUP($A590,'RAWDATA Cars Buyers DB'!$A:$A,'RAWDATA Cars Buyers DB'!K:K)</f>
        <v>23</v>
      </c>
      <c r="L590" s="10" t="str">
        <f>IF(_xlfn.XLOOKUP($A590,'RAWDATA Cars Buyers DB'!$A:$A,'RAWDATA Cars Buyers DB'!K:K)&gt;54,"Old ",IF(_xlfn.XLOOKUP($A590,'RAWDATA Cars Buyers DB'!$A:$A,'RAWDATA Cars Buyers DB'!K:K)&gt;=31,"Middle Age ",IF(_xlfn.XLOOKUP($A590,'RAWDATA Cars Buyers DB'!$A:$A,'RAWDATA Cars Buyers DB'!K:K)&lt;31,"Adolescent","Invalid")))</f>
        <v>Adolescent</v>
      </c>
      <c r="M590" s="8" t="str">
        <f>_xlfn.XLOOKUP($A590,'RAWDATA Cars Buyers DB'!$A:$A,'RAWDATA Cars Buyers DB'!L:L)</f>
        <v>Yes</v>
      </c>
    </row>
    <row r="591" spans="1:13">
      <c r="A591" s="6">
        <v>82592</v>
      </c>
      <c r="B591" s="10" t="str">
        <f>IF(_xlfn.XLOOKUP($A591,'RAWDATA Cars Buyers DB'!$A:$A,'RAWDATA Cars Buyers DB'!B:B)="S","Single","Married")</f>
        <v>Married</v>
      </c>
      <c r="C591" s="10" t="str">
        <f>IF(_xlfn.XLOOKUP($A591,'RAWDATA Cars Buyers DB'!$A:$A,'RAWDATA Cars Buyers DB'!C:C)="F","Female","Male")</f>
        <v>Male</v>
      </c>
      <c r="D591" s="7">
        <f>_xlfn.XLOOKUP($A591,'RAWDATA Cars Buyers DB'!$A:$A,'RAWDATA Cars Buyers DB'!D:D)</f>
        <v>110887</v>
      </c>
      <c r="E591" s="8">
        <f>_xlfn.XLOOKUP($A591,'RAWDATA Cars Buyers DB'!$A:$A,'RAWDATA Cars Buyers DB'!E:E)</f>
        <v>4</v>
      </c>
      <c r="F591" s="8" t="str">
        <f>_xlfn.XLOOKUP($A591,'RAWDATA Cars Buyers DB'!$A:$A,'RAWDATA Cars Buyers DB'!F:F)</f>
        <v>Bachelors</v>
      </c>
      <c r="G591" s="8" t="str">
        <f>_xlfn.XLOOKUP($A591,'RAWDATA Cars Buyers DB'!$A:$A,'RAWDATA Cars Buyers DB'!G:G)</f>
        <v>Management</v>
      </c>
      <c r="H591" s="8" t="str">
        <f>_xlfn.XLOOKUP($A591,'RAWDATA Cars Buyers DB'!$A:$A,'RAWDATA Cars Buyers DB'!H:H)</f>
        <v>No</v>
      </c>
      <c r="I591" s="8" t="str">
        <f>_xlfn.XLOOKUP($A591,'RAWDATA Cars Buyers DB'!$A:$A,'RAWDATA Cars Buyers DB'!I:I)</f>
        <v>2–4 Kilometre</v>
      </c>
      <c r="J591" s="8" t="str">
        <f>_xlfn.XLOOKUP($A591,'RAWDATA Cars Buyers DB'!$A:$A,'RAWDATA Cars Buyers DB'!J:J)</f>
        <v>North Rhine-Westphalia</v>
      </c>
      <c r="K591" s="8">
        <f>_xlfn.XLOOKUP($A591,'RAWDATA Cars Buyers DB'!$A:$A,'RAWDATA Cars Buyers DB'!K:K)</f>
        <v>41</v>
      </c>
      <c r="L591" s="10" t="str">
        <f>IF(_xlfn.XLOOKUP($A591,'RAWDATA Cars Buyers DB'!$A:$A,'RAWDATA Cars Buyers DB'!K:K)&gt;54,"Old ",IF(_xlfn.XLOOKUP($A591,'RAWDATA Cars Buyers DB'!$A:$A,'RAWDATA Cars Buyers DB'!K:K)&gt;=31,"Middle Age ",IF(_xlfn.XLOOKUP($A591,'RAWDATA Cars Buyers DB'!$A:$A,'RAWDATA Cars Buyers DB'!K:K)&lt;31,"Adolescent","Invalid")))</f>
        <v xml:space="preserve">Middle Age </v>
      </c>
      <c r="M591" s="8" t="str">
        <f>_xlfn.XLOOKUP($A591,'RAWDATA Cars Buyers DB'!$A:$A,'RAWDATA Cars Buyers DB'!L:L)</f>
        <v>No</v>
      </c>
    </row>
    <row r="592" spans="1:13">
      <c r="A592" s="6">
        <v>87052</v>
      </c>
      <c r="B592" s="10" t="str">
        <f>IF(_xlfn.XLOOKUP($A592,'RAWDATA Cars Buyers DB'!$A:$A,'RAWDATA Cars Buyers DB'!B:B)="S","Single","Married")</f>
        <v>Married</v>
      </c>
      <c r="C592" s="10" t="str">
        <f>IF(_xlfn.XLOOKUP($A592,'RAWDATA Cars Buyers DB'!$A:$A,'RAWDATA Cars Buyers DB'!C:C)="F","Female","Male")</f>
        <v>Male</v>
      </c>
      <c r="D592" s="7">
        <f>_xlfn.XLOOKUP($A592,'RAWDATA Cars Buyers DB'!$A:$A,'RAWDATA Cars Buyers DB'!D:D)</f>
        <v>116035</v>
      </c>
      <c r="E592" s="8">
        <f>_xlfn.XLOOKUP($A592,'RAWDATA Cars Buyers DB'!$A:$A,'RAWDATA Cars Buyers DB'!E:E)</f>
        <v>2</v>
      </c>
      <c r="F592" s="8" t="str">
        <f>_xlfn.XLOOKUP($A592,'RAWDATA Cars Buyers DB'!$A:$A,'RAWDATA Cars Buyers DB'!F:F)</f>
        <v>Partial College</v>
      </c>
      <c r="G592" s="8" t="str">
        <f>_xlfn.XLOOKUP($A592,'RAWDATA Cars Buyers DB'!$A:$A,'RAWDATA Cars Buyers DB'!G:G)</f>
        <v>Professional</v>
      </c>
      <c r="H592" s="8" t="str">
        <f>_xlfn.XLOOKUP($A592,'RAWDATA Cars Buyers DB'!$A:$A,'RAWDATA Cars Buyers DB'!H:H)</f>
        <v>Yes</v>
      </c>
      <c r="I592" s="8" t="str">
        <f>_xlfn.XLOOKUP($A592,'RAWDATA Cars Buyers DB'!$A:$A,'RAWDATA Cars Buyers DB'!I:I)</f>
        <v>6+ Kilometre</v>
      </c>
      <c r="J592" s="8" t="str">
        <f>_xlfn.XLOOKUP($A592,'RAWDATA Cars Buyers DB'!$A:$A,'RAWDATA Cars Buyers DB'!J:J)</f>
        <v>Berlin</v>
      </c>
      <c r="K592" s="8">
        <f>_xlfn.XLOOKUP($A592,'RAWDATA Cars Buyers DB'!$A:$A,'RAWDATA Cars Buyers DB'!K:K)</f>
        <v>45</v>
      </c>
      <c r="L592" s="10" t="str">
        <f>IF(_xlfn.XLOOKUP($A592,'RAWDATA Cars Buyers DB'!$A:$A,'RAWDATA Cars Buyers DB'!K:K)&gt;54,"Old ",IF(_xlfn.XLOOKUP($A592,'RAWDATA Cars Buyers DB'!$A:$A,'RAWDATA Cars Buyers DB'!K:K)&gt;=31,"Middle Age ",IF(_xlfn.XLOOKUP($A592,'RAWDATA Cars Buyers DB'!$A:$A,'RAWDATA Cars Buyers DB'!K:K)&lt;31,"Adolescent","Invalid")))</f>
        <v xml:space="preserve">Middle Age </v>
      </c>
      <c r="M592" s="8" t="str">
        <f>_xlfn.XLOOKUP($A592,'RAWDATA Cars Buyers DB'!$A:$A,'RAWDATA Cars Buyers DB'!L:L)</f>
        <v>Yes</v>
      </c>
    </row>
    <row r="593" spans="1:13">
      <c r="A593" s="6">
        <v>54261</v>
      </c>
      <c r="B593" s="10" t="str">
        <f>IF(_xlfn.XLOOKUP($A593,'RAWDATA Cars Buyers DB'!$A:$A,'RAWDATA Cars Buyers DB'!B:B)="S","Single","Married")</f>
        <v>Married</v>
      </c>
      <c r="C593" s="10" t="str">
        <f>IF(_xlfn.XLOOKUP($A593,'RAWDATA Cars Buyers DB'!$A:$A,'RAWDATA Cars Buyers DB'!C:C)="F","Female","Male")</f>
        <v>Female</v>
      </c>
      <c r="D593" s="7">
        <f>_xlfn.XLOOKUP($A593,'RAWDATA Cars Buyers DB'!$A:$A,'RAWDATA Cars Buyers DB'!D:D)</f>
        <v>67377</v>
      </c>
      <c r="E593" s="8">
        <f>_xlfn.XLOOKUP($A593,'RAWDATA Cars Buyers DB'!$A:$A,'RAWDATA Cars Buyers DB'!E:E)</f>
        <v>3</v>
      </c>
      <c r="F593" s="8" t="str">
        <f>_xlfn.XLOOKUP($A593,'RAWDATA Cars Buyers DB'!$A:$A,'RAWDATA Cars Buyers DB'!F:F)</f>
        <v>High School</v>
      </c>
      <c r="G593" s="8" t="str">
        <f>_xlfn.XLOOKUP($A593,'RAWDATA Cars Buyers DB'!$A:$A,'RAWDATA Cars Buyers DB'!G:G)</f>
        <v>Management</v>
      </c>
      <c r="H593" s="8" t="str">
        <f>_xlfn.XLOOKUP($A593,'RAWDATA Cars Buyers DB'!$A:$A,'RAWDATA Cars Buyers DB'!H:H)</f>
        <v>Yes</v>
      </c>
      <c r="I593" s="8" t="str">
        <f>_xlfn.XLOOKUP($A593,'RAWDATA Cars Buyers DB'!$A:$A,'RAWDATA Cars Buyers DB'!I:I)</f>
        <v>1–2 Kilometre</v>
      </c>
      <c r="J593" s="8" t="str">
        <f>_xlfn.XLOOKUP($A593,'RAWDATA Cars Buyers DB'!$A:$A,'RAWDATA Cars Buyers DB'!J:J)</f>
        <v>Schleswig-Holstein</v>
      </c>
      <c r="K593" s="8">
        <f>_xlfn.XLOOKUP($A593,'RAWDATA Cars Buyers DB'!$A:$A,'RAWDATA Cars Buyers DB'!K:K)</f>
        <v>51</v>
      </c>
      <c r="L593" s="10" t="str">
        <f>IF(_xlfn.XLOOKUP($A593,'RAWDATA Cars Buyers DB'!$A:$A,'RAWDATA Cars Buyers DB'!K:K)&gt;54,"Old ",IF(_xlfn.XLOOKUP($A593,'RAWDATA Cars Buyers DB'!$A:$A,'RAWDATA Cars Buyers DB'!K:K)&gt;=31,"Middle Age ",IF(_xlfn.XLOOKUP($A593,'RAWDATA Cars Buyers DB'!$A:$A,'RAWDATA Cars Buyers DB'!K:K)&lt;31,"Adolescent","Invalid")))</f>
        <v xml:space="preserve">Middle Age </v>
      </c>
      <c r="M593" s="8" t="str">
        <f>_xlfn.XLOOKUP($A593,'RAWDATA Cars Buyers DB'!$A:$A,'RAWDATA Cars Buyers DB'!L:L)</f>
        <v>No</v>
      </c>
    </row>
    <row r="594" spans="1:13">
      <c r="A594" s="6">
        <v>11542</v>
      </c>
      <c r="B594" s="10" t="str">
        <f>IF(_xlfn.XLOOKUP($A594,'RAWDATA Cars Buyers DB'!$A:$A,'RAWDATA Cars Buyers DB'!B:B)="S","Single","Married")</f>
        <v>Married</v>
      </c>
      <c r="C594" s="10" t="str">
        <f>IF(_xlfn.XLOOKUP($A594,'RAWDATA Cars Buyers DB'!$A:$A,'RAWDATA Cars Buyers DB'!C:C)="F","Female","Male")</f>
        <v>Female</v>
      </c>
      <c r="D594" s="7">
        <f>_xlfn.XLOOKUP($A594,'RAWDATA Cars Buyers DB'!$A:$A,'RAWDATA Cars Buyers DB'!D:D)</f>
        <v>43554</v>
      </c>
      <c r="E594" s="8">
        <f>_xlfn.XLOOKUP($A594,'RAWDATA Cars Buyers DB'!$A:$A,'RAWDATA Cars Buyers DB'!E:E)</f>
        <v>0</v>
      </c>
      <c r="F594" s="8" t="str">
        <f>_xlfn.XLOOKUP($A594,'RAWDATA Cars Buyers DB'!$A:$A,'RAWDATA Cars Buyers DB'!F:F)</f>
        <v>Graduate Degree</v>
      </c>
      <c r="G594" s="8" t="str">
        <f>_xlfn.XLOOKUP($A594,'RAWDATA Cars Buyers DB'!$A:$A,'RAWDATA Cars Buyers DB'!G:G)</f>
        <v>Management</v>
      </c>
      <c r="H594" s="8" t="str">
        <f>_xlfn.XLOOKUP($A594,'RAWDATA Cars Buyers DB'!$A:$A,'RAWDATA Cars Buyers DB'!H:H)</f>
        <v>No</v>
      </c>
      <c r="I594" s="8" t="str">
        <f>_xlfn.XLOOKUP($A594,'RAWDATA Cars Buyers DB'!$A:$A,'RAWDATA Cars Buyers DB'!I:I)</f>
        <v>1–2 Kilometre</v>
      </c>
      <c r="J594" s="8" t="str">
        <f>_xlfn.XLOOKUP($A594,'RAWDATA Cars Buyers DB'!$A:$A,'RAWDATA Cars Buyers DB'!J:J)</f>
        <v>Baden-Württemberg</v>
      </c>
      <c r="K594" s="8">
        <f>_xlfn.XLOOKUP($A594,'RAWDATA Cars Buyers DB'!$A:$A,'RAWDATA Cars Buyers DB'!K:K)</f>
        <v>43</v>
      </c>
      <c r="L594" s="10" t="str">
        <f>IF(_xlfn.XLOOKUP($A594,'RAWDATA Cars Buyers DB'!$A:$A,'RAWDATA Cars Buyers DB'!K:K)&gt;54,"Old ",IF(_xlfn.XLOOKUP($A594,'RAWDATA Cars Buyers DB'!$A:$A,'RAWDATA Cars Buyers DB'!K:K)&gt;=31,"Middle Age ",IF(_xlfn.XLOOKUP($A594,'RAWDATA Cars Buyers DB'!$A:$A,'RAWDATA Cars Buyers DB'!K:K)&lt;31,"Adolescent","Invalid")))</f>
        <v xml:space="preserve">Middle Age </v>
      </c>
      <c r="M594" s="8" t="str">
        <f>_xlfn.XLOOKUP($A594,'RAWDATA Cars Buyers DB'!$A:$A,'RAWDATA Cars Buyers DB'!L:L)</f>
        <v>Yes</v>
      </c>
    </row>
    <row r="595" spans="1:13">
      <c r="A595" s="6">
        <v>31677</v>
      </c>
      <c r="B595" s="10" t="str">
        <f>IF(_xlfn.XLOOKUP($A595,'RAWDATA Cars Buyers DB'!$A:$A,'RAWDATA Cars Buyers DB'!B:B)="S","Single","Married")</f>
        <v>Single</v>
      </c>
      <c r="C595" s="10" t="str">
        <f>IF(_xlfn.XLOOKUP($A595,'RAWDATA Cars Buyers DB'!$A:$A,'RAWDATA Cars Buyers DB'!C:C)="F","Female","Male")</f>
        <v>Male</v>
      </c>
      <c r="D595" s="7">
        <f>_xlfn.XLOOKUP($A595,'RAWDATA Cars Buyers DB'!$A:$A,'RAWDATA Cars Buyers DB'!D:D)</f>
        <v>82491</v>
      </c>
      <c r="E595" s="8">
        <f>_xlfn.XLOOKUP($A595,'RAWDATA Cars Buyers DB'!$A:$A,'RAWDATA Cars Buyers DB'!E:E)</f>
        <v>3</v>
      </c>
      <c r="F595" s="8" t="str">
        <f>_xlfn.XLOOKUP($A595,'RAWDATA Cars Buyers DB'!$A:$A,'RAWDATA Cars Buyers DB'!F:F)</f>
        <v>Partial College</v>
      </c>
      <c r="G595" s="8" t="str">
        <f>_xlfn.XLOOKUP($A595,'RAWDATA Cars Buyers DB'!$A:$A,'RAWDATA Cars Buyers DB'!G:G)</f>
        <v>Management</v>
      </c>
      <c r="H595" s="8" t="str">
        <f>_xlfn.XLOOKUP($A595,'RAWDATA Cars Buyers DB'!$A:$A,'RAWDATA Cars Buyers DB'!H:H)</f>
        <v>Yes</v>
      </c>
      <c r="I595" s="8" t="str">
        <f>_xlfn.XLOOKUP($A595,'RAWDATA Cars Buyers DB'!$A:$A,'RAWDATA Cars Buyers DB'!I:I)</f>
        <v>1–2 Kilometre</v>
      </c>
      <c r="J595" s="8" t="str">
        <f>_xlfn.XLOOKUP($A595,'RAWDATA Cars Buyers DB'!$A:$A,'RAWDATA Cars Buyers DB'!J:J)</f>
        <v>Hamburg</v>
      </c>
      <c r="K595" s="8">
        <f>_xlfn.XLOOKUP($A595,'RAWDATA Cars Buyers DB'!$A:$A,'RAWDATA Cars Buyers DB'!K:K)</f>
        <v>65</v>
      </c>
      <c r="L595" s="10" t="str">
        <f>IF(_xlfn.XLOOKUP($A595,'RAWDATA Cars Buyers DB'!$A:$A,'RAWDATA Cars Buyers DB'!K:K)&gt;54,"Old ",IF(_xlfn.XLOOKUP($A595,'RAWDATA Cars Buyers DB'!$A:$A,'RAWDATA Cars Buyers DB'!K:K)&gt;=31,"Middle Age ",IF(_xlfn.XLOOKUP($A595,'RAWDATA Cars Buyers DB'!$A:$A,'RAWDATA Cars Buyers DB'!K:K)&lt;31,"Adolescent","Invalid")))</f>
        <v xml:space="preserve">Old </v>
      </c>
      <c r="M595" s="8" t="str">
        <f>_xlfn.XLOOKUP($A595,'RAWDATA Cars Buyers DB'!$A:$A,'RAWDATA Cars Buyers DB'!L:L)</f>
        <v>No</v>
      </c>
    </row>
    <row r="596" spans="1:13">
      <c r="A596" s="6">
        <v>56732</v>
      </c>
      <c r="B596" s="10" t="str">
        <f>IF(_xlfn.XLOOKUP($A596,'RAWDATA Cars Buyers DB'!$A:$A,'RAWDATA Cars Buyers DB'!B:B)="S","Single","Married")</f>
        <v>Married</v>
      </c>
      <c r="C596" s="10" t="str">
        <f>IF(_xlfn.XLOOKUP($A596,'RAWDATA Cars Buyers DB'!$A:$A,'RAWDATA Cars Buyers DB'!C:C)="F","Female","Male")</f>
        <v>Female</v>
      </c>
      <c r="D596" s="7">
        <f>_xlfn.XLOOKUP($A596,'RAWDATA Cars Buyers DB'!$A:$A,'RAWDATA Cars Buyers DB'!D:D)</f>
        <v>75621</v>
      </c>
      <c r="E596" s="8">
        <f>_xlfn.XLOOKUP($A596,'RAWDATA Cars Buyers DB'!$A:$A,'RAWDATA Cars Buyers DB'!E:E)</f>
        <v>5</v>
      </c>
      <c r="F596" s="8" t="str">
        <f>_xlfn.XLOOKUP($A596,'RAWDATA Cars Buyers DB'!$A:$A,'RAWDATA Cars Buyers DB'!F:F)</f>
        <v>High School</v>
      </c>
      <c r="G596" s="8" t="str">
        <f>_xlfn.XLOOKUP($A596,'RAWDATA Cars Buyers DB'!$A:$A,'RAWDATA Cars Buyers DB'!G:G)</f>
        <v>Professional</v>
      </c>
      <c r="H596" s="8" t="str">
        <f>_xlfn.XLOOKUP($A596,'RAWDATA Cars Buyers DB'!$A:$A,'RAWDATA Cars Buyers DB'!H:H)</f>
        <v>Yes</v>
      </c>
      <c r="I596" s="8" t="str">
        <f>_xlfn.XLOOKUP($A596,'RAWDATA Cars Buyers DB'!$A:$A,'RAWDATA Cars Buyers DB'!I:I)</f>
        <v>2–4 Kilometre</v>
      </c>
      <c r="J596" s="8" t="str">
        <f>_xlfn.XLOOKUP($A596,'RAWDATA Cars Buyers DB'!$A:$A,'RAWDATA Cars Buyers DB'!J:J)</f>
        <v>Saxony</v>
      </c>
      <c r="K596" s="8">
        <f>_xlfn.XLOOKUP($A596,'RAWDATA Cars Buyers DB'!$A:$A,'RAWDATA Cars Buyers DB'!K:K)</f>
        <v>54</v>
      </c>
      <c r="L596" s="10" t="str">
        <f>IF(_xlfn.XLOOKUP($A596,'RAWDATA Cars Buyers DB'!$A:$A,'RAWDATA Cars Buyers DB'!K:K)&gt;54,"Old ",IF(_xlfn.XLOOKUP($A596,'RAWDATA Cars Buyers DB'!$A:$A,'RAWDATA Cars Buyers DB'!K:K)&gt;=31,"Middle Age ",IF(_xlfn.XLOOKUP($A596,'RAWDATA Cars Buyers DB'!$A:$A,'RAWDATA Cars Buyers DB'!K:K)&lt;31,"Adolescent","Invalid")))</f>
        <v xml:space="preserve">Middle Age </v>
      </c>
      <c r="M596" s="8" t="str">
        <f>_xlfn.XLOOKUP($A596,'RAWDATA Cars Buyers DB'!$A:$A,'RAWDATA Cars Buyers DB'!L:L)</f>
        <v>Yes</v>
      </c>
    </row>
    <row r="597" spans="1:13">
      <c r="A597" s="6">
        <v>60343</v>
      </c>
      <c r="B597" s="10" t="str">
        <f>IF(_xlfn.XLOOKUP($A597,'RAWDATA Cars Buyers DB'!$A:$A,'RAWDATA Cars Buyers DB'!B:B)="S","Single","Married")</f>
        <v>Single</v>
      </c>
      <c r="C597" s="10" t="str">
        <f>IF(_xlfn.XLOOKUP($A597,'RAWDATA Cars Buyers DB'!$A:$A,'RAWDATA Cars Buyers DB'!C:C)="F","Female","Male")</f>
        <v>Female</v>
      </c>
      <c r="D597" s="7">
        <f>_xlfn.XLOOKUP($A597,'RAWDATA Cars Buyers DB'!$A:$A,'RAWDATA Cars Buyers DB'!D:D)</f>
        <v>78283</v>
      </c>
      <c r="E597" s="8">
        <f>_xlfn.XLOOKUP($A597,'RAWDATA Cars Buyers DB'!$A:$A,'RAWDATA Cars Buyers DB'!E:E)</f>
        <v>4</v>
      </c>
      <c r="F597" s="8" t="str">
        <f>_xlfn.XLOOKUP($A597,'RAWDATA Cars Buyers DB'!$A:$A,'RAWDATA Cars Buyers DB'!F:F)</f>
        <v>Graduate Degree</v>
      </c>
      <c r="G597" s="8" t="str">
        <f>_xlfn.XLOOKUP($A597,'RAWDATA Cars Buyers DB'!$A:$A,'RAWDATA Cars Buyers DB'!G:G)</f>
        <v>Clerical</v>
      </c>
      <c r="H597" s="8" t="str">
        <f>_xlfn.XLOOKUP($A597,'RAWDATA Cars Buyers DB'!$A:$A,'RAWDATA Cars Buyers DB'!H:H)</f>
        <v>No</v>
      </c>
      <c r="I597" s="8" t="str">
        <f>_xlfn.XLOOKUP($A597,'RAWDATA Cars Buyers DB'!$A:$A,'RAWDATA Cars Buyers DB'!I:I)</f>
        <v>0–1 Kilometre</v>
      </c>
      <c r="J597" s="8" t="str">
        <f>_xlfn.XLOOKUP($A597,'RAWDATA Cars Buyers DB'!$A:$A,'RAWDATA Cars Buyers DB'!J:J)</f>
        <v>Saarland</v>
      </c>
      <c r="K597" s="8">
        <f>_xlfn.XLOOKUP($A597,'RAWDATA Cars Buyers DB'!$A:$A,'RAWDATA Cars Buyers DB'!K:K)</f>
        <v>56</v>
      </c>
      <c r="L597" s="10" t="str">
        <f>IF(_xlfn.XLOOKUP($A597,'RAWDATA Cars Buyers DB'!$A:$A,'RAWDATA Cars Buyers DB'!K:K)&gt;54,"Old ",IF(_xlfn.XLOOKUP($A597,'RAWDATA Cars Buyers DB'!$A:$A,'RAWDATA Cars Buyers DB'!K:K)&gt;=31,"Middle Age ",IF(_xlfn.XLOOKUP($A597,'RAWDATA Cars Buyers DB'!$A:$A,'RAWDATA Cars Buyers DB'!K:K)&lt;31,"Adolescent","Invalid")))</f>
        <v xml:space="preserve">Old </v>
      </c>
      <c r="M597" s="8" t="str">
        <f>_xlfn.XLOOKUP($A597,'RAWDATA Cars Buyers DB'!$A:$A,'RAWDATA Cars Buyers DB'!L:L)</f>
        <v>No</v>
      </c>
    </row>
    <row r="598" spans="1:13">
      <c r="A598" s="6">
        <v>49081</v>
      </c>
      <c r="B598" s="10" t="str">
        <f>IF(_xlfn.XLOOKUP($A598,'RAWDATA Cars Buyers DB'!$A:$A,'RAWDATA Cars Buyers DB'!B:B)="S","Single","Married")</f>
        <v>Married</v>
      </c>
      <c r="C598" s="10" t="str">
        <f>IF(_xlfn.XLOOKUP($A598,'RAWDATA Cars Buyers DB'!$A:$A,'RAWDATA Cars Buyers DB'!C:C)="F","Female","Male")</f>
        <v>Female</v>
      </c>
      <c r="D598" s="7">
        <f>_xlfn.XLOOKUP($A598,'RAWDATA Cars Buyers DB'!$A:$A,'RAWDATA Cars Buyers DB'!D:D)</f>
        <v>105140</v>
      </c>
      <c r="E598" s="8">
        <f>_xlfn.XLOOKUP($A598,'RAWDATA Cars Buyers DB'!$A:$A,'RAWDATA Cars Buyers DB'!E:E)</f>
        <v>1</v>
      </c>
      <c r="F598" s="8" t="str">
        <f>_xlfn.XLOOKUP($A598,'RAWDATA Cars Buyers DB'!$A:$A,'RAWDATA Cars Buyers DB'!F:F)</f>
        <v>Graduate Degree</v>
      </c>
      <c r="G598" s="8" t="str">
        <f>_xlfn.XLOOKUP($A598,'RAWDATA Cars Buyers DB'!$A:$A,'RAWDATA Cars Buyers DB'!G:G)</f>
        <v>Professional</v>
      </c>
      <c r="H598" s="8" t="str">
        <f>_xlfn.XLOOKUP($A598,'RAWDATA Cars Buyers DB'!$A:$A,'RAWDATA Cars Buyers DB'!H:H)</f>
        <v>Yes</v>
      </c>
      <c r="I598" s="8" t="str">
        <f>_xlfn.XLOOKUP($A598,'RAWDATA Cars Buyers DB'!$A:$A,'RAWDATA Cars Buyers DB'!I:I)</f>
        <v>2–4 Kilometre</v>
      </c>
      <c r="J598" s="8" t="str">
        <f>_xlfn.XLOOKUP($A598,'RAWDATA Cars Buyers DB'!$A:$A,'RAWDATA Cars Buyers DB'!J:J)</f>
        <v>Baden-Württemberg</v>
      </c>
      <c r="K598" s="8">
        <f>_xlfn.XLOOKUP($A598,'RAWDATA Cars Buyers DB'!$A:$A,'RAWDATA Cars Buyers DB'!K:K)</f>
        <v>51</v>
      </c>
      <c r="L598" s="10" t="str">
        <f>IF(_xlfn.XLOOKUP($A598,'RAWDATA Cars Buyers DB'!$A:$A,'RAWDATA Cars Buyers DB'!K:K)&gt;54,"Old ",IF(_xlfn.XLOOKUP($A598,'RAWDATA Cars Buyers DB'!$A:$A,'RAWDATA Cars Buyers DB'!K:K)&gt;=31,"Middle Age ",IF(_xlfn.XLOOKUP($A598,'RAWDATA Cars Buyers DB'!$A:$A,'RAWDATA Cars Buyers DB'!K:K)&lt;31,"Adolescent","Invalid")))</f>
        <v xml:space="preserve">Middle Age </v>
      </c>
      <c r="M598" s="8" t="str">
        <f>_xlfn.XLOOKUP($A598,'RAWDATA Cars Buyers DB'!$A:$A,'RAWDATA Cars Buyers DB'!L:L)</f>
        <v>Yes</v>
      </c>
    </row>
    <row r="599" spans="1:13">
      <c r="A599" s="6">
        <v>72856</v>
      </c>
      <c r="B599" s="10" t="str">
        <f>IF(_xlfn.XLOOKUP($A599,'RAWDATA Cars Buyers DB'!$A:$A,'RAWDATA Cars Buyers DB'!B:B)="S","Single","Married")</f>
        <v>Single</v>
      </c>
      <c r="C599" s="10" t="str">
        <f>IF(_xlfn.XLOOKUP($A599,'RAWDATA Cars Buyers DB'!$A:$A,'RAWDATA Cars Buyers DB'!C:C)="F","Female","Male")</f>
        <v>Female</v>
      </c>
      <c r="D599" s="7">
        <f>_xlfn.XLOOKUP($A599,'RAWDATA Cars Buyers DB'!$A:$A,'RAWDATA Cars Buyers DB'!D:D)</f>
        <v>36923</v>
      </c>
      <c r="E599" s="8">
        <f>_xlfn.XLOOKUP($A599,'RAWDATA Cars Buyers DB'!$A:$A,'RAWDATA Cars Buyers DB'!E:E)</f>
        <v>0</v>
      </c>
      <c r="F599" s="8" t="str">
        <f>_xlfn.XLOOKUP($A599,'RAWDATA Cars Buyers DB'!$A:$A,'RAWDATA Cars Buyers DB'!F:F)</f>
        <v>Bachelors</v>
      </c>
      <c r="G599" s="8" t="str">
        <f>_xlfn.XLOOKUP($A599,'RAWDATA Cars Buyers DB'!$A:$A,'RAWDATA Cars Buyers DB'!G:G)</f>
        <v>Management</v>
      </c>
      <c r="H599" s="8" t="str">
        <f>_xlfn.XLOOKUP($A599,'RAWDATA Cars Buyers DB'!$A:$A,'RAWDATA Cars Buyers DB'!H:H)</f>
        <v>Yes</v>
      </c>
      <c r="I599" s="8" t="str">
        <f>_xlfn.XLOOKUP($A599,'RAWDATA Cars Buyers DB'!$A:$A,'RAWDATA Cars Buyers DB'!I:I)</f>
        <v>2–4 Kilometre</v>
      </c>
      <c r="J599" s="8" t="str">
        <f>_xlfn.XLOOKUP($A599,'RAWDATA Cars Buyers DB'!$A:$A,'RAWDATA Cars Buyers DB'!J:J)</f>
        <v>Thuringia</v>
      </c>
      <c r="K599" s="8">
        <f>_xlfn.XLOOKUP($A599,'RAWDATA Cars Buyers DB'!$A:$A,'RAWDATA Cars Buyers DB'!K:K)</f>
        <v>26</v>
      </c>
      <c r="L599" s="10" t="str">
        <f>IF(_xlfn.XLOOKUP($A599,'RAWDATA Cars Buyers DB'!$A:$A,'RAWDATA Cars Buyers DB'!K:K)&gt;54,"Old ",IF(_xlfn.XLOOKUP($A599,'RAWDATA Cars Buyers DB'!$A:$A,'RAWDATA Cars Buyers DB'!K:K)&gt;=31,"Middle Age ",IF(_xlfn.XLOOKUP($A599,'RAWDATA Cars Buyers DB'!$A:$A,'RAWDATA Cars Buyers DB'!K:K)&lt;31,"Adolescent","Invalid")))</f>
        <v>Adolescent</v>
      </c>
      <c r="M599" s="8" t="str">
        <f>_xlfn.XLOOKUP($A599,'RAWDATA Cars Buyers DB'!$A:$A,'RAWDATA Cars Buyers DB'!L:L)</f>
        <v>Yes</v>
      </c>
    </row>
    <row r="600" spans="1:13">
      <c r="A600" s="6">
        <v>98858</v>
      </c>
      <c r="B600" s="10" t="str">
        <f>IF(_xlfn.XLOOKUP($A600,'RAWDATA Cars Buyers DB'!$A:$A,'RAWDATA Cars Buyers DB'!B:B)="S","Single","Married")</f>
        <v>Single</v>
      </c>
      <c r="C600" s="10" t="str">
        <f>IF(_xlfn.XLOOKUP($A600,'RAWDATA Cars Buyers DB'!$A:$A,'RAWDATA Cars Buyers DB'!C:C)="F","Female","Male")</f>
        <v>Male</v>
      </c>
      <c r="D600" s="7">
        <f>_xlfn.XLOOKUP($A600,'RAWDATA Cars Buyers DB'!$A:$A,'RAWDATA Cars Buyers DB'!D:D)</f>
        <v>67591</v>
      </c>
      <c r="E600" s="8">
        <f>_xlfn.XLOOKUP($A600,'RAWDATA Cars Buyers DB'!$A:$A,'RAWDATA Cars Buyers DB'!E:E)</f>
        <v>2</v>
      </c>
      <c r="F600" s="8" t="str">
        <f>_xlfn.XLOOKUP($A600,'RAWDATA Cars Buyers DB'!$A:$A,'RAWDATA Cars Buyers DB'!F:F)</f>
        <v>High School</v>
      </c>
      <c r="G600" s="8" t="str">
        <f>_xlfn.XLOOKUP($A600,'RAWDATA Cars Buyers DB'!$A:$A,'RAWDATA Cars Buyers DB'!G:G)</f>
        <v>Professional</v>
      </c>
      <c r="H600" s="8" t="str">
        <f>_xlfn.XLOOKUP($A600,'RAWDATA Cars Buyers DB'!$A:$A,'RAWDATA Cars Buyers DB'!H:H)</f>
        <v>No</v>
      </c>
      <c r="I600" s="8" t="str">
        <f>_xlfn.XLOOKUP($A600,'RAWDATA Cars Buyers DB'!$A:$A,'RAWDATA Cars Buyers DB'!I:I)</f>
        <v>4–6 Kilometre</v>
      </c>
      <c r="J600" s="8" t="str">
        <f>_xlfn.XLOOKUP($A600,'RAWDATA Cars Buyers DB'!$A:$A,'RAWDATA Cars Buyers DB'!J:J)</f>
        <v>Saarland</v>
      </c>
      <c r="K600" s="8">
        <f>_xlfn.XLOOKUP($A600,'RAWDATA Cars Buyers DB'!$A:$A,'RAWDATA Cars Buyers DB'!K:K)</f>
        <v>52</v>
      </c>
      <c r="L600" s="10" t="str">
        <f>IF(_xlfn.XLOOKUP($A600,'RAWDATA Cars Buyers DB'!$A:$A,'RAWDATA Cars Buyers DB'!K:K)&gt;54,"Old ",IF(_xlfn.XLOOKUP($A600,'RAWDATA Cars Buyers DB'!$A:$A,'RAWDATA Cars Buyers DB'!K:K)&gt;=31,"Middle Age ",IF(_xlfn.XLOOKUP($A600,'RAWDATA Cars Buyers DB'!$A:$A,'RAWDATA Cars Buyers DB'!K:K)&lt;31,"Adolescent","Invalid")))</f>
        <v xml:space="preserve">Middle Age </v>
      </c>
      <c r="M600" s="8" t="str">
        <f>_xlfn.XLOOKUP($A600,'RAWDATA Cars Buyers DB'!$A:$A,'RAWDATA Cars Buyers DB'!L:L)</f>
        <v>No</v>
      </c>
    </row>
    <row r="601" spans="1:13">
      <c r="A601" s="6">
        <v>29065</v>
      </c>
      <c r="B601" s="10" t="str">
        <f>IF(_xlfn.XLOOKUP($A601,'RAWDATA Cars Buyers DB'!$A:$A,'RAWDATA Cars Buyers DB'!B:B)="S","Single","Married")</f>
        <v>Single</v>
      </c>
      <c r="C601" s="10" t="str">
        <f>IF(_xlfn.XLOOKUP($A601,'RAWDATA Cars Buyers DB'!$A:$A,'RAWDATA Cars Buyers DB'!C:C)="F","Female","Male")</f>
        <v>Female</v>
      </c>
      <c r="D601" s="7">
        <f>_xlfn.XLOOKUP($A601,'RAWDATA Cars Buyers DB'!$A:$A,'RAWDATA Cars Buyers DB'!D:D)</f>
        <v>82261</v>
      </c>
      <c r="E601" s="8">
        <f>_xlfn.XLOOKUP($A601,'RAWDATA Cars Buyers DB'!$A:$A,'RAWDATA Cars Buyers DB'!E:E)</f>
        <v>4</v>
      </c>
      <c r="F601" s="8" t="str">
        <f>_xlfn.XLOOKUP($A601,'RAWDATA Cars Buyers DB'!$A:$A,'RAWDATA Cars Buyers DB'!F:F)</f>
        <v>Partial College</v>
      </c>
      <c r="G601" s="8" t="str">
        <f>_xlfn.XLOOKUP($A601,'RAWDATA Cars Buyers DB'!$A:$A,'RAWDATA Cars Buyers DB'!G:G)</f>
        <v>Management</v>
      </c>
      <c r="H601" s="8" t="str">
        <f>_xlfn.XLOOKUP($A601,'RAWDATA Cars Buyers DB'!$A:$A,'RAWDATA Cars Buyers DB'!H:H)</f>
        <v>No</v>
      </c>
      <c r="I601" s="8" t="str">
        <f>_xlfn.XLOOKUP($A601,'RAWDATA Cars Buyers DB'!$A:$A,'RAWDATA Cars Buyers DB'!I:I)</f>
        <v>4–6 Kilometre</v>
      </c>
      <c r="J601" s="8" t="str">
        <f>_xlfn.XLOOKUP($A601,'RAWDATA Cars Buyers DB'!$A:$A,'RAWDATA Cars Buyers DB'!J:J)</f>
        <v>Brandenburg</v>
      </c>
      <c r="K601" s="8">
        <f>_xlfn.XLOOKUP($A601,'RAWDATA Cars Buyers DB'!$A:$A,'RAWDATA Cars Buyers DB'!K:K)</f>
        <v>50</v>
      </c>
      <c r="L601" s="10" t="str">
        <f>IF(_xlfn.XLOOKUP($A601,'RAWDATA Cars Buyers DB'!$A:$A,'RAWDATA Cars Buyers DB'!K:K)&gt;54,"Old ",IF(_xlfn.XLOOKUP($A601,'RAWDATA Cars Buyers DB'!$A:$A,'RAWDATA Cars Buyers DB'!K:K)&gt;=31,"Middle Age ",IF(_xlfn.XLOOKUP($A601,'RAWDATA Cars Buyers DB'!$A:$A,'RAWDATA Cars Buyers DB'!K:K)&lt;31,"Adolescent","Invalid")))</f>
        <v xml:space="preserve">Middle Age </v>
      </c>
      <c r="M601" s="8" t="str">
        <f>_xlfn.XLOOKUP($A601,'RAWDATA Cars Buyers DB'!$A:$A,'RAWDATA Cars Buyers DB'!L:L)</f>
        <v>Yes</v>
      </c>
    </row>
    <row r="602" spans="1:13">
      <c r="A602" s="6">
        <v>93460</v>
      </c>
      <c r="B602" s="10" t="str">
        <f>IF(_xlfn.XLOOKUP($A602,'RAWDATA Cars Buyers DB'!$A:$A,'RAWDATA Cars Buyers DB'!B:B)="S","Single","Married")</f>
        <v>Single</v>
      </c>
      <c r="C602" s="10" t="str">
        <f>IF(_xlfn.XLOOKUP($A602,'RAWDATA Cars Buyers DB'!$A:$A,'RAWDATA Cars Buyers DB'!C:C)="F","Female","Male")</f>
        <v>Female</v>
      </c>
      <c r="D602" s="7">
        <f>_xlfn.XLOOKUP($A602,'RAWDATA Cars Buyers DB'!$A:$A,'RAWDATA Cars Buyers DB'!D:D)</f>
        <v>74336</v>
      </c>
      <c r="E602" s="8">
        <f>_xlfn.XLOOKUP($A602,'RAWDATA Cars Buyers DB'!$A:$A,'RAWDATA Cars Buyers DB'!E:E)</f>
        <v>1</v>
      </c>
      <c r="F602" s="8" t="str">
        <f>_xlfn.XLOOKUP($A602,'RAWDATA Cars Buyers DB'!$A:$A,'RAWDATA Cars Buyers DB'!F:F)</f>
        <v>Partial College</v>
      </c>
      <c r="G602" s="8" t="str">
        <f>_xlfn.XLOOKUP($A602,'RAWDATA Cars Buyers DB'!$A:$A,'RAWDATA Cars Buyers DB'!G:G)</f>
        <v>Clerical</v>
      </c>
      <c r="H602" s="8" t="str">
        <f>_xlfn.XLOOKUP($A602,'RAWDATA Cars Buyers DB'!$A:$A,'RAWDATA Cars Buyers DB'!H:H)</f>
        <v>Yes</v>
      </c>
      <c r="I602" s="8" t="str">
        <f>_xlfn.XLOOKUP($A602,'RAWDATA Cars Buyers DB'!$A:$A,'RAWDATA Cars Buyers DB'!I:I)</f>
        <v>2–4 Kilometre</v>
      </c>
      <c r="J602" s="8" t="str">
        <f>_xlfn.XLOOKUP($A602,'RAWDATA Cars Buyers DB'!$A:$A,'RAWDATA Cars Buyers DB'!J:J)</f>
        <v>Baden-Württemberg</v>
      </c>
      <c r="K602" s="8">
        <f>_xlfn.XLOOKUP($A602,'RAWDATA Cars Buyers DB'!$A:$A,'RAWDATA Cars Buyers DB'!K:K)</f>
        <v>31</v>
      </c>
      <c r="L602" s="10" t="str">
        <f>IF(_xlfn.XLOOKUP($A602,'RAWDATA Cars Buyers DB'!$A:$A,'RAWDATA Cars Buyers DB'!K:K)&gt;54,"Old ",IF(_xlfn.XLOOKUP($A602,'RAWDATA Cars Buyers DB'!$A:$A,'RAWDATA Cars Buyers DB'!K:K)&gt;=31,"Middle Age ",IF(_xlfn.XLOOKUP($A602,'RAWDATA Cars Buyers DB'!$A:$A,'RAWDATA Cars Buyers DB'!K:K)&lt;31,"Adolescent","Invalid")))</f>
        <v xml:space="preserve">Middle Age </v>
      </c>
      <c r="M602" s="8" t="str">
        <f>_xlfn.XLOOKUP($A602,'RAWDATA Cars Buyers DB'!$A:$A,'RAWDATA Cars Buyers DB'!L:L)</f>
        <v>Yes</v>
      </c>
    </row>
    <row r="603" spans="1:13">
      <c r="A603" s="6">
        <v>98092</v>
      </c>
      <c r="B603" s="10" t="str">
        <f>IF(_xlfn.XLOOKUP($A603,'RAWDATA Cars Buyers DB'!$A:$A,'RAWDATA Cars Buyers DB'!B:B)="S","Single","Married")</f>
        <v>Married</v>
      </c>
      <c r="C603" s="10" t="str">
        <f>IF(_xlfn.XLOOKUP($A603,'RAWDATA Cars Buyers DB'!$A:$A,'RAWDATA Cars Buyers DB'!C:C)="F","Female","Male")</f>
        <v>Male</v>
      </c>
      <c r="D603" s="7">
        <f>_xlfn.XLOOKUP($A603,'RAWDATA Cars Buyers DB'!$A:$A,'RAWDATA Cars Buyers DB'!D:D)</f>
        <v>94083</v>
      </c>
      <c r="E603" s="8">
        <f>_xlfn.XLOOKUP($A603,'RAWDATA Cars Buyers DB'!$A:$A,'RAWDATA Cars Buyers DB'!E:E)</f>
        <v>3</v>
      </c>
      <c r="F603" s="8" t="str">
        <f>_xlfn.XLOOKUP($A603,'RAWDATA Cars Buyers DB'!$A:$A,'RAWDATA Cars Buyers DB'!F:F)</f>
        <v>Partial College</v>
      </c>
      <c r="G603" s="8" t="str">
        <f>_xlfn.XLOOKUP($A603,'RAWDATA Cars Buyers DB'!$A:$A,'RAWDATA Cars Buyers DB'!G:G)</f>
        <v>Skilled Manual</v>
      </c>
      <c r="H603" s="8" t="str">
        <f>_xlfn.XLOOKUP($A603,'RAWDATA Cars Buyers DB'!$A:$A,'RAWDATA Cars Buyers DB'!H:H)</f>
        <v>No</v>
      </c>
      <c r="I603" s="8" t="str">
        <f>_xlfn.XLOOKUP($A603,'RAWDATA Cars Buyers DB'!$A:$A,'RAWDATA Cars Buyers DB'!I:I)</f>
        <v>6+ Kilometre</v>
      </c>
      <c r="J603" s="8" t="str">
        <f>_xlfn.XLOOKUP($A603,'RAWDATA Cars Buyers DB'!$A:$A,'RAWDATA Cars Buyers DB'!J:J)</f>
        <v>Saxony-Anhalt</v>
      </c>
      <c r="K603" s="8">
        <f>_xlfn.XLOOKUP($A603,'RAWDATA Cars Buyers DB'!$A:$A,'RAWDATA Cars Buyers DB'!K:K)</f>
        <v>30</v>
      </c>
      <c r="L603" s="10" t="str">
        <f>IF(_xlfn.XLOOKUP($A603,'RAWDATA Cars Buyers DB'!$A:$A,'RAWDATA Cars Buyers DB'!K:K)&gt;54,"Old ",IF(_xlfn.XLOOKUP($A603,'RAWDATA Cars Buyers DB'!$A:$A,'RAWDATA Cars Buyers DB'!K:K)&gt;=31,"Middle Age ",IF(_xlfn.XLOOKUP($A603,'RAWDATA Cars Buyers DB'!$A:$A,'RAWDATA Cars Buyers DB'!K:K)&lt;31,"Adolescent","Invalid")))</f>
        <v>Adolescent</v>
      </c>
      <c r="M603" s="8" t="str">
        <f>_xlfn.XLOOKUP($A603,'RAWDATA Cars Buyers DB'!$A:$A,'RAWDATA Cars Buyers DB'!L:L)</f>
        <v>Yes</v>
      </c>
    </row>
    <row r="604" spans="1:13">
      <c r="A604" s="6">
        <v>64693</v>
      </c>
      <c r="B604" s="10" t="str">
        <f>IF(_xlfn.XLOOKUP($A604,'RAWDATA Cars Buyers DB'!$A:$A,'RAWDATA Cars Buyers DB'!B:B)="S","Single","Married")</f>
        <v>Married</v>
      </c>
      <c r="C604" s="10" t="str">
        <f>IF(_xlfn.XLOOKUP($A604,'RAWDATA Cars Buyers DB'!$A:$A,'RAWDATA Cars Buyers DB'!C:C)="F","Female","Male")</f>
        <v>Male</v>
      </c>
      <c r="D604" s="7">
        <f>_xlfn.XLOOKUP($A604,'RAWDATA Cars Buyers DB'!$A:$A,'RAWDATA Cars Buyers DB'!D:D)</f>
        <v>80948</v>
      </c>
      <c r="E604" s="8">
        <f>_xlfn.XLOOKUP($A604,'RAWDATA Cars Buyers DB'!$A:$A,'RAWDATA Cars Buyers DB'!E:E)</f>
        <v>1</v>
      </c>
      <c r="F604" s="8" t="str">
        <f>_xlfn.XLOOKUP($A604,'RAWDATA Cars Buyers DB'!$A:$A,'RAWDATA Cars Buyers DB'!F:F)</f>
        <v>High School</v>
      </c>
      <c r="G604" s="8" t="str">
        <f>_xlfn.XLOOKUP($A604,'RAWDATA Cars Buyers DB'!$A:$A,'RAWDATA Cars Buyers DB'!G:G)</f>
        <v>Clerical</v>
      </c>
      <c r="H604" s="8" t="str">
        <f>_xlfn.XLOOKUP($A604,'RAWDATA Cars Buyers DB'!$A:$A,'RAWDATA Cars Buyers DB'!H:H)</f>
        <v>Yes</v>
      </c>
      <c r="I604" s="8" t="str">
        <f>_xlfn.XLOOKUP($A604,'RAWDATA Cars Buyers DB'!$A:$A,'RAWDATA Cars Buyers DB'!I:I)</f>
        <v>4–6 Kilometre</v>
      </c>
      <c r="J604" s="8" t="str">
        <f>_xlfn.XLOOKUP($A604,'RAWDATA Cars Buyers DB'!$A:$A,'RAWDATA Cars Buyers DB'!J:J)</f>
        <v>Hesse</v>
      </c>
      <c r="K604" s="8">
        <f>_xlfn.XLOOKUP($A604,'RAWDATA Cars Buyers DB'!$A:$A,'RAWDATA Cars Buyers DB'!K:K)</f>
        <v>43</v>
      </c>
      <c r="L604" s="10" t="str">
        <f>IF(_xlfn.XLOOKUP($A604,'RAWDATA Cars Buyers DB'!$A:$A,'RAWDATA Cars Buyers DB'!K:K)&gt;54,"Old ",IF(_xlfn.XLOOKUP($A604,'RAWDATA Cars Buyers DB'!$A:$A,'RAWDATA Cars Buyers DB'!K:K)&gt;=31,"Middle Age ",IF(_xlfn.XLOOKUP($A604,'RAWDATA Cars Buyers DB'!$A:$A,'RAWDATA Cars Buyers DB'!K:K)&lt;31,"Adolescent","Invalid")))</f>
        <v xml:space="preserve">Middle Age </v>
      </c>
      <c r="M604" s="8" t="str">
        <f>_xlfn.XLOOKUP($A604,'RAWDATA Cars Buyers DB'!$A:$A,'RAWDATA Cars Buyers DB'!L:L)</f>
        <v>No</v>
      </c>
    </row>
    <row r="605" spans="1:13">
      <c r="A605" s="6">
        <v>36962</v>
      </c>
      <c r="B605" s="10" t="str">
        <f>IF(_xlfn.XLOOKUP($A605,'RAWDATA Cars Buyers DB'!$A:$A,'RAWDATA Cars Buyers DB'!B:B)="S","Single","Married")</f>
        <v>Married</v>
      </c>
      <c r="C605" s="10" t="str">
        <f>IF(_xlfn.XLOOKUP($A605,'RAWDATA Cars Buyers DB'!$A:$A,'RAWDATA Cars Buyers DB'!C:C)="F","Female","Male")</f>
        <v>Female</v>
      </c>
      <c r="D605" s="7">
        <f>_xlfn.XLOOKUP($A605,'RAWDATA Cars Buyers DB'!$A:$A,'RAWDATA Cars Buyers DB'!D:D)</f>
        <v>53002</v>
      </c>
      <c r="E605" s="8">
        <f>_xlfn.XLOOKUP($A605,'RAWDATA Cars Buyers DB'!$A:$A,'RAWDATA Cars Buyers DB'!E:E)</f>
        <v>4</v>
      </c>
      <c r="F605" s="8" t="str">
        <f>_xlfn.XLOOKUP($A605,'RAWDATA Cars Buyers DB'!$A:$A,'RAWDATA Cars Buyers DB'!F:F)</f>
        <v>Partial College</v>
      </c>
      <c r="G605" s="8" t="str">
        <f>_xlfn.XLOOKUP($A605,'RAWDATA Cars Buyers DB'!$A:$A,'RAWDATA Cars Buyers DB'!G:G)</f>
        <v>Clerical</v>
      </c>
      <c r="H605" s="8" t="str">
        <f>_xlfn.XLOOKUP($A605,'RAWDATA Cars Buyers DB'!$A:$A,'RAWDATA Cars Buyers DB'!H:H)</f>
        <v>No</v>
      </c>
      <c r="I605" s="8" t="str">
        <f>_xlfn.XLOOKUP($A605,'RAWDATA Cars Buyers DB'!$A:$A,'RAWDATA Cars Buyers DB'!I:I)</f>
        <v>2–4 Kilometre</v>
      </c>
      <c r="J605" s="8" t="str">
        <f>_xlfn.XLOOKUP($A605,'RAWDATA Cars Buyers DB'!$A:$A,'RAWDATA Cars Buyers DB'!J:J)</f>
        <v>Rhineland-Palatinate</v>
      </c>
      <c r="K605" s="8">
        <f>_xlfn.XLOOKUP($A605,'RAWDATA Cars Buyers DB'!$A:$A,'RAWDATA Cars Buyers DB'!K:K)</f>
        <v>27</v>
      </c>
      <c r="L605" s="10" t="str">
        <f>IF(_xlfn.XLOOKUP($A605,'RAWDATA Cars Buyers DB'!$A:$A,'RAWDATA Cars Buyers DB'!K:K)&gt;54,"Old ",IF(_xlfn.XLOOKUP($A605,'RAWDATA Cars Buyers DB'!$A:$A,'RAWDATA Cars Buyers DB'!K:K)&gt;=31,"Middle Age ",IF(_xlfn.XLOOKUP($A605,'RAWDATA Cars Buyers DB'!$A:$A,'RAWDATA Cars Buyers DB'!K:K)&lt;31,"Adolescent","Invalid")))</f>
        <v>Adolescent</v>
      </c>
      <c r="M605" s="8" t="str">
        <f>_xlfn.XLOOKUP($A605,'RAWDATA Cars Buyers DB'!$A:$A,'RAWDATA Cars Buyers DB'!L:L)</f>
        <v>No</v>
      </c>
    </row>
    <row r="606" spans="1:13">
      <c r="A606" s="6">
        <v>38295</v>
      </c>
      <c r="B606" s="10" t="str">
        <f>IF(_xlfn.XLOOKUP($A606,'RAWDATA Cars Buyers DB'!$A:$A,'RAWDATA Cars Buyers DB'!B:B)="S","Single","Married")</f>
        <v>Single</v>
      </c>
      <c r="C606" s="10" t="str">
        <f>IF(_xlfn.XLOOKUP($A606,'RAWDATA Cars Buyers DB'!$A:$A,'RAWDATA Cars Buyers DB'!C:C)="F","Female","Male")</f>
        <v>Female</v>
      </c>
      <c r="D606" s="7">
        <f>_xlfn.XLOOKUP($A606,'RAWDATA Cars Buyers DB'!$A:$A,'RAWDATA Cars Buyers DB'!D:D)</f>
        <v>100098</v>
      </c>
      <c r="E606" s="8">
        <f>_xlfn.XLOOKUP($A606,'RAWDATA Cars Buyers DB'!$A:$A,'RAWDATA Cars Buyers DB'!E:E)</f>
        <v>4</v>
      </c>
      <c r="F606" s="8" t="str">
        <f>_xlfn.XLOOKUP($A606,'RAWDATA Cars Buyers DB'!$A:$A,'RAWDATA Cars Buyers DB'!F:F)</f>
        <v>Partial College</v>
      </c>
      <c r="G606" s="8" t="str">
        <f>_xlfn.XLOOKUP($A606,'RAWDATA Cars Buyers DB'!$A:$A,'RAWDATA Cars Buyers DB'!G:G)</f>
        <v>Skilled Manual</v>
      </c>
      <c r="H606" s="8" t="str">
        <f>_xlfn.XLOOKUP($A606,'RAWDATA Cars Buyers DB'!$A:$A,'RAWDATA Cars Buyers DB'!H:H)</f>
        <v>No</v>
      </c>
      <c r="I606" s="8" t="str">
        <f>_xlfn.XLOOKUP($A606,'RAWDATA Cars Buyers DB'!$A:$A,'RAWDATA Cars Buyers DB'!I:I)</f>
        <v>0–1 Kilometre</v>
      </c>
      <c r="J606" s="8" t="str">
        <f>_xlfn.XLOOKUP($A606,'RAWDATA Cars Buyers DB'!$A:$A,'RAWDATA Cars Buyers DB'!J:J)</f>
        <v>Schleswig-Holstein</v>
      </c>
      <c r="K606" s="8">
        <f>_xlfn.XLOOKUP($A606,'RAWDATA Cars Buyers DB'!$A:$A,'RAWDATA Cars Buyers DB'!K:K)</f>
        <v>51</v>
      </c>
      <c r="L606" s="10" t="str">
        <f>IF(_xlfn.XLOOKUP($A606,'RAWDATA Cars Buyers DB'!$A:$A,'RAWDATA Cars Buyers DB'!K:K)&gt;54,"Old ",IF(_xlfn.XLOOKUP($A606,'RAWDATA Cars Buyers DB'!$A:$A,'RAWDATA Cars Buyers DB'!K:K)&gt;=31,"Middle Age ",IF(_xlfn.XLOOKUP($A606,'RAWDATA Cars Buyers DB'!$A:$A,'RAWDATA Cars Buyers DB'!K:K)&lt;31,"Adolescent","Invalid")))</f>
        <v xml:space="preserve">Middle Age </v>
      </c>
      <c r="M606" s="8" t="str">
        <f>_xlfn.XLOOKUP($A606,'RAWDATA Cars Buyers DB'!$A:$A,'RAWDATA Cars Buyers DB'!L:L)</f>
        <v>Yes</v>
      </c>
    </row>
    <row r="607" spans="1:13">
      <c r="A607" s="6">
        <v>23807</v>
      </c>
      <c r="B607" s="10" t="str">
        <f>IF(_xlfn.XLOOKUP($A607,'RAWDATA Cars Buyers DB'!$A:$A,'RAWDATA Cars Buyers DB'!B:B)="S","Single","Married")</f>
        <v>Married</v>
      </c>
      <c r="C607" s="10" t="str">
        <f>IF(_xlfn.XLOOKUP($A607,'RAWDATA Cars Buyers DB'!$A:$A,'RAWDATA Cars Buyers DB'!C:C)="F","Female","Male")</f>
        <v>Female</v>
      </c>
      <c r="D607" s="7">
        <f>_xlfn.XLOOKUP($A607,'RAWDATA Cars Buyers DB'!$A:$A,'RAWDATA Cars Buyers DB'!D:D)</f>
        <v>93016</v>
      </c>
      <c r="E607" s="8">
        <f>_xlfn.XLOOKUP($A607,'RAWDATA Cars Buyers DB'!$A:$A,'RAWDATA Cars Buyers DB'!E:E)</f>
        <v>5</v>
      </c>
      <c r="F607" s="8" t="str">
        <f>_xlfn.XLOOKUP($A607,'RAWDATA Cars Buyers DB'!$A:$A,'RAWDATA Cars Buyers DB'!F:F)</f>
        <v>Partial College</v>
      </c>
      <c r="G607" s="8" t="str">
        <f>_xlfn.XLOOKUP($A607,'RAWDATA Cars Buyers DB'!$A:$A,'RAWDATA Cars Buyers DB'!G:G)</f>
        <v>Professional</v>
      </c>
      <c r="H607" s="8" t="str">
        <f>_xlfn.XLOOKUP($A607,'RAWDATA Cars Buyers DB'!$A:$A,'RAWDATA Cars Buyers DB'!H:H)</f>
        <v>No</v>
      </c>
      <c r="I607" s="8" t="str">
        <f>_xlfn.XLOOKUP($A607,'RAWDATA Cars Buyers DB'!$A:$A,'RAWDATA Cars Buyers DB'!I:I)</f>
        <v>6+ Kilometre</v>
      </c>
      <c r="J607" s="8" t="str">
        <f>_xlfn.XLOOKUP($A607,'RAWDATA Cars Buyers DB'!$A:$A,'RAWDATA Cars Buyers DB'!J:J)</f>
        <v>North Rhine-Westphalia</v>
      </c>
      <c r="K607" s="8">
        <f>_xlfn.XLOOKUP($A607,'RAWDATA Cars Buyers DB'!$A:$A,'RAWDATA Cars Buyers DB'!K:K)</f>
        <v>57</v>
      </c>
      <c r="L607" s="10" t="str">
        <f>IF(_xlfn.XLOOKUP($A607,'RAWDATA Cars Buyers DB'!$A:$A,'RAWDATA Cars Buyers DB'!K:K)&gt;54,"Old ",IF(_xlfn.XLOOKUP($A607,'RAWDATA Cars Buyers DB'!$A:$A,'RAWDATA Cars Buyers DB'!K:K)&gt;=31,"Middle Age ",IF(_xlfn.XLOOKUP($A607,'RAWDATA Cars Buyers DB'!$A:$A,'RAWDATA Cars Buyers DB'!K:K)&lt;31,"Adolescent","Invalid")))</f>
        <v xml:space="preserve">Old </v>
      </c>
      <c r="M607" s="8" t="str">
        <f>_xlfn.XLOOKUP($A607,'RAWDATA Cars Buyers DB'!$A:$A,'RAWDATA Cars Buyers DB'!L:L)</f>
        <v>No</v>
      </c>
    </row>
    <row r="608" spans="1:13">
      <c r="A608" s="6">
        <v>52348</v>
      </c>
      <c r="B608" s="10" t="str">
        <f>IF(_xlfn.XLOOKUP($A608,'RAWDATA Cars Buyers DB'!$A:$A,'RAWDATA Cars Buyers DB'!B:B)="S","Single","Married")</f>
        <v>Married</v>
      </c>
      <c r="C608" s="10" t="str">
        <f>IF(_xlfn.XLOOKUP($A608,'RAWDATA Cars Buyers DB'!$A:$A,'RAWDATA Cars Buyers DB'!C:C)="F","Female","Male")</f>
        <v>Female</v>
      </c>
      <c r="D608" s="7">
        <f>_xlfn.XLOOKUP($A608,'RAWDATA Cars Buyers DB'!$A:$A,'RAWDATA Cars Buyers DB'!D:D)</f>
        <v>46672</v>
      </c>
      <c r="E608" s="8">
        <f>_xlfn.XLOOKUP($A608,'RAWDATA Cars Buyers DB'!$A:$A,'RAWDATA Cars Buyers DB'!E:E)</f>
        <v>5</v>
      </c>
      <c r="F608" s="8" t="str">
        <f>_xlfn.XLOOKUP($A608,'RAWDATA Cars Buyers DB'!$A:$A,'RAWDATA Cars Buyers DB'!F:F)</f>
        <v>Bachelors</v>
      </c>
      <c r="G608" s="8" t="str">
        <f>_xlfn.XLOOKUP($A608,'RAWDATA Cars Buyers DB'!$A:$A,'RAWDATA Cars Buyers DB'!G:G)</f>
        <v>Skilled Manual</v>
      </c>
      <c r="H608" s="8" t="str">
        <f>_xlfn.XLOOKUP($A608,'RAWDATA Cars Buyers DB'!$A:$A,'RAWDATA Cars Buyers DB'!H:H)</f>
        <v>No</v>
      </c>
      <c r="I608" s="8" t="str">
        <f>_xlfn.XLOOKUP($A608,'RAWDATA Cars Buyers DB'!$A:$A,'RAWDATA Cars Buyers DB'!I:I)</f>
        <v>1–2 Kilometre</v>
      </c>
      <c r="J608" s="8" t="str">
        <f>_xlfn.XLOOKUP($A608,'RAWDATA Cars Buyers DB'!$A:$A,'RAWDATA Cars Buyers DB'!J:J)</f>
        <v>Lower Saxony</v>
      </c>
      <c r="K608" s="8">
        <f>_xlfn.XLOOKUP($A608,'RAWDATA Cars Buyers DB'!$A:$A,'RAWDATA Cars Buyers DB'!K:K)</f>
        <v>41</v>
      </c>
      <c r="L608" s="10" t="str">
        <f>IF(_xlfn.XLOOKUP($A608,'RAWDATA Cars Buyers DB'!$A:$A,'RAWDATA Cars Buyers DB'!K:K)&gt;54,"Old ",IF(_xlfn.XLOOKUP($A608,'RAWDATA Cars Buyers DB'!$A:$A,'RAWDATA Cars Buyers DB'!K:K)&gt;=31,"Middle Age ",IF(_xlfn.XLOOKUP($A608,'RAWDATA Cars Buyers DB'!$A:$A,'RAWDATA Cars Buyers DB'!K:K)&lt;31,"Adolescent","Invalid")))</f>
        <v xml:space="preserve">Middle Age </v>
      </c>
      <c r="M608" s="8" t="str">
        <f>_xlfn.XLOOKUP($A608,'RAWDATA Cars Buyers DB'!$A:$A,'RAWDATA Cars Buyers DB'!L:L)</f>
        <v>Yes</v>
      </c>
    </row>
    <row r="609" spans="1:13">
      <c r="A609" s="6">
        <v>36432</v>
      </c>
      <c r="B609" s="10" t="str">
        <f>IF(_xlfn.XLOOKUP($A609,'RAWDATA Cars Buyers DB'!$A:$A,'RAWDATA Cars Buyers DB'!B:B)="S","Single","Married")</f>
        <v>Single</v>
      </c>
      <c r="C609" s="10" t="str">
        <f>IF(_xlfn.XLOOKUP($A609,'RAWDATA Cars Buyers DB'!$A:$A,'RAWDATA Cars Buyers DB'!C:C)="F","Female","Male")</f>
        <v>Male</v>
      </c>
      <c r="D609" s="7">
        <f>_xlfn.XLOOKUP($A609,'RAWDATA Cars Buyers DB'!$A:$A,'RAWDATA Cars Buyers DB'!D:D)</f>
        <v>24213</v>
      </c>
      <c r="E609" s="8">
        <f>_xlfn.XLOOKUP($A609,'RAWDATA Cars Buyers DB'!$A:$A,'RAWDATA Cars Buyers DB'!E:E)</f>
        <v>1</v>
      </c>
      <c r="F609" s="8" t="str">
        <f>_xlfn.XLOOKUP($A609,'RAWDATA Cars Buyers DB'!$A:$A,'RAWDATA Cars Buyers DB'!F:F)</f>
        <v>Bachelors</v>
      </c>
      <c r="G609" s="8" t="str">
        <f>_xlfn.XLOOKUP($A609,'RAWDATA Cars Buyers DB'!$A:$A,'RAWDATA Cars Buyers DB'!G:G)</f>
        <v>Professional</v>
      </c>
      <c r="H609" s="8" t="str">
        <f>_xlfn.XLOOKUP($A609,'RAWDATA Cars Buyers DB'!$A:$A,'RAWDATA Cars Buyers DB'!H:H)</f>
        <v>Yes</v>
      </c>
      <c r="I609" s="8" t="str">
        <f>_xlfn.XLOOKUP($A609,'RAWDATA Cars Buyers DB'!$A:$A,'RAWDATA Cars Buyers DB'!I:I)</f>
        <v>2–4 Kilometre</v>
      </c>
      <c r="J609" s="8" t="str">
        <f>_xlfn.XLOOKUP($A609,'RAWDATA Cars Buyers DB'!$A:$A,'RAWDATA Cars Buyers DB'!J:J)</f>
        <v>Berlin</v>
      </c>
      <c r="K609" s="8">
        <f>_xlfn.XLOOKUP($A609,'RAWDATA Cars Buyers DB'!$A:$A,'RAWDATA Cars Buyers DB'!K:K)</f>
        <v>53</v>
      </c>
      <c r="L609" s="10" t="str">
        <f>IF(_xlfn.XLOOKUP($A609,'RAWDATA Cars Buyers DB'!$A:$A,'RAWDATA Cars Buyers DB'!K:K)&gt;54,"Old ",IF(_xlfn.XLOOKUP($A609,'RAWDATA Cars Buyers DB'!$A:$A,'RAWDATA Cars Buyers DB'!K:K)&gt;=31,"Middle Age ",IF(_xlfn.XLOOKUP($A609,'RAWDATA Cars Buyers DB'!$A:$A,'RAWDATA Cars Buyers DB'!K:K)&lt;31,"Adolescent","Invalid")))</f>
        <v xml:space="preserve">Middle Age </v>
      </c>
      <c r="M609" s="8" t="str">
        <f>_xlfn.XLOOKUP($A609,'RAWDATA Cars Buyers DB'!$A:$A,'RAWDATA Cars Buyers DB'!L:L)</f>
        <v>No</v>
      </c>
    </row>
    <row r="610" spans="1:13">
      <c r="A610" s="6">
        <v>93285</v>
      </c>
      <c r="B610" s="10" t="str">
        <f>IF(_xlfn.XLOOKUP($A610,'RAWDATA Cars Buyers DB'!$A:$A,'RAWDATA Cars Buyers DB'!B:B)="S","Single","Married")</f>
        <v>Single</v>
      </c>
      <c r="C610" s="10" t="str">
        <f>IF(_xlfn.XLOOKUP($A610,'RAWDATA Cars Buyers DB'!$A:$A,'RAWDATA Cars Buyers DB'!C:C)="F","Female","Male")</f>
        <v>Male</v>
      </c>
      <c r="D610" s="7">
        <f>_xlfn.XLOOKUP($A610,'RAWDATA Cars Buyers DB'!$A:$A,'RAWDATA Cars Buyers DB'!D:D)</f>
        <v>30293</v>
      </c>
      <c r="E610" s="8">
        <f>_xlfn.XLOOKUP($A610,'RAWDATA Cars Buyers DB'!$A:$A,'RAWDATA Cars Buyers DB'!E:E)</f>
        <v>3</v>
      </c>
      <c r="F610" s="8" t="str">
        <f>_xlfn.XLOOKUP($A610,'RAWDATA Cars Buyers DB'!$A:$A,'RAWDATA Cars Buyers DB'!F:F)</f>
        <v>High School</v>
      </c>
      <c r="G610" s="8" t="str">
        <f>_xlfn.XLOOKUP($A610,'RAWDATA Cars Buyers DB'!$A:$A,'RAWDATA Cars Buyers DB'!G:G)</f>
        <v>Professional</v>
      </c>
      <c r="H610" s="8" t="str">
        <f>_xlfn.XLOOKUP($A610,'RAWDATA Cars Buyers DB'!$A:$A,'RAWDATA Cars Buyers DB'!H:H)</f>
        <v>No</v>
      </c>
      <c r="I610" s="8" t="str">
        <f>_xlfn.XLOOKUP($A610,'RAWDATA Cars Buyers DB'!$A:$A,'RAWDATA Cars Buyers DB'!I:I)</f>
        <v>2–4 Kilometre</v>
      </c>
      <c r="J610" s="8" t="str">
        <f>_xlfn.XLOOKUP($A610,'RAWDATA Cars Buyers DB'!$A:$A,'RAWDATA Cars Buyers DB'!J:J)</f>
        <v>Hamburg</v>
      </c>
      <c r="K610" s="8">
        <f>_xlfn.XLOOKUP($A610,'RAWDATA Cars Buyers DB'!$A:$A,'RAWDATA Cars Buyers DB'!K:K)</f>
        <v>38</v>
      </c>
      <c r="L610" s="10" t="str">
        <f>IF(_xlfn.XLOOKUP($A610,'RAWDATA Cars Buyers DB'!$A:$A,'RAWDATA Cars Buyers DB'!K:K)&gt;54,"Old ",IF(_xlfn.XLOOKUP($A610,'RAWDATA Cars Buyers DB'!$A:$A,'RAWDATA Cars Buyers DB'!K:K)&gt;=31,"Middle Age ",IF(_xlfn.XLOOKUP($A610,'RAWDATA Cars Buyers DB'!$A:$A,'RAWDATA Cars Buyers DB'!K:K)&lt;31,"Adolescent","Invalid")))</f>
        <v xml:space="preserve">Middle Age </v>
      </c>
      <c r="M610" s="8" t="str">
        <f>_xlfn.XLOOKUP($A610,'RAWDATA Cars Buyers DB'!$A:$A,'RAWDATA Cars Buyers DB'!L:L)</f>
        <v>Yes</v>
      </c>
    </row>
    <row r="611" spans="1:13">
      <c r="A611" s="6">
        <v>67854</v>
      </c>
      <c r="B611" s="10" t="str">
        <f>IF(_xlfn.XLOOKUP($A611,'RAWDATA Cars Buyers DB'!$A:$A,'RAWDATA Cars Buyers DB'!B:B)="S","Single","Married")</f>
        <v>Single</v>
      </c>
      <c r="C611" s="10" t="str">
        <f>IF(_xlfn.XLOOKUP($A611,'RAWDATA Cars Buyers DB'!$A:$A,'RAWDATA Cars Buyers DB'!C:C)="F","Female","Male")</f>
        <v>Male</v>
      </c>
      <c r="D611" s="7">
        <f>_xlfn.XLOOKUP($A611,'RAWDATA Cars Buyers DB'!$A:$A,'RAWDATA Cars Buyers DB'!D:D)</f>
        <v>119977</v>
      </c>
      <c r="E611" s="8">
        <f>_xlfn.XLOOKUP($A611,'RAWDATA Cars Buyers DB'!$A:$A,'RAWDATA Cars Buyers DB'!E:E)</f>
        <v>1</v>
      </c>
      <c r="F611" s="8" t="str">
        <f>_xlfn.XLOOKUP($A611,'RAWDATA Cars Buyers DB'!$A:$A,'RAWDATA Cars Buyers DB'!F:F)</f>
        <v>High School</v>
      </c>
      <c r="G611" s="8" t="str">
        <f>_xlfn.XLOOKUP($A611,'RAWDATA Cars Buyers DB'!$A:$A,'RAWDATA Cars Buyers DB'!G:G)</f>
        <v>Management</v>
      </c>
      <c r="H611" s="8" t="str">
        <f>_xlfn.XLOOKUP($A611,'RAWDATA Cars Buyers DB'!$A:$A,'RAWDATA Cars Buyers DB'!H:H)</f>
        <v>No</v>
      </c>
      <c r="I611" s="8" t="str">
        <f>_xlfn.XLOOKUP($A611,'RAWDATA Cars Buyers DB'!$A:$A,'RAWDATA Cars Buyers DB'!I:I)</f>
        <v>6+ Kilometre</v>
      </c>
      <c r="J611" s="8" t="str">
        <f>_xlfn.XLOOKUP($A611,'RAWDATA Cars Buyers DB'!$A:$A,'RAWDATA Cars Buyers DB'!J:J)</f>
        <v>Mecklenburg-Vorpommern</v>
      </c>
      <c r="K611" s="8">
        <f>_xlfn.XLOOKUP($A611,'RAWDATA Cars Buyers DB'!$A:$A,'RAWDATA Cars Buyers DB'!K:K)</f>
        <v>39</v>
      </c>
      <c r="L611" s="10" t="str">
        <f>IF(_xlfn.XLOOKUP($A611,'RAWDATA Cars Buyers DB'!$A:$A,'RAWDATA Cars Buyers DB'!K:K)&gt;54,"Old ",IF(_xlfn.XLOOKUP($A611,'RAWDATA Cars Buyers DB'!$A:$A,'RAWDATA Cars Buyers DB'!K:K)&gt;=31,"Middle Age ",IF(_xlfn.XLOOKUP($A611,'RAWDATA Cars Buyers DB'!$A:$A,'RAWDATA Cars Buyers DB'!K:K)&lt;31,"Adolescent","Invalid")))</f>
        <v xml:space="preserve">Middle Age </v>
      </c>
      <c r="M611" s="8" t="str">
        <f>_xlfn.XLOOKUP($A611,'RAWDATA Cars Buyers DB'!$A:$A,'RAWDATA Cars Buyers DB'!L:L)</f>
        <v>No</v>
      </c>
    </row>
    <row r="612" spans="1:13">
      <c r="A612" s="6">
        <v>50262</v>
      </c>
      <c r="B612" s="10" t="str">
        <f>IF(_xlfn.XLOOKUP($A612,'RAWDATA Cars Buyers DB'!$A:$A,'RAWDATA Cars Buyers DB'!B:B)="S","Single","Married")</f>
        <v>Single</v>
      </c>
      <c r="C612" s="10" t="str">
        <f>IF(_xlfn.XLOOKUP($A612,'RAWDATA Cars Buyers DB'!$A:$A,'RAWDATA Cars Buyers DB'!C:C)="F","Female","Male")</f>
        <v>Female</v>
      </c>
      <c r="D612" s="7">
        <f>_xlfn.XLOOKUP($A612,'RAWDATA Cars Buyers DB'!$A:$A,'RAWDATA Cars Buyers DB'!D:D)</f>
        <v>75860</v>
      </c>
      <c r="E612" s="8">
        <f>_xlfn.XLOOKUP($A612,'RAWDATA Cars Buyers DB'!$A:$A,'RAWDATA Cars Buyers DB'!E:E)</f>
        <v>4</v>
      </c>
      <c r="F612" s="8" t="str">
        <f>_xlfn.XLOOKUP($A612,'RAWDATA Cars Buyers DB'!$A:$A,'RAWDATA Cars Buyers DB'!F:F)</f>
        <v>Partial College</v>
      </c>
      <c r="G612" s="8" t="str">
        <f>_xlfn.XLOOKUP($A612,'RAWDATA Cars Buyers DB'!$A:$A,'RAWDATA Cars Buyers DB'!G:G)</f>
        <v>Management</v>
      </c>
      <c r="H612" s="8" t="str">
        <f>_xlfn.XLOOKUP($A612,'RAWDATA Cars Buyers DB'!$A:$A,'RAWDATA Cars Buyers DB'!H:H)</f>
        <v>No</v>
      </c>
      <c r="I612" s="8" t="str">
        <f>_xlfn.XLOOKUP($A612,'RAWDATA Cars Buyers DB'!$A:$A,'RAWDATA Cars Buyers DB'!I:I)</f>
        <v>4–6 Kilometre</v>
      </c>
      <c r="J612" s="8" t="str">
        <f>_xlfn.XLOOKUP($A612,'RAWDATA Cars Buyers DB'!$A:$A,'RAWDATA Cars Buyers DB'!J:J)</f>
        <v>Schleswig-Holstein</v>
      </c>
      <c r="K612" s="8">
        <f>_xlfn.XLOOKUP($A612,'RAWDATA Cars Buyers DB'!$A:$A,'RAWDATA Cars Buyers DB'!K:K)</f>
        <v>33</v>
      </c>
      <c r="L612" s="10" t="str">
        <f>IF(_xlfn.XLOOKUP($A612,'RAWDATA Cars Buyers DB'!$A:$A,'RAWDATA Cars Buyers DB'!K:K)&gt;54,"Old ",IF(_xlfn.XLOOKUP($A612,'RAWDATA Cars Buyers DB'!$A:$A,'RAWDATA Cars Buyers DB'!K:K)&gt;=31,"Middle Age ",IF(_xlfn.XLOOKUP($A612,'RAWDATA Cars Buyers DB'!$A:$A,'RAWDATA Cars Buyers DB'!K:K)&lt;31,"Adolescent","Invalid")))</f>
        <v xml:space="preserve">Middle Age </v>
      </c>
      <c r="M612" s="8" t="str">
        <f>_xlfn.XLOOKUP($A612,'RAWDATA Cars Buyers DB'!$A:$A,'RAWDATA Cars Buyers DB'!L:L)</f>
        <v>Yes</v>
      </c>
    </row>
    <row r="613" spans="1:13">
      <c r="A613" s="6">
        <v>47080</v>
      </c>
      <c r="B613" s="10" t="str">
        <f>IF(_xlfn.XLOOKUP($A613,'RAWDATA Cars Buyers DB'!$A:$A,'RAWDATA Cars Buyers DB'!B:B)="S","Single","Married")</f>
        <v>Single</v>
      </c>
      <c r="C613" s="10" t="str">
        <f>IF(_xlfn.XLOOKUP($A613,'RAWDATA Cars Buyers DB'!$A:$A,'RAWDATA Cars Buyers DB'!C:C)="F","Female","Male")</f>
        <v>Female</v>
      </c>
      <c r="D613" s="7">
        <f>_xlfn.XLOOKUP($A613,'RAWDATA Cars Buyers DB'!$A:$A,'RAWDATA Cars Buyers DB'!D:D)</f>
        <v>82507</v>
      </c>
      <c r="E613" s="8">
        <f>_xlfn.XLOOKUP($A613,'RAWDATA Cars Buyers DB'!$A:$A,'RAWDATA Cars Buyers DB'!E:E)</f>
        <v>4</v>
      </c>
      <c r="F613" s="8" t="str">
        <f>_xlfn.XLOOKUP($A613,'RAWDATA Cars Buyers DB'!$A:$A,'RAWDATA Cars Buyers DB'!F:F)</f>
        <v>Bachelors</v>
      </c>
      <c r="G613" s="8" t="str">
        <f>_xlfn.XLOOKUP($A613,'RAWDATA Cars Buyers DB'!$A:$A,'RAWDATA Cars Buyers DB'!G:G)</f>
        <v>Skilled Manual</v>
      </c>
      <c r="H613" s="8" t="str">
        <f>_xlfn.XLOOKUP($A613,'RAWDATA Cars Buyers DB'!$A:$A,'RAWDATA Cars Buyers DB'!H:H)</f>
        <v>Yes</v>
      </c>
      <c r="I613" s="8" t="str">
        <f>_xlfn.XLOOKUP($A613,'RAWDATA Cars Buyers DB'!$A:$A,'RAWDATA Cars Buyers DB'!I:I)</f>
        <v>4–6 Kilometre</v>
      </c>
      <c r="J613" s="8" t="str">
        <f>_xlfn.XLOOKUP($A613,'RAWDATA Cars Buyers DB'!$A:$A,'RAWDATA Cars Buyers DB'!J:J)</f>
        <v>Hesse</v>
      </c>
      <c r="K613" s="8">
        <f>_xlfn.XLOOKUP($A613,'RAWDATA Cars Buyers DB'!$A:$A,'RAWDATA Cars Buyers DB'!K:K)</f>
        <v>52</v>
      </c>
      <c r="L613" s="10" t="str">
        <f>IF(_xlfn.XLOOKUP($A613,'RAWDATA Cars Buyers DB'!$A:$A,'RAWDATA Cars Buyers DB'!K:K)&gt;54,"Old ",IF(_xlfn.XLOOKUP($A613,'RAWDATA Cars Buyers DB'!$A:$A,'RAWDATA Cars Buyers DB'!K:K)&gt;=31,"Middle Age ",IF(_xlfn.XLOOKUP($A613,'RAWDATA Cars Buyers DB'!$A:$A,'RAWDATA Cars Buyers DB'!K:K)&lt;31,"Adolescent","Invalid")))</f>
        <v xml:space="preserve">Middle Age </v>
      </c>
      <c r="M613" s="8" t="str">
        <f>_xlfn.XLOOKUP($A613,'RAWDATA Cars Buyers DB'!$A:$A,'RAWDATA Cars Buyers DB'!L:L)</f>
        <v>No</v>
      </c>
    </row>
    <row r="614" spans="1:13">
      <c r="A614" s="6">
        <v>11324</v>
      </c>
      <c r="B614" s="10" t="str">
        <f>IF(_xlfn.XLOOKUP($A614,'RAWDATA Cars Buyers DB'!$A:$A,'RAWDATA Cars Buyers DB'!B:B)="S","Single","Married")</f>
        <v>Married</v>
      </c>
      <c r="C614" s="10" t="str">
        <f>IF(_xlfn.XLOOKUP($A614,'RAWDATA Cars Buyers DB'!$A:$A,'RAWDATA Cars Buyers DB'!C:C)="F","Female","Male")</f>
        <v>Female</v>
      </c>
      <c r="D614" s="7">
        <f>_xlfn.XLOOKUP($A614,'RAWDATA Cars Buyers DB'!$A:$A,'RAWDATA Cars Buyers DB'!D:D)</f>
        <v>77134</v>
      </c>
      <c r="E614" s="8">
        <f>_xlfn.XLOOKUP($A614,'RAWDATA Cars Buyers DB'!$A:$A,'RAWDATA Cars Buyers DB'!E:E)</f>
        <v>2</v>
      </c>
      <c r="F614" s="8" t="str">
        <f>_xlfn.XLOOKUP($A614,'RAWDATA Cars Buyers DB'!$A:$A,'RAWDATA Cars Buyers DB'!F:F)</f>
        <v>Graduate Degree</v>
      </c>
      <c r="G614" s="8" t="str">
        <f>_xlfn.XLOOKUP($A614,'RAWDATA Cars Buyers DB'!$A:$A,'RAWDATA Cars Buyers DB'!G:G)</f>
        <v>Clerical</v>
      </c>
      <c r="H614" s="8" t="str">
        <f>_xlfn.XLOOKUP($A614,'RAWDATA Cars Buyers DB'!$A:$A,'RAWDATA Cars Buyers DB'!H:H)</f>
        <v>Yes</v>
      </c>
      <c r="I614" s="8" t="str">
        <f>_xlfn.XLOOKUP($A614,'RAWDATA Cars Buyers DB'!$A:$A,'RAWDATA Cars Buyers DB'!I:I)</f>
        <v>4–6 Kilometre</v>
      </c>
      <c r="J614" s="8" t="str">
        <f>_xlfn.XLOOKUP($A614,'RAWDATA Cars Buyers DB'!$A:$A,'RAWDATA Cars Buyers DB'!J:J)</f>
        <v>Saxony-Anhalt</v>
      </c>
      <c r="K614" s="8">
        <f>_xlfn.XLOOKUP($A614,'RAWDATA Cars Buyers DB'!$A:$A,'RAWDATA Cars Buyers DB'!K:K)</f>
        <v>29</v>
      </c>
      <c r="L614" s="10" t="str">
        <f>IF(_xlfn.XLOOKUP($A614,'RAWDATA Cars Buyers DB'!$A:$A,'RAWDATA Cars Buyers DB'!K:K)&gt;54,"Old ",IF(_xlfn.XLOOKUP($A614,'RAWDATA Cars Buyers DB'!$A:$A,'RAWDATA Cars Buyers DB'!K:K)&gt;=31,"Middle Age ",IF(_xlfn.XLOOKUP($A614,'RAWDATA Cars Buyers DB'!$A:$A,'RAWDATA Cars Buyers DB'!K:K)&lt;31,"Adolescent","Invalid")))</f>
        <v>Adolescent</v>
      </c>
      <c r="M614" s="8" t="str">
        <f>_xlfn.XLOOKUP($A614,'RAWDATA Cars Buyers DB'!$A:$A,'RAWDATA Cars Buyers DB'!L:L)</f>
        <v>Yes</v>
      </c>
    </row>
    <row r="615" spans="1:13">
      <c r="A615" s="6">
        <v>45909</v>
      </c>
      <c r="B615" s="10" t="str">
        <f>IF(_xlfn.XLOOKUP($A615,'RAWDATA Cars Buyers DB'!$A:$A,'RAWDATA Cars Buyers DB'!B:B)="S","Single","Married")</f>
        <v>Married</v>
      </c>
      <c r="C615" s="10" t="str">
        <f>IF(_xlfn.XLOOKUP($A615,'RAWDATA Cars Buyers DB'!$A:$A,'RAWDATA Cars Buyers DB'!C:C)="F","Female","Male")</f>
        <v>Female</v>
      </c>
      <c r="D615" s="7">
        <f>_xlfn.XLOOKUP($A615,'RAWDATA Cars Buyers DB'!$A:$A,'RAWDATA Cars Buyers DB'!D:D)</f>
        <v>22100</v>
      </c>
      <c r="E615" s="8">
        <f>_xlfn.XLOOKUP($A615,'RAWDATA Cars Buyers DB'!$A:$A,'RAWDATA Cars Buyers DB'!E:E)</f>
        <v>5</v>
      </c>
      <c r="F615" s="8" t="str">
        <f>_xlfn.XLOOKUP($A615,'RAWDATA Cars Buyers DB'!$A:$A,'RAWDATA Cars Buyers DB'!F:F)</f>
        <v>Graduate Degree</v>
      </c>
      <c r="G615" s="8" t="str">
        <f>_xlfn.XLOOKUP($A615,'RAWDATA Cars Buyers DB'!$A:$A,'RAWDATA Cars Buyers DB'!G:G)</f>
        <v>Skilled Manual</v>
      </c>
      <c r="H615" s="8" t="str">
        <f>_xlfn.XLOOKUP($A615,'RAWDATA Cars Buyers DB'!$A:$A,'RAWDATA Cars Buyers DB'!H:H)</f>
        <v>No</v>
      </c>
      <c r="I615" s="8" t="str">
        <f>_xlfn.XLOOKUP($A615,'RAWDATA Cars Buyers DB'!$A:$A,'RAWDATA Cars Buyers DB'!I:I)</f>
        <v>1–2 Kilometre</v>
      </c>
      <c r="J615" s="8" t="str">
        <f>_xlfn.XLOOKUP($A615,'RAWDATA Cars Buyers DB'!$A:$A,'RAWDATA Cars Buyers DB'!J:J)</f>
        <v>Schleswig-Holstein</v>
      </c>
      <c r="K615" s="8">
        <f>_xlfn.XLOOKUP($A615,'RAWDATA Cars Buyers DB'!$A:$A,'RAWDATA Cars Buyers DB'!K:K)</f>
        <v>35</v>
      </c>
      <c r="L615" s="10" t="str">
        <f>IF(_xlfn.XLOOKUP($A615,'RAWDATA Cars Buyers DB'!$A:$A,'RAWDATA Cars Buyers DB'!K:K)&gt;54,"Old ",IF(_xlfn.XLOOKUP($A615,'RAWDATA Cars Buyers DB'!$A:$A,'RAWDATA Cars Buyers DB'!K:K)&gt;=31,"Middle Age ",IF(_xlfn.XLOOKUP($A615,'RAWDATA Cars Buyers DB'!$A:$A,'RAWDATA Cars Buyers DB'!K:K)&lt;31,"Adolescent","Invalid")))</f>
        <v xml:space="preserve">Middle Age </v>
      </c>
      <c r="M615" s="8" t="str">
        <f>_xlfn.XLOOKUP($A615,'RAWDATA Cars Buyers DB'!$A:$A,'RAWDATA Cars Buyers DB'!L:L)</f>
        <v>Yes</v>
      </c>
    </row>
    <row r="616" spans="1:13">
      <c r="A616" s="6">
        <v>99339</v>
      </c>
      <c r="B616" s="10" t="str">
        <f>IF(_xlfn.XLOOKUP($A616,'RAWDATA Cars Buyers DB'!$A:$A,'RAWDATA Cars Buyers DB'!B:B)="S","Single","Married")</f>
        <v>Married</v>
      </c>
      <c r="C616" s="10" t="str">
        <f>IF(_xlfn.XLOOKUP($A616,'RAWDATA Cars Buyers DB'!$A:$A,'RAWDATA Cars Buyers DB'!C:C)="F","Female","Male")</f>
        <v>Male</v>
      </c>
      <c r="D616" s="7">
        <f>_xlfn.XLOOKUP($A616,'RAWDATA Cars Buyers DB'!$A:$A,'RAWDATA Cars Buyers DB'!D:D)</f>
        <v>81997</v>
      </c>
      <c r="E616" s="8">
        <f>_xlfn.XLOOKUP($A616,'RAWDATA Cars Buyers DB'!$A:$A,'RAWDATA Cars Buyers DB'!E:E)</f>
        <v>2</v>
      </c>
      <c r="F616" s="8" t="str">
        <f>_xlfn.XLOOKUP($A616,'RAWDATA Cars Buyers DB'!$A:$A,'RAWDATA Cars Buyers DB'!F:F)</f>
        <v>Partial College</v>
      </c>
      <c r="G616" s="8" t="str">
        <f>_xlfn.XLOOKUP($A616,'RAWDATA Cars Buyers DB'!$A:$A,'RAWDATA Cars Buyers DB'!G:G)</f>
        <v>Professional</v>
      </c>
      <c r="H616" s="8" t="str">
        <f>_xlfn.XLOOKUP($A616,'RAWDATA Cars Buyers DB'!$A:$A,'RAWDATA Cars Buyers DB'!H:H)</f>
        <v>No</v>
      </c>
      <c r="I616" s="8" t="str">
        <f>_xlfn.XLOOKUP($A616,'RAWDATA Cars Buyers DB'!$A:$A,'RAWDATA Cars Buyers DB'!I:I)</f>
        <v>6+ Kilometre</v>
      </c>
      <c r="J616" s="8" t="str">
        <f>_xlfn.XLOOKUP($A616,'RAWDATA Cars Buyers DB'!$A:$A,'RAWDATA Cars Buyers DB'!J:J)</f>
        <v>Baden-Württemberg</v>
      </c>
      <c r="K616" s="8">
        <f>_xlfn.XLOOKUP($A616,'RAWDATA Cars Buyers DB'!$A:$A,'RAWDATA Cars Buyers DB'!K:K)</f>
        <v>23</v>
      </c>
      <c r="L616" s="10" t="str">
        <f>IF(_xlfn.XLOOKUP($A616,'RAWDATA Cars Buyers DB'!$A:$A,'RAWDATA Cars Buyers DB'!K:K)&gt;54,"Old ",IF(_xlfn.XLOOKUP($A616,'RAWDATA Cars Buyers DB'!$A:$A,'RAWDATA Cars Buyers DB'!K:K)&gt;=31,"Middle Age ",IF(_xlfn.XLOOKUP($A616,'RAWDATA Cars Buyers DB'!$A:$A,'RAWDATA Cars Buyers DB'!K:K)&lt;31,"Adolescent","Invalid")))</f>
        <v>Adolescent</v>
      </c>
      <c r="M616" s="8" t="str">
        <f>_xlfn.XLOOKUP($A616,'RAWDATA Cars Buyers DB'!$A:$A,'RAWDATA Cars Buyers DB'!L:L)</f>
        <v>Yes</v>
      </c>
    </row>
    <row r="617" spans="1:13">
      <c r="A617" s="6">
        <v>29870</v>
      </c>
      <c r="B617" s="10" t="str">
        <f>IF(_xlfn.XLOOKUP($A617,'RAWDATA Cars Buyers DB'!$A:$A,'RAWDATA Cars Buyers DB'!B:B)="S","Single","Married")</f>
        <v>Married</v>
      </c>
      <c r="C617" s="10" t="str">
        <f>IF(_xlfn.XLOOKUP($A617,'RAWDATA Cars Buyers DB'!$A:$A,'RAWDATA Cars Buyers DB'!C:C)="F","Female","Male")</f>
        <v>Male</v>
      </c>
      <c r="D617" s="7">
        <f>_xlfn.XLOOKUP($A617,'RAWDATA Cars Buyers DB'!$A:$A,'RAWDATA Cars Buyers DB'!D:D)</f>
        <v>48172</v>
      </c>
      <c r="E617" s="8">
        <f>_xlfn.XLOOKUP($A617,'RAWDATA Cars Buyers DB'!$A:$A,'RAWDATA Cars Buyers DB'!E:E)</f>
        <v>0</v>
      </c>
      <c r="F617" s="8" t="str">
        <f>_xlfn.XLOOKUP($A617,'RAWDATA Cars Buyers DB'!$A:$A,'RAWDATA Cars Buyers DB'!F:F)</f>
        <v>Partial College</v>
      </c>
      <c r="G617" s="8" t="str">
        <f>_xlfn.XLOOKUP($A617,'RAWDATA Cars Buyers DB'!$A:$A,'RAWDATA Cars Buyers DB'!G:G)</f>
        <v>Management</v>
      </c>
      <c r="H617" s="8" t="str">
        <f>_xlfn.XLOOKUP($A617,'RAWDATA Cars Buyers DB'!$A:$A,'RAWDATA Cars Buyers DB'!H:H)</f>
        <v>No</v>
      </c>
      <c r="I617" s="8" t="str">
        <f>_xlfn.XLOOKUP($A617,'RAWDATA Cars Buyers DB'!$A:$A,'RAWDATA Cars Buyers DB'!I:I)</f>
        <v>6+ Kilometre</v>
      </c>
      <c r="J617" s="8" t="str">
        <f>_xlfn.XLOOKUP($A617,'RAWDATA Cars Buyers DB'!$A:$A,'RAWDATA Cars Buyers DB'!J:J)</f>
        <v>Bavaria</v>
      </c>
      <c r="K617" s="8">
        <f>_xlfn.XLOOKUP($A617,'RAWDATA Cars Buyers DB'!$A:$A,'RAWDATA Cars Buyers DB'!K:K)</f>
        <v>46</v>
      </c>
      <c r="L617" s="10" t="str">
        <f>IF(_xlfn.XLOOKUP($A617,'RAWDATA Cars Buyers DB'!$A:$A,'RAWDATA Cars Buyers DB'!K:K)&gt;54,"Old ",IF(_xlfn.XLOOKUP($A617,'RAWDATA Cars Buyers DB'!$A:$A,'RAWDATA Cars Buyers DB'!K:K)&gt;=31,"Middle Age ",IF(_xlfn.XLOOKUP($A617,'RAWDATA Cars Buyers DB'!$A:$A,'RAWDATA Cars Buyers DB'!K:K)&lt;31,"Adolescent","Invalid")))</f>
        <v xml:space="preserve">Middle Age </v>
      </c>
      <c r="M617" s="8" t="str">
        <f>_xlfn.XLOOKUP($A617,'RAWDATA Cars Buyers DB'!$A:$A,'RAWDATA Cars Buyers DB'!L:L)</f>
        <v>No</v>
      </c>
    </row>
    <row r="618" spans="1:13">
      <c r="A618" s="6">
        <v>44578</v>
      </c>
      <c r="B618" s="10" t="str">
        <f>IF(_xlfn.XLOOKUP($A618,'RAWDATA Cars Buyers DB'!$A:$A,'RAWDATA Cars Buyers DB'!B:B)="S","Single","Married")</f>
        <v>Single</v>
      </c>
      <c r="C618" s="10" t="str">
        <f>IF(_xlfn.XLOOKUP($A618,'RAWDATA Cars Buyers DB'!$A:$A,'RAWDATA Cars Buyers DB'!C:C)="F","Female","Male")</f>
        <v>Female</v>
      </c>
      <c r="D618" s="7">
        <f>_xlfn.XLOOKUP($A618,'RAWDATA Cars Buyers DB'!$A:$A,'RAWDATA Cars Buyers DB'!D:D)</f>
        <v>40132</v>
      </c>
      <c r="E618" s="8">
        <f>_xlfn.XLOOKUP($A618,'RAWDATA Cars Buyers DB'!$A:$A,'RAWDATA Cars Buyers DB'!E:E)</f>
        <v>4</v>
      </c>
      <c r="F618" s="8" t="str">
        <f>_xlfn.XLOOKUP($A618,'RAWDATA Cars Buyers DB'!$A:$A,'RAWDATA Cars Buyers DB'!F:F)</f>
        <v>Bachelors</v>
      </c>
      <c r="G618" s="8" t="str">
        <f>_xlfn.XLOOKUP($A618,'RAWDATA Cars Buyers DB'!$A:$A,'RAWDATA Cars Buyers DB'!G:G)</f>
        <v>Skilled Manual</v>
      </c>
      <c r="H618" s="8" t="str">
        <f>_xlfn.XLOOKUP($A618,'RAWDATA Cars Buyers DB'!$A:$A,'RAWDATA Cars Buyers DB'!H:H)</f>
        <v>No</v>
      </c>
      <c r="I618" s="8" t="str">
        <f>_xlfn.XLOOKUP($A618,'RAWDATA Cars Buyers DB'!$A:$A,'RAWDATA Cars Buyers DB'!I:I)</f>
        <v>4–6 Kilometre</v>
      </c>
      <c r="J618" s="8" t="str">
        <f>_xlfn.XLOOKUP($A618,'RAWDATA Cars Buyers DB'!$A:$A,'RAWDATA Cars Buyers DB'!J:J)</f>
        <v>North Rhine-Westphalia</v>
      </c>
      <c r="K618" s="8">
        <f>_xlfn.XLOOKUP($A618,'RAWDATA Cars Buyers DB'!$A:$A,'RAWDATA Cars Buyers DB'!K:K)</f>
        <v>47</v>
      </c>
      <c r="L618" s="10" t="str">
        <f>IF(_xlfn.XLOOKUP($A618,'RAWDATA Cars Buyers DB'!$A:$A,'RAWDATA Cars Buyers DB'!K:K)&gt;54,"Old ",IF(_xlfn.XLOOKUP($A618,'RAWDATA Cars Buyers DB'!$A:$A,'RAWDATA Cars Buyers DB'!K:K)&gt;=31,"Middle Age ",IF(_xlfn.XLOOKUP($A618,'RAWDATA Cars Buyers DB'!$A:$A,'RAWDATA Cars Buyers DB'!K:K)&lt;31,"Adolescent","Invalid")))</f>
        <v xml:space="preserve">Middle Age </v>
      </c>
      <c r="M618" s="8" t="str">
        <f>_xlfn.XLOOKUP($A618,'RAWDATA Cars Buyers DB'!$A:$A,'RAWDATA Cars Buyers DB'!L:L)</f>
        <v>No</v>
      </c>
    </row>
    <row r="619" spans="1:13">
      <c r="A619" s="6">
        <v>82124</v>
      </c>
      <c r="B619" s="10" t="str">
        <f>IF(_xlfn.XLOOKUP($A619,'RAWDATA Cars Buyers DB'!$A:$A,'RAWDATA Cars Buyers DB'!B:B)="S","Single","Married")</f>
        <v>Married</v>
      </c>
      <c r="C619" s="10" t="str">
        <f>IF(_xlfn.XLOOKUP($A619,'RAWDATA Cars Buyers DB'!$A:$A,'RAWDATA Cars Buyers DB'!C:C)="F","Female","Male")</f>
        <v>Male</v>
      </c>
      <c r="D619" s="7">
        <f>_xlfn.XLOOKUP($A619,'RAWDATA Cars Buyers DB'!$A:$A,'RAWDATA Cars Buyers DB'!D:D)</f>
        <v>38199</v>
      </c>
      <c r="E619" s="8">
        <f>_xlfn.XLOOKUP($A619,'RAWDATA Cars Buyers DB'!$A:$A,'RAWDATA Cars Buyers DB'!E:E)</f>
        <v>2</v>
      </c>
      <c r="F619" s="8" t="str">
        <f>_xlfn.XLOOKUP($A619,'RAWDATA Cars Buyers DB'!$A:$A,'RAWDATA Cars Buyers DB'!F:F)</f>
        <v>Bachelors</v>
      </c>
      <c r="G619" s="8" t="str">
        <f>_xlfn.XLOOKUP($A619,'RAWDATA Cars Buyers DB'!$A:$A,'RAWDATA Cars Buyers DB'!G:G)</f>
        <v>Skilled Manual</v>
      </c>
      <c r="H619" s="8" t="str">
        <f>_xlfn.XLOOKUP($A619,'RAWDATA Cars Buyers DB'!$A:$A,'RAWDATA Cars Buyers DB'!H:H)</f>
        <v>No</v>
      </c>
      <c r="I619" s="8" t="str">
        <f>_xlfn.XLOOKUP($A619,'RAWDATA Cars Buyers DB'!$A:$A,'RAWDATA Cars Buyers DB'!I:I)</f>
        <v>4–6 Kilometre</v>
      </c>
      <c r="J619" s="8" t="str">
        <f>_xlfn.XLOOKUP($A619,'RAWDATA Cars Buyers DB'!$A:$A,'RAWDATA Cars Buyers DB'!J:J)</f>
        <v>Brandenburg</v>
      </c>
      <c r="K619" s="8">
        <f>_xlfn.XLOOKUP($A619,'RAWDATA Cars Buyers DB'!$A:$A,'RAWDATA Cars Buyers DB'!K:K)</f>
        <v>62</v>
      </c>
      <c r="L619" s="10" t="str">
        <f>IF(_xlfn.XLOOKUP($A619,'RAWDATA Cars Buyers DB'!$A:$A,'RAWDATA Cars Buyers DB'!K:K)&gt;54,"Old ",IF(_xlfn.XLOOKUP($A619,'RAWDATA Cars Buyers DB'!$A:$A,'RAWDATA Cars Buyers DB'!K:K)&gt;=31,"Middle Age ",IF(_xlfn.XLOOKUP($A619,'RAWDATA Cars Buyers DB'!$A:$A,'RAWDATA Cars Buyers DB'!K:K)&lt;31,"Adolescent","Invalid")))</f>
        <v xml:space="preserve">Old </v>
      </c>
      <c r="M619" s="8" t="str">
        <f>_xlfn.XLOOKUP($A619,'RAWDATA Cars Buyers DB'!$A:$A,'RAWDATA Cars Buyers DB'!L:L)</f>
        <v>No</v>
      </c>
    </row>
    <row r="620" spans="1:13">
      <c r="A620" s="6">
        <v>36790</v>
      </c>
      <c r="B620" s="10" t="str">
        <f>IF(_xlfn.XLOOKUP($A620,'RAWDATA Cars Buyers DB'!$A:$A,'RAWDATA Cars Buyers DB'!B:B)="S","Single","Married")</f>
        <v>Single</v>
      </c>
      <c r="C620" s="10" t="str">
        <f>IF(_xlfn.XLOOKUP($A620,'RAWDATA Cars Buyers DB'!$A:$A,'RAWDATA Cars Buyers DB'!C:C)="F","Female","Male")</f>
        <v>Female</v>
      </c>
      <c r="D620" s="7">
        <f>_xlfn.XLOOKUP($A620,'RAWDATA Cars Buyers DB'!$A:$A,'RAWDATA Cars Buyers DB'!D:D)</f>
        <v>56609</v>
      </c>
      <c r="E620" s="8">
        <f>_xlfn.XLOOKUP($A620,'RAWDATA Cars Buyers DB'!$A:$A,'RAWDATA Cars Buyers DB'!E:E)</f>
        <v>1</v>
      </c>
      <c r="F620" s="8" t="str">
        <f>_xlfn.XLOOKUP($A620,'RAWDATA Cars Buyers DB'!$A:$A,'RAWDATA Cars Buyers DB'!F:F)</f>
        <v>Bachelors</v>
      </c>
      <c r="G620" s="8" t="str">
        <f>_xlfn.XLOOKUP($A620,'RAWDATA Cars Buyers DB'!$A:$A,'RAWDATA Cars Buyers DB'!G:G)</f>
        <v>Management</v>
      </c>
      <c r="H620" s="8" t="str">
        <f>_xlfn.XLOOKUP($A620,'RAWDATA Cars Buyers DB'!$A:$A,'RAWDATA Cars Buyers DB'!H:H)</f>
        <v>No</v>
      </c>
      <c r="I620" s="8" t="str">
        <f>_xlfn.XLOOKUP($A620,'RAWDATA Cars Buyers DB'!$A:$A,'RAWDATA Cars Buyers DB'!I:I)</f>
        <v>0–1 Kilometre</v>
      </c>
      <c r="J620" s="8" t="str">
        <f>_xlfn.XLOOKUP($A620,'RAWDATA Cars Buyers DB'!$A:$A,'RAWDATA Cars Buyers DB'!J:J)</f>
        <v>Brandenburg</v>
      </c>
      <c r="K620" s="8">
        <f>_xlfn.XLOOKUP($A620,'RAWDATA Cars Buyers DB'!$A:$A,'RAWDATA Cars Buyers DB'!K:K)</f>
        <v>35</v>
      </c>
      <c r="L620" s="10" t="str">
        <f>IF(_xlfn.XLOOKUP($A620,'RAWDATA Cars Buyers DB'!$A:$A,'RAWDATA Cars Buyers DB'!K:K)&gt;54,"Old ",IF(_xlfn.XLOOKUP($A620,'RAWDATA Cars Buyers DB'!$A:$A,'RAWDATA Cars Buyers DB'!K:K)&gt;=31,"Middle Age ",IF(_xlfn.XLOOKUP($A620,'RAWDATA Cars Buyers DB'!$A:$A,'RAWDATA Cars Buyers DB'!K:K)&lt;31,"Adolescent","Invalid")))</f>
        <v xml:space="preserve">Middle Age </v>
      </c>
      <c r="M620" s="8" t="str">
        <f>_xlfn.XLOOKUP($A620,'RAWDATA Cars Buyers DB'!$A:$A,'RAWDATA Cars Buyers DB'!L:L)</f>
        <v>No</v>
      </c>
    </row>
    <row r="621" spans="1:13">
      <c r="A621" s="6">
        <v>35289</v>
      </c>
      <c r="B621" s="10" t="str">
        <f>IF(_xlfn.XLOOKUP($A621,'RAWDATA Cars Buyers DB'!$A:$A,'RAWDATA Cars Buyers DB'!B:B)="S","Single","Married")</f>
        <v>Married</v>
      </c>
      <c r="C621" s="10" t="str">
        <f>IF(_xlfn.XLOOKUP($A621,'RAWDATA Cars Buyers DB'!$A:$A,'RAWDATA Cars Buyers DB'!C:C)="F","Female","Male")</f>
        <v>Female</v>
      </c>
      <c r="D621" s="7">
        <f>_xlfn.XLOOKUP($A621,'RAWDATA Cars Buyers DB'!$A:$A,'RAWDATA Cars Buyers DB'!D:D)</f>
        <v>62965</v>
      </c>
      <c r="E621" s="8">
        <f>_xlfn.XLOOKUP($A621,'RAWDATA Cars Buyers DB'!$A:$A,'RAWDATA Cars Buyers DB'!E:E)</f>
        <v>5</v>
      </c>
      <c r="F621" s="8" t="str">
        <f>_xlfn.XLOOKUP($A621,'RAWDATA Cars Buyers DB'!$A:$A,'RAWDATA Cars Buyers DB'!F:F)</f>
        <v>High School</v>
      </c>
      <c r="G621" s="8" t="str">
        <f>_xlfn.XLOOKUP($A621,'RAWDATA Cars Buyers DB'!$A:$A,'RAWDATA Cars Buyers DB'!G:G)</f>
        <v>Management</v>
      </c>
      <c r="H621" s="8" t="str">
        <f>_xlfn.XLOOKUP($A621,'RAWDATA Cars Buyers DB'!$A:$A,'RAWDATA Cars Buyers DB'!H:H)</f>
        <v>Yes</v>
      </c>
      <c r="I621" s="8" t="str">
        <f>_xlfn.XLOOKUP($A621,'RAWDATA Cars Buyers DB'!$A:$A,'RAWDATA Cars Buyers DB'!I:I)</f>
        <v>0–1 Kilometre</v>
      </c>
      <c r="J621" s="8" t="str">
        <f>_xlfn.XLOOKUP($A621,'RAWDATA Cars Buyers DB'!$A:$A,'RAWDATA Cars Buyers DB'!J:J)</f>
        <v>Bavaria</v>
      </c>
      <c r="K621" s="8">
        <f>_xlfn.XLOOKUP($A621,'RAWDATA Cars Buyers DB'!$A:$A,'RAWDATA Cars Buyers DB'!K:K)</f>
        <v>52</v>
      </c>
      <c r="L621" s="10" t="str">
        <f>IF(_xlfn.XLOOKUP($A621,'RAWDATA Cars Buyers DB'!$A:$A,'RAWDATA Cars Buyers DB'!K:K)&gt;54,"Old ",IF(_xlfn.XLOOKUP($A621,'RAWDATA Cars Buyers DB'!$A:$A,'RAWDATA Cars Buyers DB'!K:K)&gt;=31,"Middle Age ",IF(_xlfn.XLOOKUP($A621,'RAWDATA Cars Buyers DB'!$A:$A,'RAWDATA Cars Buyers DB'!K:K)&lt;31,"Adolescent","Invalid")))</f>
        <v xml:space="preserve">Middle Age </v>
      </c>
      <c r="M621" s="8" t="str">
        <f>_xlfn.XLOOKUP($A621,'RAWDATA Cars Buyers DB'!$A:$A,'RAWDATA Cars Buyers DB'!L:L)</f>
        <v>No</v>
      </c>
    </row>
    <row r="622" spans="1:13">
      <c r="A622" s="6">
        <v>65129</v>
      </c>
      <c r="B622" s="10" t="str">
        <f>IF(_xlfn.XLOOKUP($A622,'RAWDATA Cars Buyers DB'!$A:$A,'RAWDATA Cars Buyers DB'!B:B)="S","Single","Married")</f>
        <v>Single</v>
      </c>
      <c r="C622" s="10" t="str">
        <f>IF(_xlfn.XLOOKUP($A622,'RAWDATA Cars Buyers DB'!$A:$A,'RAWDATA Cars Buyers DB'!C:C)="F","Female","Male")</f>
        <v>Male</v>
      </c>
      <c r="D622" s="7">
        <f>_xlfn.XLOOKUP($A622,'RAWDATA Cars Buyers DB'!$A:$A,'RAWDATA Cars Buyers DB'!D:D)</f>
        <v>28016</v>
      </c>
      <c r="E622" s="8">
        <f>_xlfn.XLOOKUP($A622,'RAWDATA Cars Buyers DB'!$A:$A,'RAWDATA Cars Buyers DB'!E:E)</f>
        <v>5</v>
      </c>
      <c r="F622" s="8" t="str">
        <f>_xlfn.XLOOKUP($A622,'RAWDATA Cars Buyers DB'!$A:$A,'RAWDATA Cars Buyers DB'!F:F)</f>
        <v>High School</v>
      </c>
      <c r="G622" s="8" t="str">
        <f>_xlfn.XLOOKUP($A622,'RAWDATA Cars Buyers DB'!$A:$A,'RAWDATA Cars Buyers DB'!G:G)</f>
        <v>Management</v>
      </c>
      <c r="H622" s="8" t="str">
        <f>_xlfn.XLOOKUP($A622,'RAWDATA Cars Buyers DB'!$A:$A,'RAWDATA Cars Buyers DB'!H:H)</f>
        <v>No</v>
      </c>
      <c r="I622" s="8" t="str">
        <f>_xlfn.XLOOKUP($A622,'RAWDATA Cars Buyers DB'!$A:$A,'RAWDATA Cars Buyers DB'!I:I)</f>
        <v>2–4 Kilometre</v>
      </c>
      <c r="J622" s="8" t="str">
        <f>_xlfn.XLOOKUP($A622,'RAWDATA Cars Buyers DB'!$A:$A,'RAWDATA Cars Buyers DB'!J:J)</f>
        <v>Brandenburg</v>
      </c>
      <c r="K622" s="8">
        <f>_xlfn.XLOOKUP($A622,'RAWDATA Cars Buyers DB'!$A:$A,'RAWDATA Cars Buyers DB'!K:K)</f>
        <v>67</v>
      </c>
      <c r="L622" s="10" t="str">
        <f>IF(_xlfn.XLOOKUP($A622,'RAWDATA Cars Buyers DB'!$A:$A,'RAWDATA Cars Buyers DB'!K:K)&gt;54,"Old ",IF(_xlfn.XLOOKUP($A622,'RAWDATA Cars Buyers DB'!$A:$A,'RAWDATA Cars Buyers DB'!K:K)&gt;=31,"Middle Age ",IF(_xlfn.XLOOKUP($A622,'RAWDATA Cars Buyers DB'!$A:$A,'RAWDATA Cars Buyers DB'!K:K)&lt;31,"Adolescent","Invalid")))</f>
        <v xml:space="preserve">Old </v>
      </c>
      <c r="M622" s="8" t="str">
        <f>_xlfn.XLOOKUP($A622,'RAWDATA Cars Buyers DB'!$A:$A,'RAWDATA Cars Buyers DB'!L:L)</f>
        <v>No</v>
      </c>
    </row>
    <row r="623" spans="1:13">
      <c r="A623" s="6">
        <v>25485</v>
      </c>
      <c r="B623" s="10" t="str">
        <f>IF(_xlfn.XLOOKUP($A623,'RAWDATA Cars Buyers DB'!$A:$A,'RAWDATA Cars Buyers DB'!B:B)="S","Single","Married")</f>
        <v>Single</v>
      </c>
      <c r="C623" s="10" t="str">
        <f>IF(_xlfn.XLOOKUP($A623,'RAWDATA Cars Buyers DB'!$A:$A,'RAWDATA Cars Buyers DB'!C:C)="F","Female","Male")</f>
        <v>Female</v>
      </c>
      <c r="D623" s="7">
        <f>_xlfn.XLOOKUP($A623,'RAWDATA Cars Buyers DB'!$A:$A,'RAWDATA Cars Buyers DB'!D:D)</f>
        <v>59779</v>
      </c>
      <c r="E623" s="8">
        <f>_xlfn.XLOOKUP($A623,'RAWDATA Cars Buyers DB'!$A:$A,'RAWDATA Cars Buyers DB'!E:E)</f>
        <v>3</v>
      </c>
      <c r="F623" s="8" t="str">
        <f>_xlfn.XLOOKUP($A623,'RAWDATA Cars Buyers DB'!$A:$A,'RAWDATA Cars Buyers DB'!F:F)</f>
        <v>Partial College</v>
      </c>
      <c r="G623" s="8" t="str">
        <f>_xlfn.XLOOKUP($A623,'RAWDATA Cars Buyers DB'!$A:$A,'RAWDATA Cars Buyers DB'!G:G)</f>
        <v>Professional</v>
      </c>
      <c r="H623" s="8" t="str">
        <f>_xlfn.XLOOKUP($A623,'RAWDATA Cars Buyers DB'!$A:$A,'RAWDATA Cars Buyers DB'!H:H)</f>
        <v>No</v>
      </c>
      <c r="I623" s="8" t="str">
        <f>_xlfn.XLOOKUP($A623,'RAWDATA Cars Buyers DB'!$A:$A,'RAWDATA Cars Buyers DB'!I:I)</f>
        <v>2–4 Kilometre</v>
      </c>
      <c r="J623" s="8" t="str">
        <f>_xlfn.XLOOKUP($A623,'RAWDATA Cars Buyers DB'!$A:$A,'RAWDATA Cars Buyers DB'!J:J)</f>
        <v>Hamburg</v>
      </c>
      <c r="K623" s="8">
        <f>_xlfn.XLOOKUP($A623,'RAWDATA Cars Buyers DB'!$A:$A,'RAWDATA Cars Buyers DB'!K:K)</f>
        <v>38</v>
      </c>
      <c r="L623" s="10" t="str">
        <f>IF(_xlfn.XLOOKUP($A623,'RAWDATA Cars Buyers DB'!$A:$A,'RAWDATA Cars Buyers DB'!K:K)&gt;54,"Old ",IF(_xlfn.XLOOKUP($A623,'RAWDATA Cars Buyers DB'!$A:$A,'RAWDATA Cars Buyers DB'!K:K)&gt;=31,"Middle Age ",IF(_xlfn.XLOOKUP($A623,'RAWDATA Cars Buyers DB'!$A:$A,'RAWDATA Cars Buyers DB'!K:K)&lt;31,"Adolescent","Invalid")))</f>
        <v xml:space="preserve">Middle Age </v>
      </c>
      <c r="M623" s="8" t="str">
        <f>_xlfn.XLOOKUP($A623,'RAWDATA Cars Buyers DB'!$A:$A,'RAWDATA Cars Buyers DB'!L:L)</f>
        <v>Yes</v>
      </c>
    </row>
    <row r="624" spans="1:13">
      <c r="A624" s="6">
        <v>54482</v>
      </c>
      <c r="B624" s="10" t="str">
        <f>IF(_xlfn.XLOOKUP($A624,'RAWDATA Cars Buyers DB'!$A:$A,'RAWDATA Cars Buyers DB'!B:B)="S","Single","Married")</f>
        <v>Married</v>
      </c>
      <c r="C624" s="10" t="str">
        <f>IF(_xlfn.XLOOKUP($A624,'RAWDATA Cars Buyers DB'!$A:$A,'RAWDATA Cars Buyers DB'!C:C)="F","Female","Male")</f>
        <v>Female</v>
      </c>
      <c r="D624" s="7">
        <f>_xlfn.XLOOKUP($A624,'RAWDATA Cars Buyers DB'!$A:$A,'RAWDATA Cars Buyers DB'!D:D)</f>
        <v>51881</v>
      </c>
      <c r="E624" s="8">
        <f>_xlfn.XLOOKUP($A624,'RAWDATA Cars Buyers DB'!$A:$A,'RAWDATA Cars Buyers DB'!E:E)</f>
        <v>1</v>
      </c>
      <c r="F624" s="8" t="str">
        <f>_xlfn.XLOOKUP($A624,'RAWDATA Cars Buyers DB'!$A:$A,'RAWDATA Cars Buyers DB'!F:F)</f>
        <v>High School</v>
      </c>
      <c r="G624" s="8" t="str">
        <f>_xlfn.XLOOKUP($A624,'RAWDATA Cars Buyers DB'!$A:$A,'RAWDATA Cars Buyers DB'!G:G)</f>
        <v>Management</v>
      </c>
      <c r="H624" s="8" t="str">
        <f>_xlfn.XLOOKUP($A624,'RAWDATA Cars Buyers DB'!$A:$A,'RAWDATA Cars Buyers DB'!H:H)</f>
        <v>No</v>
      </c>
      <c r="I624" s="8" t="str">
        <f>_xlfn.XLOOKUP($A624,'RAWDATA Cars Buyers DB'!$A:$A,'RAWDATA Cars Buyers DB'!I:I)</f>
        <v>6+ Kilometre</v>
      </c>
      <c r="J624" s="8" t="str">
        <f>_xlfn.XLOOKUP($A624,'RAWDATA Cars Buyers DB'!$A:$A,'RAWDATA Cars Buyers DB'!J:J)</f>
        <v>Saarland</v>
      </c>
      <c r="K624" s="8">
        <f>_xlfn.XLOOKUP($A624,'RAWDATA Cars Buyers DB'!$A:$A,'RAWDATA Cars Buyers DB'!K:K)</f>
        <v>40</v>
      </c>
      <c r="L624" s="10" t="str">
        <f>IF(_xlfn.XLOOKUP($A624,'RAWDATA Cars Buyers DB'!$A:$A,'RAWDATA Cars Buyers DB'!K:K)&gt;54,"Old ",IF(_xlfn.XLOOKUP($A624,'RAWDATA Cars Buyers DB'!$A:$A,'RAWDATA Cars Buyers DB'!K:K)&gt;=31,"Middle Age ",IF(_xlfn.XLOOKUP($A624,'RAWDATA Cars Buyers DB'!$A:$A,'RAWDATA Cars Buyers DB'!K:K)&lt;31,"Adolescent","Invalid")))</f>
        <v xml:space="preserve">Middle Age </v>
      </c>
      <c r="M624" s="8" t="str">
        <f>_xlfn.XLOOKUP($A624,'RAWDATA Cars Buyers DB'!$A:$A,'RAWDATA Cars Buyers DB'!L:L)</f>
        <v>No</v>
      </c>
    </row>
    <row r="625" spans="1:13">
      <c r="A625" s="6">
        <v>96188</v>
      </c>
      <c r="B625" s="10" t="str">
        <f>IF(_xlfn.XLOOKUP($A625,'RAWDATA Cars Buyers DB'!$A:$A,'RAWDATA Cars Buyers DB'!B:B)="S","Single","Married")</f>
        <v>Married</v>
      </c>
      <c r="C625" s="10" t="str">
        <f>IF(_xlfn.XLOOKUP($A625,'RAWDATA Cars Buyers DB'!$A:$A,'RAWDATA Cars Buyers DB'!C:C)="F","Female","Male")</f>
        <v>Male</v>
      </c>
      <c r="D625" s="7">
        <f>_xlfn.XLOOKUP($A625,'RAWDATA Cars Buyers DB'!$A:$A,'RAWDATA Cars Buyers DB'!D:D)</f>
        <v>102594</v>
      </c>
      <c r="E625" s="8">
        <f>_xlfn.XLOOKUP($A625,'RAWDATA Cars Buyers DB'!$A:$A,'RAWDATA Cars Buyers DB'!E:E)</f>
        <v>3</v>
      </c>
      <c r="F625" s="8" t="str">
        <f>_xlfn.XLOOKUP($A625,'RAWDATA Cars Buyers DB'!$A:$A,'RAWDATA Cars Buyers DB'!F:F)</f>
        <v>Bachelors</v>
      </c>
      <c r="G625" s="8" t="str">
        <f>_xlfn.XLOOKUP($A625,'RAWDATA Cars Buyers DB'!$A:$A,'RAWDATA Cars Buyers DB'!G:G)</f>
        <v>Clerical</v>
      </c>
      <c r="H625" s="8" t="str">
        <f>_xlfn.XLOOKUP($A625,'RAWDATA Cars Buyers DB'!$A:$A,'RAWDATA Cars Buyers DB'!H:H)</f>
        <v>No</v>
      </c>
      <c r="I625" s="8" t="str">
        <f>_xlfn.XLOOKUP($A625,'RAWDATA Cars Buyers DB'!$A:$A,'RAWDATA Cars Buyers DB'!I:I)</f>
        <v>6+ Kilometre</v>
      </c>
      <c r="J625" s="8" t="str">
        <f>_xlfn.XLOOKUP($A625,'RAWDATA Cars Buyers DB'!$A:$A,'RAWDATA Cars Buyers DB'!J:J)</f>
        <v>Bremen</v>
      </c>
      <c r="K625" s="8">
        <f>_xlfn.XLOOKUP($A625,'RAWDATA Cars Buyers DB'!$A:$A,'RAWDATA Cars Buyers DB'!K:K)</f>
        <v>41</v>
      </c>
      <c r="L625" s="10" t="str">
        <f>IF(_xlfn.XLOOKUP($A625,'RAWDATA Cars Buyers DB'!$A:$A,'RAWDATA Cars Buyers DB'!K:K)&gt;54,"Old ",IF(_xlfn.XLOOKUP($A625,'RAWDATA Cars Buyers DB'!$A:$A,'RAWDATA Cars Buyers DB'!K:K)&gt;=31,"Middle Age ",IF(_xlfn.XLOOKUP($A625,'RAWDATA Cars Buyers DB'!$A:$A,'RAWDATA Cars Buyers DB'!K:K)&lt;31,"Adolescent","Invalid")))</f>
        <v xml:space="preserve">Middle Age </v>
      </c>
      <c r="M625" s="8" t="str">
        <f>_xlfn.XLOOKUP($A625,'RAWDATA Cars Buyers DB'!$A:$A,'RAWDATA Cars Buyers DB'!L:L)</f>
        <v>Yes</v>
      </c>
    </row>
    <row r="626" spans="1:13">
      <c r="A626" s="6">
        <v>14748</v>
      </c>
      <c r="B626" s="10" t="str">
        <f>IF(_xlfn.XLOOKUP($A626,'RAWDATA Cars Buyers DB'!$A:$A,'RAWDATA Cars Buyers DB'!B:B)="S","Single","Married")</f>
        <v>Married</v>
      </c>
      <c r="C626" s="10" t="str">
        <f>IF(_xlfn.XLOOKUP($A626,'RAWDATA Cars Buyers DB'!$A:$A,'RAWDATA Cars Buyers DB'!C:C)="F","Female","Male")</f>
        <v>Female</v>
      </c>
      <c r="D626" s="7">
        <f>_xlfn.XLOOKUP($A626,'RAWDATA Cars Buyers DB'!$A:$A,'RAWDATA Cars Buyers DB'!D:D)</f>
        <v>44472</v>
      </c>
      <c r="E626" s="8">
        <f>_xlfn.XLOOKUP($A626,'RAWDATA Cars Buyers DB'!$A:$A,'RAWDATA Cars Buyers DB'!E:E)</f>
        <v>2</v>
      </c>
      <c r="F626" s="8" t="str">
        <f>_xlfn.XLOOKUP($A626,'RAWDATA Cars Buyers DB'!$A:$A,'RAWDATA Cars Buyers DB'!F:F)</f>
        <v>Bachelors</v>
      </c>
      <c r="G626" s="8" t="str">
        <f>_xlfn.XLOOKUP($A626,'RAWDATA Cars Buyers DB'!$A:$A,'RAWDATA Cars Buyers DB'!G:G)</f>
        <v>Skilled Manual</v>
      </c>
      <c r="H626" s="8" t="str">
        <f>_xlfn.XLOOKUP($A626,'RAWDATA Cars Buyers DB'!$A:$A,'RAWDATA Cars Buyers DB'!H:H)</f>
        <v>No</v>
      </c>
      <c r="I626" s="8" t="str">
        <f>_xlfn.XLOOKUP($A626,'RAWDATA Cars Buyers DB'!$A:$A,'RAWDATA Cars Buyers DB'!I:I)</f>
        <v>1–2 Kilometre</v>
      </c>
      <c r="J626" s="8" t="str">
        <f>_xlfn.XLOOKUP($A626,'RAWDATA Cars Buyers DB'!$A:$A,'RAWDATA Cars Buyers DB'!J:J)</f>
        <v>Baden-Württemberg</v>
      </c>
      <c r="K626" s="8">
        <f>_xlfn.XLOOKUP($A626,'RAWDATA Cars Buyers DB'!$A:$A,'RAWDATA Cars Buyers DB'!K:K)</f>
        <v>28</v>
      </c>
      <c r="L626" s="10" t="str">
        <f>IF(_xlfn.XLOOKUP($A626,'RAWDATA Cars Buyers DB'!$A:$A,'RAWDATA Cars Buyers DB'!K:K)&gt;54,"Old ",IF(_xlfn.XLOOKUP($A626,'RAWDATA Cars Buyers DB'!$A:$A,'RAWDATA Cars Buyers DB'!K:K)&gt;=31,"Middle Age ",IF(_xlfn.XLOOKUP($A626,'RAWDATA Cars Buyers DB'!$A:$A,'RAWDATA Cars Buyers DB'!K:K)&lt;31,"Adolescent","Invalid")))</f>
        <v>Adolescent</v>
      </c>
      <c r="M626" s="8" t="str">
        <f>_xlfn.XLOOKUP($A626,'RAWDATA Cars Buyers DB'!$A:$A,'RAWDATA Cars Buyers DB'!L:L)</f>
        <v>No</v>
      </c>
    </row>
    <row r="627" spans="1:13">
      <c r="A627" s="6">
        <v>96769</v>
      </c>
      <c r="B627" s="10" t="str">
        <f>IF(_xlfn.XLOOKUP($A627,'RAWDATA Cars Buyers DB'!$A:$A,'RAWDATA Cars Buyers DB'!B:B)="S","Single","Married")</f>
        <v>Married</v>
      </c>
      <c r="C627" s="10" t="str">
        <f>IF(_xlfn.XLOOKUP($A627,'RAWDATA Cars Buyers DB'!$A:$A,'RAWDATA Cars Buyers DB'!C:C)="F","Female","Male")</f>
        <v>Female</v>
      </c>
      <c r="D627" s="7">
        <f>_xlfn.XLOOKUP($A627,'RAWDATA Cars Buyers DB'!$A:$A,'RAWDATA Cars Buyers DB'!D:D)</f>
        <v>71813</v>
      </c>
      <c r="E627" s="8">
        <f>_xlfn.XLOOKUP($A627,'RAWDATA Cars Buyers DB'!$A:$A,'RAWDATA Cars Buyers DB'!E:E)</f>
        <v>0</v>
      </c>
      <c r="F627" s="8" t="str">
        <f>_xlfn.XLOOKUP($A627,'RAWDATA Cars Buyers DB'!$A:$A,'RAWDATA Cars Buyers DB'!F:F)</f>
        <v>High School</v>
      </c>
      <c r="G627" s="8" t="str">
        <f>_xlfn.XLOOKUP($A627,'RAWDATA Cars Buyers DB'!$A:$A,'RAWDATA Cars Buyers DB'!G:G)</f>
        <v>Management</v>
      </c>
      <c r="H627" s="8" t="str">
        <f>_xlfn.XLOOKUP($A627,'RAWDATA Cars Buyers DB'!$A:$A,'RAWDATA Cars Buyers DB'!H:H)</f>
        <v>No</v>
      </c>
      <c r="I627" s="8" t="str">
        <f>_xlfn.XLOOKUP($A627,'RAWDATA Cars Buyers DB'!$A:$A,'RAWDATA Cars Buyers DB'!I:I)</f>
        <v>1–2 Kilometre</v>
      </c>
      <c r="J627" s="8" t="str">
        <f>_xlfn.XLOOKUP($A627,'RAWDATA Cars Buyers DB'!$A:$A,'RAWDATA Cars Buyers DB'!J:J)</f>
        <v>Thuringia</v>
      </c>
      <c r="K627" s="8">
        <f>_xlfn.XLOOKUP($A627,'RAWDATA Cars Buyers DB'!$A:$A,'RAWDATA Cars Buyers DB'!K:K)</f>
        <v>28</v>
      </c>
      <c r="L627" s="10" t="str">
        <f>IF(_xlfn.XLOOKUP($A627,'RAWDATA Cars Buyers DB'!$A:$A,'RAWDATA Cars Buyers DB'!K:K)&gt;54,"Old ",IF(_xlfn.XLOOKUP($A627,'RAWDATA Cars Buyers DB'!$A:$A,'RAWDATA Cars Buyers DB'!K:K)&gt;=31,"Middle Age ",IF(_xlfn.XLOOKUP($A627,'RAWDATA Cars Buyers DB'!$A:$A,'RAWDATA Cars Buyers DB'!K:K)&lt;31,"Adolescent","Invalid")))</f>
        <v>Adolescent</v>
      </c>
      <c r="M627" s="8" t="str">
        <f>_xlfn.XLOOKUP($A627,'RAWDATA Cars Buyers DB'!$A:$A,'RAWDATA Cars Buyers DB'!L:L)</f>
        <v>No</v>
      </c>
    </row>
    <row r="628" spans="1:13">
      <c r="A628" s="6">
        <v>13709</v>
      </c>
      <c r="B628" s="10" t="str">
        <f>IF(_xlfn.XLOOKUP($A628,'RAWDATA Cars Buyers DB'!$A:$A,'RAWDATA Cars Buyers DB'!B:B)="S","Single","Married")</f>
        <v>Married</v>
      </c>
      <c r="C628" s="10" t="str">
        <f>IF(_xlfn.XLOOKUP($A628,'RAWDATA Cars Buyers DB'!$A:$A,'RAWDATA Cars Buyers DB'!C:C)="F","Female","Male")</f>
        <v>Female</v>
      </c>
      <c r="D628" s="7">
        <f>_xlfn.XLOOKUP($A628,'RAWDATA Cars Buyers DB'!$A:$A,'RAWDATA Cars Buyers DB'!D:D)</f>
        <v>74131</v>
      </c>
      <c r="E628" s="8">
        <f>_xlfn.XLOOKUP($A628,'RAWDATA Cars Buyers DB'!$A:$A,'RAWDATA Cars Buyers DB'!E:E)</f>
        <v>1</v>
      </c>
      <c r="F628" s="8" t="str">
        <f>_xlfn.XLOOKUP($A628,'RAWDATA Cars Buyers DB'!$A:$A,'RAWDATA Cars Buyers DB'!F:F)</f>
        <v>Partial College</v>
      </c>
      <c r="G628" s="8" t="str">
        <f>_xlfn.XLOOKUP($A628,'RAWDATA Cars Buyers DB'!$A:$A,'RAWDATA Cars Buyers DB'!G:G)</f>
        <v>Professional</v>
      </c>
      <c r="H628" s="8" t="str">
        <f>_xlfn.XLOOKUP($A628,'RAWDATA Cars Buyers DB'!$A:$A,'RAWDATA Cars Buyers DB'!H:H)</f>
        <v>Yes</v>
      </c>
      <c r="I628" s="8" t="str">
        <f>_xlfn.XLOOKUP($A628,'RAWDATA Cars Buyers DB'!$A:$A,'RAWDATA Cars Buyers DB'!I:I)</f>
        <v>2–4 Kilometre</v>
      </c>
      <c r="J628" s="8" t="str">
        <f>_xlfn.XLOOKUP($A628,'RAWDATA Cars Buyers DB'!$A:$A,'RAWDATA Cars Buyers DB'!J:J)</f>
        <v>Lower Saxony</v>
      </c>
      <c r="K628" s="8">
        <f>_xlfn.XLOOKUP($A628,'RAWDATA Cars Buyers DB'!$A:$A,'RAWDATA Cars Buyers DB'!K:K)</f>
        <v>46</v>
      </c>
      <c r="L628" s="10" t="str">
        <f>IF(_xlfn.XLOOKUP($A628,'RAWDATA Cars Buyers DB'!$A:$A,'RAWDATA Cars Buyers DB'!K:K)&gt;54,"Old ",IF(_xlfn.XLOOKUP($A628,'RAWDATA Cars Buyers DB'!$A:$A,'RAWDATA Cars Buyers DB'!K:K)&gt;=31,"Middle Age ",IF(_xlfn.XLOOKUP($A628,'RAWDATA Cars Buyers DB'!$A:$A,'RAWDATA Cars Buyers DB'!K:K)&lt;31,"Adolescent","Invalid")))</f>
        <v xml:space="preserve">Middle Age </v>
      </c>
      <c r="M628" s="8" t="str">
        <f>_xlfn.XLOOKUP($A628,'RAWDATA Cars Buyers DB'!$A:$A,'RAWDATA Cars Buyers DB'!L:L)</f>
        <v>No</v>
      </c>
    </row>
    <row r="629" spans="1:13">
      <c r="A629" s="6">
        <v>40355</v>
      </c>
      <c r="B629" s="10" t="str">
        <f>IF(_xlfn.XLOOKUP($A629,'RAWDATA Cars Buyers DB'!$A:$A,'RAWDATA Cars Buyers DB'!B:B)="S","Single","Married")</f>
        <v>Married</v>
      </c>
      <c r="C629" s="10" t="str">
        <f>IF(_xlfn.XLOOKUP($A629,'RAWDATA Cars Buyers DB'!$A:$A,'RAWDATA Cars Buyers DB'!C:C)="F","Female","Male")</f>
        <v>Male</v>
      </c>
      <c r="D629" s="7">
        <f>_xlfn.XLOOKUP($A629,'RAWDATA Cars Buyers DB'!$A:$A,'RAWDATA Cars Buyers DB'!D:D)</f>
        <v>44087</v>
      </c>
      <c r="E629" s="8">
        <f>_xlfn.XLOOKUP($A629,'RAWDATA Cars Buyers DB'!$A:$A,'RAWDATA Cars Buyers DB'!E:E)</f>
        <v>1</v>
      </c>
      <c r="F629" s="8" t="str">
        <f>_xlfn.XLOOKUP($A629,'RAWDATA Cars Buyers DB'!$A:$A,'RAWDATA Cars Buyers DB'!F:F)</f>
        <v>Graduate Degree</v>
      </c>
      <c r="G629" s="8" t="str">
        <f>_xlfn.XLOOKUP($A629,'RAWDATA Cars Buyers DB'!$A:$A,'RAWDATA Cars Buyers DB'!G:G)</f>
        <v>Professional</v>
      </c>
      <c r="H629" s="8" t="str">
        <f>_xlfn.XLOOKUP($A629,'RAWDATA Cars Buyers DB'!$A:$A,'RAWDATA Cars Buyers DB'!H:H)</f>
        <v>Yes</v>
      </c>
      <c r="I629" s="8" t="str">
        <f>_xlfn.XLOOKUP($A629,'RAWDATA Cars Buyers DB'!$A:$A,'RAWDATA Cars Buyers DB'!I:I)</f>
        <v>0–1 Kilometre</v>
      </c>
      <c r="J629" s="8" t="str">
        <f>_xlfn.XLOOKUP($A629,'RAWDATA Cars Buyers DB'!$A:$A,'RAWDATA Cars Buyers DB'!J:J)</f>
        <v>North Rhine-Westphalia</v>
      </c>
      <c r="K629" s="8">
        <f>_xlfn.XLOOKUP($A629,'RAWDATA Cars Buyers DB'!$A:$A,'RAWDATA Cars Buyers DB'!K:K)</f>
        <v>36</v>
      </c>
      <c r="L629" s="10" t="str">
        <f>IF(_xlfn.XLOOKUP($A629,'RAWDATA Cars Buyers DB'!$A:$A,'RAWDATA Cars Buyers DB'!K:K)&gt;54,"Old ",IF(_xlfn.XLOOKUP($A629,'RAWDATA Cars Buyers DB'!$A:$A,'RAWDATA Cars Buyers DB'!K:K)&gt;=31,"Middle Age ",IF(_xlfn.XLOOKUP($A629,'RAWDATA Cars Buyers DB'!$A:$A,'RAWDATA Cars Buyers DB'!K:K)&lt;31,"Adolescent","Invalid")))</f>
        <v xml:space="preserve">Middle Age </v>
      </c>
      <c r="M629" s="8" t="str">
        <f>_xlfn.XLOOKUP($A629,'RAWDATA Cars Buyers DB'!$A:$A,'RAWDATA Cars Buyers DB'!L:L)</f>
        <v>No</v>
      </c>
    </row>
    <row r="630" spans="1:13">
      <c r="A630" s="6">
        <v>65771</v>
      </c>
      <c r="B630" s="10" t="str">
        <f>IF(_xlfn.XLOOKUP($A630,'RAWDATA Cars Buyers DB'!$A:$A,'RAWDATA Cars Buyers DB'!B:B)="S","Single","Married")</f>
        <v>Single</v>
      </c>
      <c r="C630" s="10" t="str">
        <f>IF(_xlfn.XLOOKUP($A630,'RAWDATA Cars Buyers DB'!$A:$A,'RAWDATA Cars Buyers DB'!C:C)="F","Female","Male")</f>
        <v>Female</v>
      </c>
      <c r="D630" s="7">
        <f>_xlfn.XLOOKUP($A630,'RAWDATA Cars Buyers DB'!$A:$A,'RAWDATA Cars Buyers DB'!D:D)</f>
        <v>32828</v>
      </c>
      <c r="E630" s="8">
        <f>_xlfn.XLOOKUP($A630,'RAWDATA Cars Buyers DB'!$A:$A,'RAWDATA Cars Buyers DB'!E:E)</f>
        <v>3</v>
      </c>
      <c r="F630" s="8" t="str">
        <f>_xlfn.XLOOKUP($A630,'RAWDATA Cars Buyers DB'!$A:$A,'RAWDATA Cars Buyers DB'!F:F)</f>
        <v>Partial College</v>
      </c>
      <c r="G630" s="8" t="str">
        <f>_xlfn.XLOOKUP($A630,'RAWDATA Cars Buyers DB'!$A:$A,'RAWDATA Cars Buyers DB'!G:G)</f>
        <v>Skilled Manual</v>
      </c>
      <c r="H630" s="8" t="str">
        <f>_xlfn.XLOOKUP($A630,'RAWDATA Cars Buyers DB'!$A:$A,'RAWDATA Cars Buyers DB'!H:H)</f>
        <v>Yes</v>
      </c>
      <c r="I630" s="8" t="str">
        <f>_xlfn.XLOOKUP($A630,'RAWDATA Cars Buyers DB'!$A:$A,'RAWDATA Cars Buyers DB'!I:I)</f>
        <v>0–1 Kilometre</v>
      </c>
      <c r="J630" s="8" t="str">
        <f>_xlfn.XLOOKUP($A630,'RAWDATA Cars Buyers DB'!$A:$A,'RAWDATA Cars Buyers DB'!J:J)</f>
        <v>Hamburg</v>
      </c>
      <c r="K630" s="8">
        <f>_xlfn.XLOOKUP($A630,'RAWDATA Cars Buyers DB'!$A:$A,'RAWDATA Cars Buyers DB'!K:K)</f>
        <v>63</v>
      </c>
      <c r="L630" s="10" t="str">
        <f>IF(_xlfn.XLOOKUP($A630,'RAWDATA Cars Buyers DB'!$A:$A,'RAWDATA Cars Buyers DB'!K:K)&gt;54,"Old ",IF(_xlfn.XLOOKUP($A630,'RAWDATA Cars Buyers DB'!$A:$A,'RAWDATA Cars Buyers DB'!K:K)&gt;=31,"Middle Age ",IF(_xlfn.XLOOKUP($A630,'RAWDATA Cars Buyers DB'!$A:$A,'RAWDATA Cars Buyers DB'!K:K)&lt;31,"Adolescent","Invalid")))</f>
        <v xml:space="preserve">Old </v>
      </c>
      <c r="M630" s="8" t="str">
        <f>_xlfn.XLOOKUP($A630,'RAWDATA Cars Buyers DB'!$A:$A,'RAWDATA Cars Buyers DB'!L:L)</f>
        <v>No</v>
      </c>
    </row>
    <row r="631" spans="1:13">
      <c r="A631" s="6">
        <v>67799</v>
      </c>
      <c r="B631" s="10" t="str">
        <f>IF(_xlfn.XLOOKUP($A631,'RAWDATA Cars Buyers DB'!$A:$A,'RAWDATA Cars Buyers DB'!B:B)="S","Single","Married")</f>
        <v>Single</v>
      </c>
      <c r="C631" s="10" t="str">
        <f>IF(_xlfn.XLOOKUP($A631,'RAWDATA Cars Buyers DB'!$A:$A,'RAWDATA Cars Buyers DB'!C:C)="F","Female","Male")</f>
        <v>Male</v>
      </c>
      <c r="D631" s="7">
        <f>_xlfn.XLOOKUP($A631,'RAWDATA Cars Buyers DB'!$A:$A,'RAWDATA Cars Buyers DB'!D:D)</f>
        <v>81610</v>
      </c>
      <c r="E631" s="8">
        <f>_xlfn.XLOOKUP($A631,'RAWDATA Cars Buyers DB'!$A:$A,'RAWDATA Cars Buyers DB'!E:E)</f>
        <v>2</v>
      </c>
      <c r="F631" s="8" t="str">
        <f>_xlfn.XLOOKUP($A631,'RAWDATA Cars Buyers DB'!$A:$A,'RAWDATA Cars Buyers DB'!F:F)</f>
        <v>Graduate Degree</v>
      </c>
      <c r="G631" s="8" t="str">
        <f>_xlfn.XLOOKUP($A631,'RAWDATA Cars Buyers DB'!$A:$A,'RAWDATA Cars Buyers DB'!G:G)</f>
        <v>Clerical</v>
      </c>
      <c r="H631" s="8" t="str">
        <f>_xlfn.XLOOKUP($A631,'RAWDATA Cars Buyers DB'!$A:$A,'RAWDATA Cars Buyers DB'!H:H)</f>
        <v>Yes</v>
      </c>
      <c r="I631" s="8" t="str">
        <f>_xlfn.XLOOKUP($A631,'RAWDATA Cars Buyers DB'!$A:$A,'RAWDATA Cars Buyers DB'!I:I)</f>
        <v>2–4 Kilometre</v>
      </c>
      <c r="J631" s="8" t="str">
        <f>_xlfn.XLOOKUP($A631,'RAWDATA Cars Buyers DB'!$A:$A,'RAWDATA Cars Buyers DB'!J:J)</f>
        <v>Lower Saxony</v>
      </c>
      <c r="K631" s="8">
        <f>_xlfn.XLOOKUP($A631,'RAWDATA Cars Buyers DB'!$A:$A,'RAWDATA Cars Buyers DB'!K:K)</f>
        <v>64</v>
      </c>
      <c r="L631" s="10" t="str">
        <f>IF(_xlfn.XLOOKUP($A631,'RAWDATA Cars Buyers DB'!$A:$A,'RAWDATA Cars Buyers DB'!K:K)&gt;54,"Old ",IF(_xlfn.XLOOKUP($A631,'RAWDATA Cars Buyers DB'!$A:$A,'RAWDATA Cars Buyers DB'!K:K)&gt;=31,"Middle Age ",IF(_xlfn.XLOOKUP($A631,'RAWDATA Cars Buyers DB'!$A:$A,'RAWDATA Cars Buyers DB'!K:K)&lt;31,"Adolescent","Invalid")))</f>
        <v xml:space="preserve">Old </v>
      </c>
      <c r="M631" s="8" t="str">
        <f>_xlfn.XLOOKUP($A631,'RAWDATA Cars Buyers DB'!$A:$A,'RAWDATA Cars Buyers DB'!L:L)</f>
        <v>Yes</v>
      </c>
    </row>
    <row r="632" spans="1:13">
      <c r="A632" s="6">
        <v>23116</v>
      </c>
      <c r="B632" s="10" t="str">
        <f>IF(_xlfn.XLOOKUP($A632,'RAWDATA Cars Buyers DB'!$A:$A,'RAWDATA Cars Buyers DB'!B:B)="S","Single","Married")</f>
        <v>Single</v>
      </c>
      <c r="C632" s="10" t="str">
        <f>IF(_xlfn.XLOOKUP($A632,'RAWDATA Cars Buyers DB'!$A:$A,'RAWDATA Cars Buyers DB'!C:C)="F","Female","Male")</f>
        <v>Male</v>
      </c>
      <c r="D632" s="7">
        <f>_xlfn.XLOOKUP($A632,'RAWDATA Cars Buyers DB'!$A:$A,'RAWDATA Cars Buyers DB'!D:D)</f>
        <v>116664</v>
      </c>
      <c r="E632" s="8">
        <f>_xlfn.XLOOKUP($A632,'RAWDATA Cars Buyers DB'!$A:$A,'RAWDATA Cars Buyers DB'!E:E)</f>
        <v>1</v>
      </c>
      <c r="F632" s="8" t="str">
        <f>_xlfn.XLOOKUP($A632,'RAWDATA Cars Buyers DB'!$A:$A,'RAWDATA Cars Buyers DB'!F:F)</f>
        <v>High School</v>
      </c>
      <c r="G632" s="8" t="str">
        <f>_xlfn.XLOOKUP($A632,'RAWDATA Cars Buyers DB'!$A:$A,'RAWDATA Cars Buyers DB'!G:G)</f>
        <v>Skilled Manual</v>
      </c>
      <c r="H632" s="8" t="str">
        <f>_xlfn.XLOOKUP($A632,'RAWDATA Cars Buyers DB'!$A:$A,'RAWDATA Cars Buyers DB'!H:H)</f>
        <v>Yes</v>
      </c>
      <c r="I632" s="8" t="str">
        <f>_xlfn.XLOOKUP($A632,'RAWDATA Cars Buyers DB'!$A:$A,'RAWDATA Cars Buyers DB'!I:I)</f>
        <v>1–2 Kilometre</v>
      </c>
      <c r="J632" s="8" t="str">
        <f>_xlfn.XLOOKUP($A632,'RAWDATA Cars Buyers DB'!$A:$A,'RAWDATA Cars Buyers DB'!J:J)</f>
        <v>Baden-Württemberg</v>
      </c>
      <c r="K632" s="8">
        <f>_xlfn.XLOOKUP($A632,'RAWDATA Cars Buyers DB'!$A:$A,'RAWDATA Cars Buyers DB'!K:K)</f>
        <v>27</v>
      </c>
      <c r="L632" s="10" t="str">
        <f>IF(_xlfn.XLOOKUP($A632,'RAWDATA Cars Buyers DB'!$A:$A,'RAWDATA Cars Buyers DB'!K:K)&gt;54,"Old ",IF(_xlfn.XLOOKUP($A632,'RAWDATA Cars Buyers DB'!$A:$A,'RAWDATA Cars Buyers DB'!K:K)&gt;=31,"Middle Age ",IF(_xlfn.XLOOKUP($A632,'RAWDATA Cars Buyers DB'!$A:$A,'RAWDATA Cars Buyers DB'!K:K)&lt;31,"Adolescent","Invalid")))</f>
        <v>Adolescent</v>
      </c>
      <c r="M632" s="8" t="str">
        <f>_xlfn.XLOOKUP($A632,'RAWDATA Cars Buyers DB'!$A:$A,'RAWDATA Cars Buyers DB'!L:L)</f>
        <v>Yes</v>
      </c>
    </row>
    <row r="633" spans="1:13">
      <c r="A633" s="6">
        <v>35470</v>
      </c>
      <c r="B633" s="10" t="str">
        <f>IF(_xlfn.XLOOKUP($A633,'RAWDATA Cars Buyers DB'!$A:$A,'RAWDATA Cars Buyers DB'!B:B)="S","Single","Married")</f>
        <v>Married</v>
      </c>
      <c r="C633" s="10" t="str">
        <f>IF(_xlfn.XLOOKUP($A633,'RAWDATA Cars Buyers DB'!$A:$A,'RAWDATA Cars Buyers DB'!C:C)="F","Female","Male")</f>
        <v>Male</v>
      </c>
      <c r="D633" s="7">
        <f>_xlfn.XLOOKUP($A633,'RAWDATA Cars Buyers DB'!$A:$A,'RAWDATA Cars Buyers DB'!D:D)</f>
        <v>21401</v>
      </c>
      <c r="E633" s="8">
        <f>_xlfn.XLOOKUP($A633,'RAWDATA Cars Buyers DB'!$A:$A,'RAWDATA Cars Buyers DB'!E:E)</f>
        <v>1</v>
      </c>
      <c r="F633" s="8" t="str">
        <f>_xlfn.XLOOKUP($A633,'RAWDATA Cars Buyers DB'!$A:$A,'RAWDATA Cars Buyers DB'!F:F)</f>
        <v>Partial College</v>
      </c>
      <c r="G633" s="8" t="str">
        <f>_xlfn.XLOOKUP($A633,'RAWDATA Cars Buyers DB'!$A:$A,'RAWDATA Cars Buyers DB'!G:G)</f>
        <v>Management</v>
      </c>
      <c r="H633" s="8" t="str">
        <f>_xlfn.XLOOKUP($A633,'RAWDATA Cars Buyers DB'!$A:$A,'RAWDATA Cars Buyers DB'!H:H)</f>
        <v>No</v>
      </c>
      <c r="I633" s="8" t="str">
        <f>_xlfn.XLOOKUP($A633,'RAWDATA Cars Buyers DB'!$A:$A,'RAWDATA Cars Buyers DB'!I:I)</f>
        <v>2–4 Kilometre</v>
      </c>
      <c r="J633" s="8" t="str">
        <f>_xlfn.XLOOKUP($A633,'RAWDATA Cars Buyers DB'!$A:$A,'RAWDATA Cars Buyers DB'!J:J)</f>
        <v>Baden-Württemberg</v>
      </c>
      <c r="K633" s="8">
        <f>_xlfn.XLOOKUP($A633,'RAWDATA Cars Buyers DB'!$A:$A,'RAWDATA Cars Buyers DB'!K:K)</f>
        <v>35</v>
      </c>
      <c r="L633" s="10" t="str">
        <f>IF(_xlfn.XLOOKUP($A633,'RAWDATA Cars Buyers DB'!$A:$A,'RAWDATA Cars Buyers DB'!K:K)&gt;54,"Old ",IF(_xlfn.XLOOKUP($A633,'RAWDATA Cars Buyers DB'!$A:$A,'RAWDATA Cars Buyers DB'!K:K)&gt;=31,"Middle Age ",IF(_xlfn.XLOOKUP($A633,'RAWDATA Cars Buyers DB'!$A:$A,'RAWDATA Cars Buyers DB'!K:K)&lt;31,"Adolescent","Invalid")))</f>
        <v xml:space="preserve">Middle Age </v>
      </c>
      <c r="M633" s="8" t="str">
        <f>_xlfn.XLOOKUP($A633,'RAWDATA Cars Buyers DB'!$A:$A,'RAWDATA Cars Buyers DB'!L:L)</f>
        <v>No</v>
      </c>
    </row>
    <row r="634" spans="1:13">
      <c r="A634" s="6">
        <v>52344</v>
      </c>
      <c r="B634" s="10" t="str">
        <f>IF(_xlfn.XLOOKUP($A634,'RAWDATA Cars Buyers DB'!$A:$A,'RAWDATA Cars Buyers DB'!B:B)="S","Single","Married")</f>
        <v>Single</v>
      </c>
      <c r="C634" s="10" t="str">
        <f>IF(_xlfn.XLOOKUP($A634,'RAWDATA Cars Buyers DB'!$A:$A,'RAWDATA Cars Buyers DB'!C:C)="F","Female","Male")</f>
        <v>Female</v>
      </c>
      <c r="D634" s="7">
        <f>_xlfn.XLOOKUP($A634,'RAWDATA Cars Buyers DB'!$A:$A,'RAWDATA Cars Buyers DB'!D:D)</f>
        <v>105179</v>
      </c>
      <c r="E634" s="8">
        <f>_xlfn.XLOOKUP($A634,'RAWDATA Cars Buyers DB'!$A:$A,'RAWDATA Cars Buyers DB'!E:E)</f>
        <v>5</v>
      </c>
      <c r="F634" s="8" t="str">
        <f>_xlfn.XLOOKUP($A634,'RAWDATA Cars Buyers DB'!$A:$A,'RAWDATA Cars Buyers DB'!F:F)</f>
        <v>Partial College</v>
      </c>
      <c r="G634" s="8" t="str">
        <f>_xlfn.XLOOKUP($A634,'RAWDATA Cars Buyers DB'!$A:$A,'RAWDATA Cars Buyers DB'!G:G)</f>
        <v>Clerical</v>
      </c>
      <c r="H634" s="8" t="str">
        <f>_xlfn.XLOOKUP($A634,'RAWDATA Cars Buyers DB'!$A:$A,'RAWDATA Cars Buyers DB'!H:H)</f>
        <v>No</v>
      </c>
      <c r="I634" s="8" t="str">
        <f>_xlfn.XLOOKUP($A634,'RAWDATA Cars Buyers DB'!$A:$A,'RAWDATA Cars Buyers DB'!I:I)</f>
        <v>4–6 Kilometre</v>
      </c>
      <c r="J634" s="8" t="str">
        <f>_xlfn.XLOOKUP($A634,'RAWDATA Cars Buyers DB'!$A:$A,'RAWDATA Cars Buyers DB'!J:J)</f>
        <v>Bremen</v>
      </c>
      <c r="K634" s="8">
        <f>_xlfn.XLOOKUP($A634,'RAWDATA Cars Buyers DB'!$A:$A,'RAWDATA Cars Buyers DB'!K:K)</f>
        <v>37</v>
      </c>
      <c r="L634" s="10" t="str">
        <f>IF(_xlfn.XLOOKUP($A634,'RAWDATA Cars Buyers DB'!$A:$A,'RAWDATA Cars Buyers DB'!K:K)&gt;54,"Old ",IF(_xlfn.XLOOKUP($A634,'RAWDATA Cars Buyers DB'!$A:$A,'RAWDATA Cars Buyers DB'!K:K)&gt;=31,"Middle Age ",IF(_xlfn.XLOOKUP($A634,'RAWDATA Cars Buyers DB'!$A:$A,'RAWDATA Cars Buyers DB'!K:K)&lt;31,"Adolescent","Invalid")))</f>
        <v xml:space="preserve">Middle Age </v>
      </c>
      <c r="M634" s="8" t="str">
        <f>_xlfn.XLOOKUP($A634,'RAWDATA Cars Buyers DB'!$A:$A,'RAWDATA Cars Buyers DB'!L:L)</f>
        <v>No</v>
      </c>
    </row>
    <row r="635" spans="1:13">
      <c r="A635" s="6">
        <v>52918</v>
      </c>
      <c r="B635" s="10" t="str">
        <f>IF(_xlfn.XLOOKUP($A635,'RAWDATA Cars Buyers DB'!$A:$A,'RAWDATA Cars Buyers DB'!B:B)="S","Single","Married")</f>
        <v>Married</v>
      </c>
      <c r="C635" s="10" t="str">
        <f>IF(_xlfn.XLOOKUP($A635,'RAWDATA Cars Buyers DB'!$A:$A,'RAWDATA Cars Buyers DB'!C:C)="F","Female","Male")</f>
        <v>Male</v>
      </c>
      <c r="D635" s="7">
        <f>_xlfn.XLOOKUP($A635,'RAWDATA Cars Buyers DB'!$A:$A,'RAWDATA Cars Buyers DB'!D:D)</f>
        <v>35193</v>
      </c>
      <c r="E635" s="8">
        <f>_xlfn.XLOOKUP($A635,'RAWDATA Cars Buyers DB'!$A:$A,'RAWDATA Cars Buyers DB'!E:E)</f>
        <v>0</v>
      </c>
      <c r="F635" s="8" t="str">
        <f>_xlfn.XLOOKUP($A635,'RAWDATA Cars Buyers DB'!$A:$A,'RAWDATA Cars Buyers DB'!F:F)</f>
        <v>Partial College</v>
      </c>
      <c r="G635" s="8" t="str">
        <f>_xlfn.XLOOKUP($A635,'RAWDATA Cars Buyers DB'!$A:$A,'RAWDATA Cars Buyers DB'!G:G)</f>
        <v>Clerical</v>
      </c>
      <c r="H635" s="8" t="str">
        <f>_xlfn.XLOOKUP($A635,'RAWDATA Cars Buyers DB'!$A:$A,'RAWDATA Cars Buyers DB'!H:H)</f>
        <v>No</v>
      </c>
      <c r="I635" s="8" t="str">
        <f>_xlfn.XLOOKUP($A635,'RAWDATA Cars Buyers DB'!$A:$A,'RAWDATA Cars Buyers DB'!I:I)</f>
        <v>4–6 Kilometre</v>
      </c>
      <c r="J635" s="8" t="str">
        <f>_xlfn.XLOOKUP($A635,'RAWDATA Cars Buyers DB'!$A:$A,'RAWDATA Cars Buyers DB'!J:J)</f>
        <v>Hamburg</v>
      </c>
      <c r="K635" s="8">
        <f>_xlfn.XLOOKUP($A635,'RAWDATA Cars Buyers DB'!$A:$A,'RAWDATA Cars Buyers DB'!K:K)</f>
        <v>52</v>
      </c>
      <c r="L635" s="10" t="str">
        <f>IF(_xlfn.XLOOKUP($A635,'RAWDATA Cars Buyers DB'!$A:$A,'RAWDATA Cars Buyers DB'!K:K)&gt;54,"Old ",IF(_xlfn.XLOOKUP($A635,'RAWDATA Cars Buyers DB'!$A:$A,'RAWDATA Cars Buyers DB'!K:K)&gt;=31,"Middle Age ",IF(_xlfn.XLOOKUP($A635,'RAWDATA Cars Buyers DB'!$A:$A,'RAWDATA Cars Buyers DB'!K:K)&lt;31,"Adolescent","Invalid")))</f>
        <v xml:space="preserve">Middle Age </v>
      </c>
      <c r="M635" s="8" t="str">
        <f>_xlfn.XLOOKUP($A635,'RAWDATA Cars Buyers DB'!$A:$A,'RAWDATA Cars Buyers DB'!L:L)</f>
        <v>Yes</v>
      </c>
    </row>
    <row r="636" spans="1:13">
      <c r="A636" s="6">
        <v>62224</v>
      </c>
      <c r="B636" s="10" t="str">
        <f>IF(_xlfn.XLOOKUP($A636,'RAWDATA Cars Buyers DB'!$A:$A,'RAWDATA Cars Buyers DB'!B:B)="S","Single","Married")</f>
        <v>Married</v>
      </c>
      <c r="C636" s="10" t="str">
        <f>IF(_xlfn.XLOOKUP($A636,'RAWDATA Cars Buyers DB'!$A:$A,'RAWDATA Cars Buyers DB'!C:C)="F","Female","Male")</f>
        <v>Male</v>
      </c>
      <c r="D636" s="7">
        <f>_xlfn.XLOOKUP($A636,'RAWDATA Cars Buyers DB'!$A:$A,'RAWDATA Cars Buyers DB'!D:D)</f>
        <v>112389</v>
      </c>
      <c r="E636" s="8">
        <f>_xlfn.XLOOKUP($A636,'RAWDATA Cars Buyers DB'!$A:$A,'RAWDATA Cars Buyers DB'!E:E)</f>
        <v>5</v>
      </c>
      <c r="F636" s="8" t="str">
        <f>_xlfn.XLOOKUP($A636,'RAWDATA Cars Buyers DB'!$A:$A,'RAWDATA Cars Buyers DB'!F:F)</f>
        <v>Bachelors</v>
      </c>
      <c r="G636" s="8" t="str">
        <f>_xlfn.XLOOKUP($A636,'RAWDATA Cars Buyers DB'!$A:$A,'RAWDATA Cars Buyers DB'!G:G)</f>
        <v>Clerical</v>
      </c>
      <c r="H636" s="8" t="str">
        <f>_xlfn.XLOOKUP($A636,'RAWDATA Cars Buyers DB'!$A:$A,'RAWDATA Cars Buyers DB'!H:H)</f>
        <v>No</v>
      </c>
      <c r="I636" s="8" t="str">
        <f>_xlfn.XLOOKUP($A636,'RAWDATA Cars Buyers DB'!$A:$A,'RAWDATA Cars Buyers DB'!I:I)</f>
        <v>4–6 Kilometre</v>
      </c>
      <c r="J636" s="8" t="str">
        <f>_xlfn.XLOOKUP($A636,'RAWDATA Cars Buyers DB'!$A:$A,'RAWDATA Cars Buyers DB'!J:J)</f>
        <v>Saxony-Anhalt</v>
      </c>
      <c r="K636" s="8">
        <f>_xlfn.XLOOKUP($A636,'RAWDATA Cars Buyers DB'!$A:$A,'RAWDATA Cars Buyers DB'!K:K)</f>
        <v>20</v>
      </c>
      <c r="L636" s="10" t="str">
        <f>IF(_xlfn.XLOOKUP($A636,'RAWDATA Cars Buyers DB'!$A:$A,'RAWDATA Cars Buyers DB'!K:K)&gt;54,"Old ",IF(_xlfn.XLOOKUP($A636,'RAWDATA Cars Buyers DB'!$A:$A,'RAWDATA Cars Buyers DB'!K:K)&gt;=31,"Middle Age ",IF(_xlfn.XLOOKUP($A636,'RAWDATA Cars Buyers DB'!$A:$A,'RAWDATA Cars Buyers DB'!K:K)&lt;31,"Adolescent","Invalid")))</f>
        <v>Adolescent</v>
      </c>
      <c r="M636" s="8" t="str">
        <f>_xlfn.XLOOKUP($A636,'RAWDATA Cars Buyers DB'!$A:$A,'RAWDATA Cars Buyers DB'!L:L)</f>
        <v>Yes</v>
      </c>
    </row>
    <row r="637" spans="1:13">
      <c r="A637" s="6">
        <v>49298</v>
      </c>
      <c r="B637" s="10" t="str">
        <f>IF(_xlfn.XLOOKUP($A637,'RAWDATA Cars Buyers DB'!$A:$A,'RAWDATA Cars Buyers DB'!B:B)="S","Single","Married")</f>
        <v>Single</v>
      </c>
      <c r="C637" s="10" t="str">
        <f>IF(_xlfn.XLOOKUP($A637,'RAWDATA Cars Buyers DB'!$A:$A,'RAWDATA Cars Buyers DB'!C:C)="F","Female","Male")</f>
        <v>Male</v>
      </c>
      <c r="D637" s="7">
        <f>_xlfn.XLOOKUP($A637,'RAWDATA Cars Buyers DB'!$A:$A,'RAWDATA Cars Buyers DB'!D:D)</f>
        <v>64864</v>
      </c>
      <c r="E637" s="8">
        <f>_xlfn.XLOOKUP($A637,'RAWDATA Cars Buyers DB'!$A:$A,'RAWDATA Cars Buyers DB'!E:E)</f>
        <v>5</v>
      </c>
      <c r="F637" s="8" t="str">
        <f>_xlfn.XLOOKUP($A637,'RAWDATA Cars Buyers DB'!$A:$A,'RAWDATA Cars Buyers DB'!F:F)</f>
        <v>Bachelors</v>
      </c>
      <c r="G637" s="8" t="str">
        <f>_xlfn.XLOOKUP($A637,'RAWDATA Cars Buyers DB'!$A:$A,'RAWDATA Cars Buyers DB'!G:G)</f>
        <v>Clerical</v>
      </c>
      <c r="H637" s="8" t="str">
        <f>_xlfn.XLOOKUP($A637,'RAWDATA Cars Buyers DB'!$A:$A,'RAWDATA Cars Buyers DB'!H:H)</f>
        <v>No</v>
      </c>
      <c r="I637" s="8" t="str">
        <f>_xlfn.XLOOKUP($A637,'RAWDATA Cars Buyers DB'!$A:$A,'RAWDATA Cars Buyers DB'!I:I)</f>
        <v>6+ Kilometre</v>
      </c>
      <c r="J637" s="8" t="str">
        <f>_xlfn.XLOOKUP($A637,'RAWDATA Cars Buyers DB'!$A:$A,'RAWDATA Cars Buyers DB'!J:J)</f>
        <v>Hamburg</v>
      </c>
      <c r="K637" s="8">
        <f>_xlfn.XLOOKUP($A637,'RAWDATA Cars Buyers DB'!$A:$A,'RAWDATA Cars Buyers DB'!K:K)</f>
        <v>31</v>
      </c>
      <c r="L637" s="10" t="str">
        <f>IF(_xlfn.XLOOKUP($A637,'RAWDATA Cars Buyers DB'!$A:$A,'RAWDATA Cars Buyers DB'!K:K)&gt;54,"Old ",IF(_xlfn.XLOOKUP($A637,'RAWDATA Cars Buyers DB'!$A:$A,'RAWDATA Cars Buyers DB'!K:K)&gt;=31,"Middle Age ",IF(_xlfn.XLOOKUP($A637,'RAWDATA Cars Buyers DB'!$A:$A,'RAWDATA Cars Buyers DB'!K:K)&lt;31,"Adolescent","Invalid")))</f>
        <v xml:space="preserve">Middle Age </v>
      </c>
      <c r="M637" s="8" t="str">
        <f>_xlfn.XLOOKUP($A637,'RAWDATA Cars Buyers DB'!$A:$A,'RAWDATA Cars Buyers DB'!L:L)</f>
        <v>Yes</v>
      </c>
    </row>
    <row r="638" spans="1:13">
      <c r="A638" s="6">
        <v>90219</v>
      </c>
      <c r="B638" s="10" t="str">
        <f>IF(_xlfn.XLOOKUP($A638,'RAWDATA Cars Buyers DB'!$A:$A,'RAWDATA Cars Buyers DB'!B:B)="S","Single","Married")</f>
        <v>Married</v>
      </c>
      <c r="C638" s="10" t="str">
        <f>IF(_xlfn.XLOOKUP($A638,'RAWDATA Cars Buyers DB'!$A:$A,'RAWDATA Cars Buyers DB'!C:C)="F","Female","Male")</f>
        <v>Male</v>
      </c>
      <c r="D638" s="7">
        <f>_xlfn.XLOOKUP($A638,'RAWDATA Cars Buyers DB'!$A:$A,'RAWDATA Cars Buyers DB'!D:D)</f>
        <v>40307</v>
      </c>
      <c r="E638" s="8">
        <f>_xlfn.XLOOKUP($A638,'RAWDATA Cars Buyers DB'!$A:$A,'RAWDATA Cars Buyers DB'!E:E)</f>
        <v>0</v>
      </c>
      <c r="F638" s="8" t="str">
        <f>_xlfn.XLOOKUP($A638,'RAWDATA Cars Buyers DB'!$A:$A,'RAWDATA Cars Buyers DB'!F:F)</f>
        <v>Graduate Degree</v>
      </c>
      <c r="G638" s="8" t="str">
        <f>_xlfn.XLOOKUP($A638,'RAWDATA Cars Buyers DB'!$A:$A,'RAWDATA Cars Buyers DB'!G:G)</f>
        <v>Skilled Manual</v>
      </c>
      <c r="H638" s="8" t="str">
        <f>_xlfn.XLOOKUP($A638,'RAWDATA Cars Buyers DB'!$A:$A,'RAWDATA Cars Buyers DB'!H:H)</f>
        <v>No</v>
      </c>
      <c r="I638" s="8" t="str">
        <f>_xlfn.XLOOKUP($A638,'RAWDATA Cars Buyers DB'!$A:$A,'RAWDATA Cars Buyers DB'!I:I)</f>
        <v>1–2 Kilometre</v>
      </c>
      <c r="J638" s="8" t="str">
        <f>_xlfn.XLOOKUP($A638,'RAWDATA Cars Buyers DB'!$A:$A,'RAWDATA Cars Buyers DB'!J:J)</f>
        <v>Rhineland-Palatinate</v>
      </c>
      <c r="K638" s="8">
        <f>_xlfn.XLOOKUP($A638,'RAWDATA Cars Buyers DB'!$A:$A,'RAWDATA Cars Buyers DB'!K:K)</f>
        <v>25</v>
      </c>
      <c r="L638" s="10" t="str">
        <f>IF(_xlfn.XLOOKUP($A638,'RAWDATA Cars Buyers DB'!$A:$A,'RAWDATA Cars Buyers DB'!K:K)&gt;54,"Old ",IF(_xlfn.XLOOKUP($A638,'RAWDATA Cars Buyers DB'!$A:$A,'RAWDATA Cars Buyers DB'!K:K)&gt;=31,"Middle Age ",IF(_xlfn.XLOOKUP($A638,'RAWDATA Cars Buyers DB'!$A:$A,'RAWDATA Cars Buyers DB'!K:K)&lt;31,"Adolescent","Invalid")))</f>
        <v>Adolescent</v>
      </c>
      <c r="M638" s="8" t="str">
        <f>_xlfn.XLOOKUP($A638,'RAWDATA Cars Buyers DB'!$A:$A,'RAWDATA Cars Buyers DB'!L:L)</f>
        <v>Yes</v>
      </c>
    </row>
    <row r="639" spans="1:13">
      <c r="A639" s="6">
        <v>71629</v>
      </c>
      <c r="B639" s="10" t="str">
        <f>IF(_xlfn.XLOOKUP($A639,'RAWDATA Cars Buyers DB'!$A:$A,'RAWDATA Cars Buyers DB'!B:B)="S","Single","Married")</f>
        <v>Single</v>
      </c>
      <c r="C639" s="10" t="str">
        <f>IF(_xlfn.XLOOKUP($A639,'RAWDATA Cars Buyers DB'!$A:$A,'RAWDATA Cars Buyers DB'!C:C)="F","Female","Male")</f>
        <v>Male</v>
      </c>
      <c r="D639" s="7">
        <f>_xlfn.XLOOKUP($A639,'RAWDATA Cars Buyers DB'!$A:$A,'RAWDATA Cars Buyers DB'!D:D)</f>
        <v>39611</v>
      </c>
      <c r="E639" s="8">
        <f>_xlfn.XLOOKUP($A639,'RAWDATA Cars Buyers DB'!$A:$A,'RAWDATA Cars Buyers DB'!E:E)</f>
        <v>2</v>
      </c>
      <c r="F639" s="8" t="str">
        <f>_xlfn.XLOOKUP($A639,'RAWDATA Cars Buyers DB'!$A:$A,'RAWDATA Cars Buyers DB'!F:F)</f>
        <v>High School</v>
      </c>
      <c r="G639" s="8" t="str">
        <f>_xlfn.XLOOKUP($A639,'RAWDATA Cars Buyers DB'!$A:$A,'RAWDATA Cars Buyers DB'!G:G)</f>
        <v>Professional</v>
      </c>
      <c r="H639" s="8" t="str">
        <f>_xlfn.XLOOKUP($A639,'RAWDATA Cars Buyers DB'!$A:$A,'RAWDATA Cars Buyers DB'!H:H)</f>
        <v>Yes</v>
      </c>
      <c r="I639" s="8" t="str">
        <f>_xlfn.XLOOKUP($A639,'RAWDATA Cars Buyers DB'!$A:$A,'RAWDATA Cars Buyers DB'!I:I)</f>
        <v>1–2 Kilometre</v>
      </c>
      <c r="J639" s="8" t="str">
        <f>_xlfn.XLOOKUP($A639,'RAWDATA Cars Buyers DB'!$A:$A,'RAWDATA Cars Buyers DB'!J:J)</f>
        <v>Hamburg</v>
      </c>
      <c r="K639" s="8">
        <f>_xlfn.XLOOKUP($A639,'RAWDATA Cars Buyers DB'!$A:$A,'RAWDATA Cars Buyers DB'!K:K)</f>
        <v>60</v>
      </c>
      <c r="L639" s="10" t="str">
        <f>IF(_xlfn.XLOOKUP($A639,'RAWDATA Cars Buyers DB'!$A:$A,'RAWDATA Cars Buyers DB'!K:K)&gt;54,"Old ",IF(_xlfn.XLOOKUP($A639,'RAWDATA Cars Buyers DB'!$A:$A,'RAWDATA Cars Buyers DB'!K:K)&gt;=31,"Middle Age ",IF(_xlfn.XLOOKUP($A639,'RAWDATA Cars Buyers DB'!$A:$A,'RAWDATA Cars Buyers DB'!K:K)&lt;31,"Adolescent","Invalid")))</f>
        <v xml:space="preserve">Old </v>
      </c>
      <c r="M639" s="8" t="str">
        <f>_xlfn.XLOOKUP($A639,'RAWDATA Cars Buyers DB'!$A:$A,'RAWDATA Cars Buyers DB'!L:L)</f>
        <v>No</v>
      </c>
    </row>
    <row r="640" spans="1:13">
      <c r="A640" s="6">
        <v>76040</v>
      </c>
      <c r="B640" s="10" t="str">
        <f>IF(_xlfn.XLOOKUP($A640,'RAWDATA Cars Buyers DB'!$A:$A,'RAWDATA Cars Buyers DB'!B:B)="S","Single","Married")</f>
        <v>Single</v>
      </c>
      <c r="C640" s="10" t="str">
        <f>IF(_xlfn.XLOOKUP($A640,'RAWDATA Cars Buyers DB'!$A:$A,'RAWDATA Cars Buyers DB'!C:C)="F","Female","Male")</f>
        <v>Female</v>
      </c>
      <c r="D640" s="7">
        <f>_xlfn.XLOOKUP($A640,'RAWDATA Cars Buyers DB'!$A:$A,'RAWDATA Cars Buyers DB'!D:D)</f>
        <v>63791</v>
      </c>
      <c r="E640" s="8">
        <f>_xlfn.XLOOKUP($A640,'RAWDATA Cars Buyers DB'!$A:$A,'RAWDATA Cars Buyers DB'!E:E)</f>
        <v>5</v>
      </c>
      <c r="F640" s="8" t="str">
        <f>_xlfn.XLOOKUP($A640,'RAWDATA Cars Buyers DB'!$A:$A,'RAWDATA Cars Buyers DB'!F:F)</f>
        <v>Bachelors</v>
      </c>
      <c r="G640" s="8" t="str">
        <f>_xlfn.XLOOKUP($A640,'RAWDATA Cars Buyers DB'!$A:$A,'RAWDATA Cars Buyers DB'!G:G)</f>
        <v>Professional</v>
      </c>
      <c r="H640" s="8" t="str">
        <f>_xlfn.XLOOKUP($A640,'RAWDATA Cars Buyers DB'!$A:$A,'RAWDATA Cars Buyers DB'!H:H)</f>
        <v>No</v>
      </c>
      <c r="I640" s="8" t="str">
        <f>_xlfn.XLOOKUP($A640,'RAWDATA Cars Buyers DB'!$A:$A,'RAWDATA Cars Buyers DB'!I:I)</f>
        <v>6+ Kilometre</v>
      </c>
      <c r="J640" s="8" t="str">
        <f>_xlfn.XLOOKUP($A640,'RAWDATA Cars Buyers DB'!$A:$A,'RAWDATA Cars Buyers DB'!J:J)</f>
        <v>Saarland</v>
      </c>
      <c r="K640" s="8">
        <f>_xlfn.XLOOKUP($A640,'RAWDATA Cars Buyers DB'!$A:$A,'RAWDATA Cars Buyers DB'!K:K)</f>
        <v>24</v>
      </c>
      <c r="L640" s="10" t="str">
        <f>IF(_xlfn.XLOOKUP($A640,'RAWDATA Cars Buyers DB'!$A:$A,'RAWDATA Cars Buyers DB'!K:K)&gt;54,"Old ",IF(_xlfn.XLOOKUP($A640,'RAWDATA Cars Buyers DB'!$A:$A,'RAWDATA Cars Buyers DB'!K:K)&gt;=31,"Middle Age ",IF(_xlfn.XLOOKUP($A640,'RAWDATA Cars Buyers DB'!$A:$A,'RAWDATA Cars Buyers DB'!K:K)&lt;31,"Adolescent","Invalid")))</f>
        <v>Adolescent</v>
      </c>
      <c r="M640" s="8" t="str">
        <f>_xlfn.XLOOKUP($A640,'RAWDATA Cars Buyers DB'!$A:$A,'RAWDATA Cars Buyers DB'!L:L)</f>
        <v>No</v>
      </c>
    </row>
    <row r="641" spans="1:13">
      <c r="A641" s="6">
        <v>38016</v>
      </c>
      <c r="B641" s="10" t="str">
        <f>IF(_xlfn.XLOOKUP($A641,'RAWDATA Cars Buyers DB'!$A:$A,'RAWDATA Cars Buyers DB'!B:B)="S","Single","Married")</f>
        <v>Married</v>
      </c>
      <c r="C641" s="10" t="str">
        <f>IF(_xlfn.XLOOKUP($A641,'RAWDATA Cars Buyers DB'!$A:$A,'RAWDATA Cars Buyers DB'!C:C)="F","Female","Male")</f>
        <v>Female</v>
      </c>
      <c r="D641" s="7">
        <f>_xlfn.XLOOKUP($A641,'RAWDATA Cars Buyers DB'!$A:$A,'RAWDATA Cars Buyers DB'!D:D)</f>
        <v>31950</v>
      </c>
      <c r="E641" s="8">
        <f>_xlfn.XLOOKUP($A641,'RAWDATA Cars Buyers DB'!$A:$A,'RAWDATA Cars Buyers DB'!E:E)</f>
        <v>2</v>
      </c>
      <c r="F641" s="8" t="str">
        <f>_xlfn.XLOOKUP($A641,'RAWDATA Cars Buyers DB'!$A:$A,'RAWDATA Cars Buyers DB'!F:F)</f>
        <v>Partial College</v>
      </c>
      <c r="G641" s="8" t="str">
        <f>_xlfn.XLOOKUP($A641,'RAWDATA Cars Buyers DB'!$A:$A,'RAWDATA Cars Buyers DB'!G:G)</f>
        <v>Management</v>
      </c>
      <c r="H641" s="8" t="str">
        <f>_xlfn.XLOOKUP($A641,'RAWDATA Cars Buyers DB'!$A:$A,'RAWDATA Cars Buyers DB'!H:H)</f>
        <v>Yes</v>
      </c>
      <c r="I641" s="8" t="str">
        <f>_xlfn.XLOOKUP($A641,'RAWDATA Cars Buyers DB'!$A:$A,'RAWDATA Cars Buyers DB'!I:I)</f>
        <v>0–1 Kilometre</v>
      </c>
      <c r="J641" s="8" t="str">
        <f>_xlfn.XLOOKUP($A641,'RAWDATA Cars Buyers DB'!$A:$A,'RAWDATA Cars Buyers DB'!J:J)</f>
        <v>Saarland</v>
      </c>
      <c r="K641" s="8">
        <f>_xlfn.XLOOKUP($A641,'RAWDATA Cars Buyers DB'!$A:$A,'RAWDATA Cars Buyers DB'!K:K)</f>
        <v>35</v>
      </c>
      <c r="L641" s="10" t="str">
        <f>IF(_xlfn.XLOOKUP($A641,'RAWDATA Cars Buyers DB'!$A:$A,'RAWDATA Cars Buyers DB'!K:K)&gt;54,"Old ",IF(_xlfn.XLOOKUP($A641,'RAWDATA Cars Buyers DB'!$A:$A,'RAWDATA Cars Buyers DB'!K:K)&gt;=31,"Middle Age ",IF(_xlfn.XLOOKUP($A641,'RAWDATA Cars Buyers DB'!$A:$A,'RAWDATA Cars Buyers DB'!K:K)&lt;31,"Adolescent","Invalid")))</f>
        <v xml:space="preserve">Middle Age </v>
      </c>
      <c r="M641" s="8" t="str">
        <f>_xlfn.XLOOKUP($A641,'RAWDATA Cars Buyers DB'!$A:$A,'RAWDATA Cars Buyers DB'!L:L)</f>
        <v>No</v>
      </c>
    </row>
    <row r="642" spans="1:13">
      <c r="A642" s="6">
        <v>33960</v>
      </c>
      <c r="B642" s="10" t="str">
        <f>IF(_xlfn.XLOOKUP($A642,'RAWDATA Cars Buyers DB'!$A:$A,'RAWDATA Cars Buyers DB'!B:B)="S","Single","Married")</f>
        <v>Married</v>
      </c>
      <c r="C642" s="10" t="str">
        <f>IF(_xlfn.XLOOKUP($A642,'RAWDATA Cars Buyers DB'!$A:$A,'RAWDATA Cars Buyers DB'!C:C)="F","Female","Male")</f>
        <v>Female</v>
      </c>
      <c r="D642" s="7">
        <f>_xlfn.XLOOKUP($A642,'RAWDATA Cars Buyers DB'!$A:$A,'RAWDATA Cars Buyers DB'!D:D)</f>
        <v>96240</v>
      </c>
      <c r="E642" s="8">
        <f>_xlfn.XLOOKUP($A642,'RAWDATA Cars Buyers DB'!$A:$A,'RAWDATA Cars Buyers DB'!E:E)</f>
        <v>5</v>
      </c>
      <c r="F642" s="8" t="str">
        <f>_xlfn.XLOOKUP($A642,'RAWDATA Cars Buyers DB'!$A:$A,'RAWDATA Cars Buyers DB'!F:F)</f>
        <v>Bachelors</v>
      </c>
      <c r="G642" s="8" t="str">
        <f>_xlfn.XLOOKUP($A642,'RAWDATA Cars Buyers DB'!$A:$A,'RAWDATA Cars Buyers DB'!G:G)</f>
        <v>Professional</v>
      </c>
      <c r="H642" s="8" t="str">
        <f>_xlfn.XLOOKUP($A642,'RAWDATA Cars Buyers DB'!$A:$A,'RAWDATA Cars Buyers DB'!H:H)</f>
        <v>Yes</v>
      </c>
      <c r="I642" s="8" t="str">
        <f>_xlfn.XLOOKUP($A642,'RAWDATA Cars Buyers DB'!$A:$A,'RAWDATA Cars Buyers DB'!I:I)</f>
        <v>4–6 Kilometre</v>
      </c>
      <c r="J642" s="8" t="str">
        <f>_xlfn.XLOOKUP($A642,'RAWDATA Cars Buyers DB'!$A:$A,'RAWDATA Cars Buyers DB'!J:J)</f>
        <v>Hesse</v>
      </c>
      <c r="K642" s="8">
        <f>_xlfn.XLOOKUP($A642,'RAWDATA Cars Buyers DB'!$A:$A,'RAWDATA Cars Buyers DB'!K:K)</f>
        <v>37</v>
      </c>
      <c r="L642" s="10" t="str">
        <f>IF(_xlfn.XLOOKUP($A642,'RAWDATA Cars Buyers DB'!$A:$A,'RAWDATA Cars Buyers DB'!K:K)&gt;54,"Old ",IF(_xlfn.XLOOKUP($A642,'RAWDATA Cars Buyers DB'!$A:$A,'RAWDATA Cars Buyers DB'!K:K)&gt;=31,"Middle Age ",IF(_xlfn.XLOOKUP($A642,'RAWDATA Cars Buyers DB'!$A:$A,'RAWDATA Cars Buyers DB'!K:K)&lt;31,"Adolescent","Invalid")))</f>
        <v xml:space="preserve">Middle Age </v>
      </c>
      <c r="M642" s="8" t="str">
        <f>_xlfn.XLOOKUP($A642,'RAWDATA Cars Buyers DB'!$A:$A,'RAWDATA Cars Buyers DB'!L:L)</f>
        <v>No</v>
      </c>
    </row>
    <row r="643" spans="1:13">
      <c r="A643" s="6">
        <v>43591</v>
      </c>
      <c r="B643" s="10" t="str">
        <f>IF(_xlfn.XLOOKUP($A643,'RAWDATA Cars Buyers DB'!$A:$A,'RAWDATA Cars Buyers DB'!B:B)="S","Single","Married")</f>
        <v>Married</v>
      </c>
      <c r="C643" s="10" t="str">
        <f>IF(_xlfn.XLOOKUP($A643,'RAWDATA Cars Buyers DB'!$A:$A,'RAWDATA Cars Buyers DB'!C:C)="F","Female","Male")</f>
        <v>Female</v>
      </c>
      <c r="D643" s="7">
        <f>_xlfn.XLOOKUP($A643,'RAWDATA Cars Buyers DB'!$A:$A,'RAWDATA Cars Buyers DB'!D:D)</f>
        <v>97403</v>
      </c>
      <c r="E643" s="8">
        <f>_xlfn.XLOOKUP($A643,'RAWDATA Cars Buyers DB'!$A:$A,'RAWDATA Cars Buyers DB'!E:E)</f>
        <v>4</v>
      </c>
      <c r="F643" s="8" t="str">
        <f>_xlfn.XLOOKUP($A643,'RAWDATA Cars Buyers DB'!$A:$A,'RAWDATA Cars Buyers DB'!F:F)</f>
        <v>High School</v>
      </c>
      <c r="G643" s="8" t="str">
        <f>_xlfn.XLOOKUP($A643,'RAWDATA Cars Buyers DB'!$A:$A,'RAWDATA Cars Buyers DB'!G:G)</f>
        <v>Professional</v>
      </c>
      <c r="H643" s="8" t="str">
        <f>_xlfn.XLOOKUP($A643,'RAWDATA Cars Buyers DB'!$A:$A,'RAWDATA Cars Buyers DB'!H:H)</f>
        <v>No</v>
      </c>
      <c r="I643" s="8" t="str">
        <f>_xlfn.XLOOKUP($A643,'RAWDATA Cars Buyers DB'!$A:$A,'RAWDATA Cars Buyers DB'!I:I)</f>
        <v>4–6 Kilometre</v>
      </c>
      <c r="J643" s="8" t="str">
        <f>_xlfn.XLOOKUP($A643,'RAWDATA Cars Buyers DB'!$A:$A,'RAWDATA Cars Buyers DB'!J:J)</f>
        <v>Berlin</v>
      </c>
      <c r="K643" s="8">
        <f>_xlfn.XLOOKUP($A643,'RAWDATA Cars Buyers DB'!$A:$A,'RAWDATA Cars Buyers DB'!K:K)</f>
        <v>68</v>
      </c>
      <c r="L643" s="10" t="str">
        <f>IF(_xlfn.XLOOKUP($A643,'RAWDATA Cars Buyers DB'!$A:$A,'RAWDATA Cars Buyers DB'!K:K)&gt;54,"Old ",IF(_xlfn.XLOOKUP($A643,'RAWDATA Cars Buyers DB'!$A:$A,'RAWDATA Cars Buyers DB'!K:K)&gt;=31,"Middle Age ",IF(_xlfn.XLOOKUP($A643,'RAWDATA Cars Buyers DB'!$A:$A,'RAWDATA Cars Buyers DB'!K:K)&lt;31,"Adolescent","Invalid")))</f>
        <v xml:space="preserve">Old </v>
      </c>
      <c r="M643" s="8" t="str">
        <f>_xlfn.XLOOKUP($A643,'RAWDATA Cars Buyers DB'!$A:$A,'RAWDATA Cars Buyers DB'!L:L)</f>
        <v>No</v>
      </c>
    </row>
    <row r="644" spans="1:13">
      <c r="A644" s="6">
        <v>92848</v>
      </c>
      <c r="B644" s="10" t="str">
        <f>IF(_xlfn.XLOOKUP($A644,'RAWDATA Cars Buyers DB'!$A:$A,'RAWDATA Cars Buyers DB'!B:B)="S","Single","Married")</f>
        <v>Single</v>
      </c>
      <c r="C644" s="10" t="str">
        <f>IF(_xlfn.XLOOKUP($A644,'RAWDATA Cars Buyers DB'!$A:$A,'RAWDATA Cars Buyers DB'!C:C)="F","Female","Male")</f>
        <v>Female</v>
      </c>
      <c r="D644" s="7">
        <f>_xlfn.XLOOKUP($A644,'RAWDATA Cars Buyers DB'!$A:$A,'RAWDATA Cars Buyers DB'!D:D)</f>
        <v>22745</v>
      </c>
      <c r="E644" s="8">
        <f>_xlfn.XLOOKUP($A644,'RAWDATA Cars Buyers DB'!$A:$A,'RAWDATA Cars Buyers DB'!E:E)</f>
        <v>0</v>
      </c>
      <c r="F644" s="8" t="str">
        <f>_xlfn.XLOOKUP($A644,'RAWDATA Cars Buyers DB'!$A:$A,'RAWDATA Cars Buyers DB'!F:F)</f>
        <v>Bachelors</v>
      </c>
      <c r="G644" s="8" t="str">
        <f>_xlfn.XLOOKUP($A644,'RAWDATA Cars Buyers DB'!$A:$A,'RAWDATA Cars Buyers DB'!G:G)</f>
        <v>Professional</v>
      </c>
      <c r="H644" s="8" t="str">
        <f>_xlfn.XLOOKUP($A644,'RAWDATA Cars Buyers DB'!$A:$A,'RAWDATA Cars Buyers DB'!H:H)</f>
        <v>No</v>
      </c>
      <c r="I644" s="8" t="str">
        <f>_xlfn.XLOOKUP($A644,'RAWDATA Cars Buyers DB'!$A:$A,'RAWDATA Cars Buyers DB'!I:I)</f>
        <v>0–1 Kilometre</v>
      </c>
      <c r="J644" s="8" t="str">
        <f>_xlfn.XLOOKUP($A644,'RAWDATA Cars Buyers DB'!$A:$A,'RAWDATA Cars Buyers DB'!J:J)</f>
        <v>Bavaria</v>
      </c>
      <c r="K644" s="8">
        <f>_xlfn.XLOOKUP($A644,'RAWDATA Cars Buyers DB'!$A:$A,'RAWDATA Cars Buyers DB'!K:K)</f>
        <v>37</v>
      </c>
      <c r="L644" s="10" t="str">
        <f>IF(_xlfn.XLOOKUP($A644,'RAWDATA Cars Buyers DB'!$A:$A,'RAWDATA Cars Buyers DB'!K:K)&gt;54,"Old ",IF(_xlfn.XLOOKUP($A644,'RAWDATA Cars Buyers DB'!$A:$A,'RAWDATA Cars Buyers DB'!K:K)&gt;=31,"Middle Age ",IF(_xlfn.XLOOKUP($A644,'RAWDATA Cars Buyers DB'!$A:$A,'RAWDATA Cars Buyers DB'!K:K)&lt;31,"Adolescent","Invalid")))</f>
        <v xml:space="preserve">Middle Age </v>
      </c>
      <c r="M644" s="8" t="str">
        <f>_xlfn.XLOOKUP($A644,'RAWDATA Cars Buyers DB'!$A:$A,'RAWDATA Cars Buyers DB'!L:L)</f>
        <v>Yes</v>
      </c>
    </row>
    <row r="645" spans="1:13">
      <c r="A645" s="6">
        <v>77641</v>
      </c>
      <c r="B645" s="10" t="str">
        <f>IF(_xlfn.XLOOKUP($A645,'RAWDATA Cars Buyers DB'!$A:$A,'RAWDATA Cars Buyers DB'!B:B)="S","Single","Married")</f>
        <v>Married</v>
      </c>
      <c r="C645" s="10" t="str">
        <f>IF(_xlfn.XLOOKUP($A645,'RAWDATA Cars Buyers DB'!$A:$A,'RAWDATA Cars Buyers DB'!C:C)="F","Female","Male")</f>
        <v>Female</v>
      </c>
      <c r="D645" s="7">
        <f>_xlfn.XLOOKUP($A645,'RAWDATA Cars Buyers DB'!$A:$A,'RAWDATA Cars Buyers DB'!D:D)</f>
        <v>75243</v>
      </c>
      <c r="E645" s="8">
        <f>_xlfn.XLOOKUP($A645,'RAWDATA Cars Buyers DB'!$A:$A,'RAWDATA Cars Buyers DB'!E:E)</f>
        <v>5</v>
      </c>
      <c r="F645" s="8" t="str">
        <f>_xlfn.XLOOKUP($A645,'RAWDATA Cars Buyers DB'!$A:$A,'RAWDATA Cars Buyers DB'!F:F)</f>
        <v>Partial College</v>
      </c>
      <c r="G645" s="8" t="str">
        <f>_xlfn.XLOOKUP($A645,'RAWDATA Cars Buyers DB'!$A:$A,'RAWDATA Cars Buyers DB'!G:G)</f>
        <v>Professional</v>
      </c>
      <c r="H645" s="8" t="str">
        <f>_xlfn.XLOOKUP($A645,'RAWDATA Cars Buyers DB'!$A:$A,'RAWDATA Cars Buyers DB'!H:H)</f>
        <v>No</v>
      </c>
      <c r="I645" s="8" t="str">
        <f>_xlfn.XLOOKUP($A645,'RAWDATA Cars Buyers DB'!$A:$A,'RAWDATA Cars Buyers DB'!I:I)</f>
        <v>2–4 Kilometre</v>
      </c>
      <c r="J645" s="8" t="str">
        <f>_xlfn.XLOOKUP($A645,'RAWDATA Cars Buyers DB'!$A:$A,'RAWDATA Cars Buyers DB'!J:J)</f>
        <v>Lower Saxony</v>
      </c>
      <c r="K645" s="8">
        <f>_xlfn.XLOOKUP($A645,'RAWDATA Cars Buyers DB'!$A:$A,'RAWDATA Cars Buyers DB'!K:K)</f>
        <v>20</v>
      </c>
      <c r="L645" s="10" t="str">
        <f>IF(_xlfn.XLOOKUP($A645,'RAWDATA Cars Buyers DB'!$A:$A,'RAWDATA Cars Buyers DB'!K:K)&gt;54,"Old ",IF(_xlfn.XLOOKUP($A645,'RAWDATA Cars Buyers DB'!$A:$A,'RAWDATA Cars Buyers DB'!K:K)&gt;=31,"Middle Age ",IF(_xlfn.XLOOKUP($A645,'RAWDATA Cars Buyers DB'!$A:$A,'RAWDATA Cars Buyers DB'!K:K)&lt;31,"Adolescent","Invalid")))</f>
        <v>Adolescent</v>
      </c>
      <c r="M645" s="8" t="str">
        <f>_xlfn.XLOOKUP($A645,'RAWDATA Cars Buyers DB'!$A:$A,'RAWDATA Cars Buyers DB'!L:L)</f>
        <v>Yes</v>
      </c>
    </row>
    <row r="646" spans="1:13">
      <c r="A646" s="6">
        <v>46395</v>
      </c>
      <c r="B646" s="10" t="str">
        <f>IF(_xlfn.XLOOKUP($A646,'RAWDATA Cars Buyers DB'!$A:$A,'RAWDATA Cars Buyers DB'!B:B)="S","Single","Married")</f>
        <v>Married</v>
      </c>
      <c r="C646" s="10" t="str">
        <f>IF(_xlfn.XLOOKUP($A646,'RAWDATA Cars Buyers DB'!$A:$A,'RAWDATA Cars Buyers DB'!C:C)="F","Female","Male")</f>
        <v>Female</v>
      </c>
      <c r="D646" s="7">
        <f>_xlfn.XLOOKUP($A646,'RAWDATA Cars Buyers DB'!$A:$A,'RAWDATA Cars Buyers DB'!D:D)</f>
        <v>23866</v>
      </c>
      <c r="E646" s="8">
        <f>_xlfn.XLOOKUP($A646,'RAWDATA Cars Buyers DB'!$A:$A,'RAWDATA Cars Buyers DB'!E:E)</f>
        <v>4</v>
      </c>
      <c r="F646" s="8" t="str">
        <f>_xlfn.XLOOKUP($A646,'RAWDATA Cars Buyers DB'!$A:$A,'RAWDATA Cars Buyers DB'!F:F)</f>
        <v>Graduate Degree</v>
      </c>
      <c r="G646" s="8" t="str">
        <f>_xlfn.XLOOKUP($A646,'RAWDATA Cars Buyers DB'!$A:$A,'RAWDATA Cars Buyers DB'!G:G)</f>
        <v>Management</v>
      </c>
      <c r="H646" s="8" t="str">
        <f>_xlfn.XLOOKUP($A646,'RAWDATA Cars Buyers DB'!$A:$A,'RAWDATA Cars Buyers DB'!H:H)</f>
        <v>No</v>
      </c>
      <c r="I646" s="8" t="str">
        <f>_xlfn.XLOOKUP($A646,'RAWDATA Cars Buyers DB'!$A:$A,'RAWDATA Cars Buyers DB'!I:I)</f>
        <v>2–4 Kilometre</v>
      </c>
      <c r="J646" s="8" t="str">
        <f>_xlfn.XLOOKUP($A646,'RAWDATA Cars Buyers DB'!$A:$A,'RAWDATA Cars Buyers DB'!J:J)</f>
        <v>Brandenburg</v>
      </c>
      <c r="K646" s="8">
        <f>_xlfn.XLOOKUP($A646,'RAWDATA Cars Buyers DB'!$A:$A,'RAWDATA Cars Buyers DB'!K:K)</f>
        <v>38</v>
      </c>
      <c r="L646" s="10" t="str">
        <f>IF(_xlfn.XLOOKUP($A646,'RAWDATA Cars Buyers DB'!$A:$A,'RAWDATA Cars Buyers DB'!K:K)&gt;54,"Old ",IF(_xlfn.XLOOKUP($A646,'RAWDATA Cars Buyers DB'!$A:$A,'RAWDATA Cars Buyers DB'!K:K)&gt;=31,"Middle Age ",IF(_xlfn.XLOOKUP($A646,'RAWDATA Cars Buyers DB'!$A:$A,'RAWDATA Cars Buyers DB'!K:K)&lt;31,"Adolescent","Invalid")))</f>
        <v xml:space="preserve">Middle Age </v>
      </c>
      <c r="M646" s="8" t="str">
        <f>_xlfn.XLOOKUP($A646,'RAWDATA Cars Buyers DB'!$A:$A,'RAWDATA Cars Buyers DB'!L:L)</f>
        <v>No</v>
      </c>
    </row>
    <row r="647" spans="1:13">
      <c r="A647" s="6">
        <v>32700</v>
      </c>
      <c r="B647" s="10" t="str">
        <f>IF(_xlfn.XLOOKUP($A647,'RAWDATA Cars Buyers DB'!$A:$A,'RAWDATA Cars Buyers DB'!B:B)="S","Single","Married")</f>
        <v>Married</v>
      </c>
      <c r="C647" s="10" t="str">
        <f>IF(_xlfn.XLOOKUP($A647,'RAWDATA Cars Buyers DB'!$A:$A,'RAWDATA Cars Buyers DB'!C:C)="F","Female","Male")</f>
        <v>Male</v>
      </c>
      <c r="D647" s="7">
        <f>_xlfn.XLOOKUP($A647,'RAWDATA Cars Buyers DB'!$A:$A,'RAWDATA Cars Buyers DB'!D:D)</f>
        <v>52245</v>
      </c>
      <c r="E647" s="8">
        <f>_xlfn.XLOOKUP($A647,'RAWDATA Cars Buyers DB'!$A:$A,'RAWDATA Cars Buyers DB'!E:E)</f>
        <v>3</v>
      </c>
      <c r="F647" s="8" t="str">
        <f>_xlfn.XLOOKUP($A647,'RAWDATA Cars Buyers DB'!$A:$A,'RAWDATA Cars Buyers DB'!F:F)</f>
        <v>Partial College</v>
      </c>
      <c r="G647" s="8" t="str">
        <f>_xlfn.XLOOKUP($A647,'RAWDATA Cars Buyers DB'!$A:$A,'RAWDATA Cars Buyers DB'!G:G)</f>
        <v>Skilled Manual</v>
      </c>
      <c r="H647" s="8" t="str">
        <f>_xlfn.XLOOKUP($A647,'RAWDATA Cars Buyers DB'!$A:$A,'RAWDATA Cars Buyers DB'!H:H)</f>
        <v>No</v>
      </c>
      <c r="I647" s="8" t="str">
        <f>_xlfn.XLOOKUP($A647,'RAWDATA Cars Buyers DB'!$A:$A,'RAWDATA Cars Buyers DB'!I:I)</f>
        <v>1–2 Kilometre</v>
      </c>
      <c r="J647" s="8" t="str">
        <f>_xlfn.XLOOKUP($A647,'RAWDATA Cars Buyers DB'!$A:$A,'RAWDATA Cars Buyers DB'!J:J)</f>
        <v>Mecklenburg-Vorpommern</v>
      </c>
      <c r="K647" s="8">
        <f>_xlfn.XLOOKUP($A647,'RAWDATA Cars Buyers DB'!$A:$A,'RAWDATA Cars Buyers DB'!K:K)</f>
        <v>27</v>
      </c>
      <c r="L647" s="10" t="str">
        <f>IF(_xlfn.XLOOKUP($A647,'RAWDATA Cars Buyers DB'!$A:$A,'RAWDATA Cars Buyers DB'!K:K)&gt;54,"Old ",IF(_xlfn.XLOOKUP($A647,'RAWDATA Cars Buyers DB'!$A:$A,'RAWDATA Cars Buyers DB'!K:K)&gt;=31,"Middle Age ",IF(_xlfn.XLOOKUP($A647,'RAWDATA Cars Buyers DB'!$A:$A,'RAWDATA Cars Buyers DB'!K:K)&lt;31,"Adolescent","Invalid")))</f>
        <v>Adolescent</v>
      </c>
      <c r="M647" s="8" t="str">
        <f>_xlfn.XLOOKUP($A647,'RAWDATA Cars Buyers DB'!$A:$A,'RAWDATA Cars Buyers DB'!L:L)</f>
        <v>Yes</v>
      </c>
    </row>
    <row r="648" spans="1:13">
      <c r="A648" s="6">
        <v>44620</v>
      </c>
      <c r="B648" s="10" t="str">
        <f>IF(_xlfn.XLOOKUP($A648,'RAWDATA Cars Buyers DB'!$A:$A,'RAWDATA Cars Buyers DB'!B:B)="S","Single","Married")</f>
        <v>Single</v>
      </c>
      <c r="C648" s="10" t="str">
        <f>IF(_xlfn.XLOOKUP($A648,'RAWDATA Cars Buyers DB'!$A:$A,'RAWDATA Cars Buyers DB'!C:C)="F","Female","Male")</f>
        <v>Female</v>
      </c>
      <c r="D648" s="7">
        <f>_xlfn.XLOOKUP($A648,'RAWDATA Cars Buyers DB'!$A:$A,'RAWDATA Cars Buyers DB'!D:D)</f>
        <v>64724</v>
      </c>
      <c r="E648" s="8">
        <f>_xlfn.XLOOKUP($A648,'RAWDATA Cars Buyers DB'!$A:$A,'RAWDATA Cars Buyers DB'!E:E)</f>
        <v>4</v>
      </c>
      <c r="F648" s="8" t="str">
        <f>_xlfn.XLOOKUP($A648,'RAWDATA Cars Buyers DB'!$A:$A,'RAWDATA Cars Buyers DB'!F:F)</f>
        <v>High School</v>
      </c>
      <c r="G648" s="8" t="str">
        <f>_xlfn.XLOOKUP($A648,'RAWDATA Cars Buyers DB'!$A:$A,'RAWDATA Cars Buyers DB'!G:G)</f>
        <v>Clerical</v>
      </c>
      <c r="H648" s="8" t="str">
        <f>_xlfn.XLOOKUP($A648,'RAWDATA Cars Buyers DB'!$A:$A,'RAWDATA Cars Buyers DB'!H:H)</f>
        <v>No</v>
      </c>
      <c r="I648" s="8" t="str">
        <f>_xlfn.XLOOKUP($A648,'RAWDATA Cars Buyers DB'!$A:$A,'RAWDATA Cars Buyers DB'!I:I)</f>
        <v>6+ Kilometre</v>
      </c>
      <c r="J648" s="8" t="str">
        <f>_xlfn.XLOOKUP($A648,'RAWDATA Cars Buyers DB'!$A:$A,'RAWDATA Cars Buyers DB'!J:J)</f>
        <v>Schleswig-Holstein</v>
      </c>
      <c r="K648" s="8">
        <f>_xlfn.XLOOKUP($A648,'RAWDATA Cars Buyers DB'!$A:$A,'RAWDATA Cars Buyers DB'!K:K)</f>
        <v>22</v>
      </c>
      <c r="L648" s="10" t="str">
        <f>IF(_xlfn.XLOOKUP($A648,'RAWDATA Cars Buyers DB'!$A:$A,'RAWDATA Cars Buyers DB'!K:K)&gt;54,"Old ",IF(_xlfn.XLOOKUP($A648,'RAWDATA Cars Buyers DB'!$A:$A,'RAWDATA Cars Buyers DB'!K:K)&gt;=31,"Middle Age ",IF(_xlfn.XLOOKUP($A648,'RAWDATA Cars Buyers DB'!$A:$A,'RAWDATA Cars Buyers DB'!K:K)&lt;31,"Adolescent","Invalid")))</f>
        <v>Adolescent</v>
      </c>
      <c r="M648" s="8" t="str">
        <f>_xlfn.XLOOKUP($A648,'RAWDATA Cars Buyers DB'!$A:$A,'RAWDATA Cars Buyers DB'!L:L)</f>
        <v>Yes</v>
      </c>
    </row>
    <row r="649" spans="1:13">
      <c r="A649" s="6">
        <v>30559</v>
      </c>
      <c r="B649" s="10" t="str">
        <f>IF(_xlfn.XLOOKUP($A649,'RAWDATA Cars Buyers DB'!$A:$A,'RAWDATA Cars Buyers DB'!B:B)="S","Single","Married")</f>
        <v>Married</v>
      </c>
      <c r="C649" s="10" t="str">
        <f>IF(_xlfn.XLOOKUP($A649,'RAWDATA Cars Buyers DB'!$A:$A,'RAWDATA Cars Buyers DB'!C:C)="F","Female","Male")</f>
        <v>Male</v>
      </c>
      <c r="D649" s="7">
        <f>_xlfn.XLOOKUP($A649,'RAWDATA Cars Buyers DB'!$A:$A,'RAWDATA Cars Buyers DB'!D:D)</f>
        <v>91354</v>
      </c>
      <c r="E649" s="8">
        <f>_xlfn.XLOOKUP($A649,'RAWDATA Cars Buyers DB'!$A:$A,'RAWDATA Cars Buyers DB'!E:E)</f>
        <v>1</v>
      </c>
      <c r="F649" s="8" t="str">
        <f>_xlfn.XLOOKUP($A649,'RAWDATA Cars Buyers DB'!$A:$A,'RAWDATA Cars Buyers DB'!F:F)</f>
        <v>Graduate Degree</v>
      </c>
      <c r="G649" s="8" t="str">
        <f>_xlfn.XLOOKUP($A649,'RAWDATA Cars Buyers DB'!$A:$A,'RAWDATA Cars Buyers DB'!G:G)</f>
        <v>Professional</v>
      </c>
      <c r="H649" s="8" t="str">
        <f>_xlfn.XLOOKUP($A649,'RAWDATA Cars Buyers DB'!$A:$A,'RAWDATA Cars Buyers DB'!H:H)</f>
        <v>No</v>
      </c>
      <c r="I649" s="8" t="str">
        <f>_xlfn.XLOOKUP($A649,'RAWDATA Cars Buyers DB'!$A:$A,'RAWDATA Cars Buyers DB'!I:I)</f>
        <v>1–2 Kilometre</v>
      </c>
      <c r="J649" s="8" t="str">
        <f>_xlfn.XLOOKUP($A649,'RAWDATA Cars Buyers DB'!$A:$A,'RAWDATA Cars Buyers DB'!J:J)</f>
        <v>Saxony</v>
      </c>
      <c r="K649" s="8">
        <f>_xlfn.XLOOKUP($A649,'RAWDATA Cars Buyers DB'!$A:$A,'RAWDATA Cars Buyers DB'!K:K)</f>
        <v>44</v>
      </c>
      <c r="L649" s="10" t="str">
        <f>IF(_xlfn.XLOOKUP($A649,'RAWDATA Cars Buyers DB'!$A:$A,'RAWDATA Cars Buyers DB'!K:K)&gt;54,"Old ",IF(_xlfn.XLOOKUP($A649,'RAWDATA Cars Buyers DB'!$A:$A,'RAWDATA Cars Buyers DB'!K:K)&gt;=31,"Middle Age ",IF(_xlfn.XLOOKUP($A649,'RAWDATA Cars Buyers DB'!$A:$A,'RAWDATA Cars Buyers DB'!K:K)&lt;31,"Adolescent","Invalid")))</f>
        <v xml:space="preserve">Middle Age </v>
      </c>
      <c r="M649" s="8" t="str">
        <f>_xlfn.XLOOKUP($A649,'RAWDATA Cars Buyers DB'!$A:$A,'RAWDATA Cars Buyers DB'!L:L)</f>
        <v>Yes</v>
      </c>
    </row>
    <row r="650" spans="1:13">
      <c r="A650" s="6">
        <v>71642</v>
      </c>
      <c r="B650" s="10" t="str">
        <f>IF(_xlfn.XLOOKUP($A650,'RAWDATA Cars Buyers DB'!$A:$A,'RAWDATA Cars Buyers DB'!B:B)="S","Single","Married")</f>
        <v>Married</v>
      </c>
      <c r="C650" s="10" t="str">
        <f>IF(_xlfn.XLOOKUP($A650,'RAWDATA Cars Buyers DB'!$A:$A,'RAWDATA Cars Buyers DB'!C:C)="F","Female","Male")</f>
        <v>Male</v>
      </c>
      <c r="D650" s="7">
        <f>_xlfn.XLOOKUP($A650,'RAWDATA Cars Buyers DB'!$A:$A,'RAWDATA Cars Buyers DB'!D:D)</f>
        <v>71374</v>
      </c>
      <c r="E650" s="8">
        <f>_xlfn.XLOOKUP($A650,'RAWDATA Cars Buyers DB'!$A:$A,'RAWDATA Cars Buyers DB'!E:E)</f>
        <v>5</v>
      </c>
      <c r="F650" s="8" t="str">
        <f>_xlfn.XLOOKUP($A650,'RAWDATA Cars Buyers DB'!$A:$A,'RAWDATA Cars Buyers DB'!F:F)</f>
        <v>Bachelors</v>
      </c>
      <c r="G650" s="8" t="str">
        <f>_xlfn.XLOOKUP($A650,'RAWDATA Cars Buyers DB'!$A:$A,'RAWDATA Cars Buyers DB'!G:G)</f>
        <v>Skilled Manual</v>
      </c>
      <c r="H650" s="8" t="str">
        <f>_xlfn.XLOOKUP($A650,'RAWDATA Cars Buyers DB'!$A:$A,'RAWDATA Cars Buyers DB'!H:H)</f>
        <v>Yes</v>
      </c>
      <c r="I650" s="8" t="str">
        <f>_xlfn.XLOOKUP($A650,'RAWDATA Cars Buyers DB'!$A:$A,'RAWDATA Cars Buyers DB'!I:I)</f>
        <v>2–4 Kilometre</v>
      </c>
      <c r="J650" s="8" t="str">
        <f>_xlfn.XLOOKUP($A650,'RAWDATA Cars Buyers DB'!$A:$A,'RAWDATA Cars Buyers DB'!J:J)</f>
        <v>Bremen</v>
      </c>
      <c r="K650" s="8">
        <f>_xlfn.XLOOKUP($A650,'RAWDATA Cars Buyers DB'!$A:$A,'RAWDATA Cars Buyers DB'!K:K)</f>
        <v>24</v>
      </c>
      <c r="L650" s="10" t="str">
        <f>IF(_xlfn.XLOOKUP($A650,'RAWDATA Cars Buyers DB'!$A:$A,'RAWDATA Cars Buyers DB'!K:K)&gt;54,"Old ",IF(_xlfn.XLOOKUP($A650,'RAWDATA Cars Buyers DB'!$A:$A,'RAWDATA Cars Buyers DB'!K:K)&gt;=31,"Middle Age ",IF(_xlfn.XLOOKUP($A650,'RAWDATA Cars Buyers DB'!$A:$A,'RAWDATA Cars Buyers DB'!K:K)&lt;31,"Adolescent","Invalid")))</f>
        <v>Adolescent</v>
      </c>
      <c r="M650" s="8" t="str">
        <f>_xlfn.XLOOKUP($A650,'RAWDATA Cars Buyers DB'!$A:$A,'RAWDATA Cars Buyers DB'!L:L)</f>
        <v>Yes</v>
      </c>
    </row>
    <row r="651" spans="1:13">
      <c r="A651" s="6">
        <v>86539</v>
      </c>
      <c r="B651" s="10" t="str">
        <f>IF(_xlfn.XLOOKUP($A651,'RAWDATA Cars Buyers DB'!$A:$A,'RAWDATA Cars Buyers DB'!B:B)="S","Single","Married")</f>
        <v>Single</v>
      </c>
      <c r="C651" s="10" t="str">
        <f>IF(_xlfn.XLOOKUP($A651,'RAWDATA Cars Buyers DB'!$A:$A,'RAWDATA Cars Buyers DB'!C:C)="F","Female","Male")</f>
        <v>Female</v>
      </c>
      <c r="D651" s="7">
        <f>_xlfn.XLOOKUP($A651,'RAWDATA Cars Buyers DB'!$A:$A,'RAWDATA Cars Buyers DB'!D:D)</f>
        <v>50116</v>
      </c>
      <c r="E651" s="8">
        <f>_xlfn.XLOOKUP($A651,'RAWDATA Cars Buyers DB'!$A:$A,'RAWDATA Cars Buyers DB'!E:E)</f>
        <v>4</v>
      </c>
      <c r="F651" s="8" t="str">
        <f>_xlfn.XLOOKUP($A651,'RAWDATA Cars Buyers DB'!$A:$A,'RAWDATA Cars Buyers DB'!F:F)</f>
        <v>Bachelors</v>
      </c>
      <c r="G651" s="8" t="str">
        <f>_xlfn.XLOOKUP($A651,'RAWDATA Cars Buyers DB'!$A:$A,'RAWDATA Cars Buyers DB'!G:G)</f>
        <v>Professional</v>
      </c>
      <c r="H651" s="8" t="str">
        <f>_xlfn.XLOOKUP($A651,'RAWDATA Cars Buyers DB'!$A:$A,'RAWDATA Cars Buyers DB'!H:H)</f>
        <v>No</v>
      </c>
      <c r="I651" s="8" t="str">
        <f>_xlfn.XLOOKUP($A651,'RAWDATA Cars Buyers DB'!$A:$A,'RAWDATA Cars Buyers DB'!I:I)</f>
        <v>0–1 Kilometre</v>
      </c>
      <c r="J651" s="8" t="str">
        <f>_xlfn.XLOOKUP($A651,'RAWDATA Cars Buyers DB'!$A:$A,'RAWDATA Cars Buyers DB'!J:J)</f>
        <v>North Rhine-Westphalia</v>
      </c>
      <c r="K651" s="8">
        <f>_xlfn.XLOOKUP($A651,'RAWDATA Cars Buyers DB'!$A:$A,'RAWDATA Cars Buyers DB'!K:K)</f>
        <v>59</v>
      </c>
      <c r="L651" s="10" t="str">
        <f>IF(_xlfn.XLOOKUP($A651,'RAWDATA Cars Buyers DB'!$A:$A,'RAWDATA Cars Buyers DB'!K:K)&gt;54,"Old ",IF(_xlfn.XLOOKUP($A651,'RAWDATA Cars Buyers DB'!$A:$A,'RAWDATA Cars Buyers DB'!K:K)&gt;=31,"Middle Age ",IF(_xlfn.XLOOKUP($A651,'RAWDATA Cars Buyers DB'!$A:$A,'RAWDATA Cars Buyers DB'!K:K)&lt;31,"Adolescent","Invalid")))</f>
        <v xml:space="preserve">Old </v>
      </c>
      <c r="M651" s="8" t="str">
        <f>_xlfn.XLOOKUP($A651,'RAWDATA Cars Buyers DB'!$A:$A,'RAWDATA Cars Buyers DB'!L:L)</f>
        <v>Yes</v>
      </c>
    </row>
    <row r="652" spans="1:13">
      <c r="A652" s="6">
        <v>31732</v>
      </c>
      <c r="B652" s="10" t="str">
        <f>IF(_xlfn.XLOOKUP($A652,'RAWDATA Cars Buyers DB'!$A:$A,'RAWDATA Cars Buyers DB'!B:B)="S","Single","Married")</f>
        <v>Single</v>
      </c>
      <c r="C652" s="10" t="str">
        <f>IF(_xlfn.XLOOKUP($A652,'RAWDATA Cars Buyers DB'!$A:$A,'RAWDATA Cars Buyers DB'!C:C)="F","Female","Male")</f>
        <v>Male</v>
      </c>
      <c r="D652" s="7">
        <f>_xlfn.XLOOKUP($A652,'RAWDATA Cars Buyers DB'!$A:$A,'RAWDATA Cars Buyers DB'!D:D)</f>
        <v>101029</v>
      </c>
      <c r="E652" s="8">
        <f>_xlfn.XLOOKUP($A652,'RAWDATA Cars Buyers DB'!$A:$A,'RAWDATA Cars Buyers DB'!E:E)</f>
        <v>2</v>
      </c>
      <c r="F652" s="8" t="str">
        <f>_xlfn.XLOOKUP($A652,'RAWDATA Cars Buyers DB'!$A:$A,'RAWDATA Cars Buyers DB'!F:F)</f>
        <v>Bachelors</v>
      </c>
      <c r="G652" s="8" t="str">
        <f>_xlfn.XLOOKUP($A652,'RAWDATA Cars Buyers DB'!$A:$A,'RAWDATA Cars Buyers DB'!G:G)</f>
        <v>Professional</v>
      </c>
      <c r="H652" s="8" t="str">
        <f>_xlfn.XLOOKUP($A652,'RAWDATA Cars Buyers DB'!$A:$A,'RAWDATA Cars Buyers DB'!H:H)</f>
        <v>No</v>
      </c>
      <c r="I652" s="8" t="str">
        <f>_xlfn.XLOOKUP($A652,'RAWDATA Cars Buyers DB'!$A:$A,'RAWDATA Cars Buyers DB'!I:I)</f>
        <v>1–2 Kilometre</v>
      </c>
      <c r="J652" s="8" t="str">
        <f>_xlfn.XLOOKUP($A652,'RAWDATA Cars Buyers DB'!$A:$A,'RAWDATA Cars Buyers DB'!J:J)</f>
        <v>Hamburg</v>
      </c>
      <c r="K652" s="8">
        <f>_xlfn.XLOOKUP($A652,'RAWDATA Cars Buyers DB'!$A:$A,'RAWDATA Cars Buyers DB'!K:K)</f>
        <v>38</v>
      </c>
      <c r="L652" s="10" t="str">
        <f>IF(_xlfn.XLOOKUP($A652,'RAWDATA Cars Buyers DB'!$A:$A,'RAWDATA Cars Buyers DB'!K:K)&gt;54,"Old ",IF(_xlfn.XLOOKUP($A652,'RAWDATA Cars Buyers DB'!$A:$A,'RAWDATA Cars Buyers DB'!K:K)&gt;=31,"Middle Age ",IF(_xlfn.XLOOKUP($A652,'RAWDATA Cars Buyers DB'!$A:$A,'RAWDATA Cars Buyers DB'!K:K)&lt;31,"Adolescent","Invalid")))</f>
        <v xml:space="preserve">Middle Age </v>
      </c>
      <c r="M652" s="8" t="str">
        <f>_xlfn.XLOOKUP($A652,'RAWDATA Cars Buyers DB'!$A:$A,'RAWDATA Cars Buyers DB'!L:L)</f>
        <v>No</v>
      </c>
    </row>
    <row r="653" spans="1:13">
      <c r="A653" s="6">
        <v>40354</v>
      </c>
      <c r="B653" s="10" t="str">
        <f>IF(_xlfn.XLOOKUP($A653,'RAWDATA Cars Buyers DB'!$A:$A,'RAWDATA Cars Buyers DB'!B:B)="S","Single","Married")</f>
        <v>Married</v>
      </c>
      <c r="C653" s="10" t="str">
        <f>IF(_xlfn.XLOOKUP($A653,'RAWDATA Cars Buyers DB'!$A:$A,'RAWDATA Cars Buyers DB'!C:C)="F","Female","Male")</f>
        <v>Male</v>
      </c>
      <c r="D653" s="7">
        <f>_xlfn.XLOOKUP($A653,'RAWDATA Cars Buyers DB'!$A:$A,'RAWDATA Cars Buyers DB'!D:D)</f>
        <v>113574</v>
      </c>
      <c r="E653" s="8">
        <f>_xlfn.XLOOKUP($A653,'RAWDATA Cars Buyers DB'!$A:$A,'RAWDATA Cars Buyers DB'!E:E)</f>
        <v>3</v>
      </c>
      <c r="F653" s="8" t="str">
        <f>_xlfn.XLOOKUP($A653,'RAWDATA Cars Buyers DB'!$A:$A,'RAWDATA Cars Buyers DB'!F:F)</f>
        <v>Graduate Degree</v>
      </c>
      <c r="G653" s="8" t="str">
        <f>_xlfn.XLOOKUP($A653,'RAWDATA Cars Buyers DB'!$A:$A,'RAWDATA Cars Buyers DB'!G:G)</f>
        <v>Clerical</v>
      </c>
      <c r="H653" s="8" t="str">
        <f>_xlfn.XLOOKUP($A653,'RAWDATA Cars Buyers DB'!$A:$A,'RAWDATA Cars Buyers DB'!H:H)</f>
        <v>Yes</v>
      </c>
      <c r="I653" s="8" t="str">
        <f>_xlfn.XLOOKUP($A653,'RAWDATA Cars Buyers DB'!$A:$A,'RAWDATA Cars Buyers DB'!I:I)</f>
        <v>4–6 Kilometre</v>
      </c>
      <c r="J653" s="8" t="str">
        <f>_xlfn.XLOOKUP($A653,'RAWDATA Cars Buyers DB'!$A:$A,'RAWDATA Cars Buyers DB'!J:J)</f>
        <v>Saxony</v>
      </c>
      <c r="K653" s="8">
        <f>_xlfn.XLOOKUP($A653,'RAWDATA Cars Buyers DB'!$A:$A,'RAWDATA Cars Buyers DB'!K:K)</f>
        <v>37</v>
      </c>
      <c r="L653" s="10" t="str">
        <f>IF(_xlfn.XLOOKUP($A653,'RAWDATA Cars Buyers DB'!$A:$A,'RAWDATA Cars Buyers DB'!K:K)&gt;54,"Old ",IF(_xlfn.XLOOKUP($A653,'RAWDATA Cars Buyers DB'!$A:$A,'RAWDATA Cars Buyers DB'!K:K)&gt;=31,"Middle Age ",IF(_xlfn.XLOOKUP($A653,'RAWDATA Cars Buyers DB'!$A:$A,'RAWDATA Cars Buyers DB'!K:K)&lt;31,"Adolescent","Invalid")))</f>
        <v xml:space="preserve">Middle Age </v>
      </c>
      <c r="M653" s="8" t="str">
        <f>_xlfn.XLOOKUP($A653,'RAWDATA Cars Buyers DB'!$A:$A,'RAWDATA Cars Buyers DB'!L:L)</f>
        <v>Yes</v>
      </c>
    </row>
    <row r="654" spans="1:13">
      <c r="A654" s="6">
        <v>23843</v>
      </c>
      <c r="B654" s="10" t="str">
        <f>IF(_xlfn.XLOOKUP($A654,'RAWDATA Cars Buyers DB'!$A:$A,'RAWDATA Cars Buyers DB'!B:B)="S","Single","Married")</f>
        <v>Married</v>
      </c>
      <c r="C654" s="10" t="str">
        <f>IF(_xlfn.XLOOKUP($A654,'RAWDATA Cars Buyers DB'!$A:$A,'RAWDATA Cars Buyers DB'!C:C)="F","Female","Male")</f>
        <v>Male</v>
      </c>
      <c r="D654" s="7">
        <f>_xlfn.XLOOKUP($A654,'RAWDATA Cars Buyers DB'!$A:$A,'RAWDATA Cars Buyers DB'!D:D)</f>
        <v>40447</v>
      </c>
      <c r="E654" s="8">
        <f>_xlfn.XLOOKUP($A654,'RAWDATA Cars Buyers DB'!$A:$A,'RAWDATA Cars Buyers DB'!E:E)</f>
        <v>5</v>
      </c>
      <c r="F654" s="8" t="str">
        <f>_xlfn.XLOOKUP($A654,'RAWDATA Cars Buyers DB'!$A:$A,'RAWDATA Cars Buyers DB'!F:F)</f>
        <v>Partial College</v>
      </c>
      <c r="G654" s="8" t="str">
        <f>_xlfn.XLOOKUP($A654,'RAWDATA Cars Buyers DB'!$A:$A,'RAWDATA Cars Buyers DB'!G:G)</f>
        <v>Clerical</v>
      </c>
      <c r="H654" s="8" t="str">
        <f>_xlfn.XLOOKUP($A654,'RAWDATA Cars Buyers DB'!$A:$A,'RAWDATA Cars Buyers DB'!H:H)</f>
        <v>No</v>
      </c>
      <c r="I654" s="8" t="str">
        <f>_xlfn.XLOOKUP($A654,'RAWDATA Cars Buyers DB'!$A:$A,'RAWDATA Cars Buyers DB'!I:I)</f>
        <v>4–6 Kilometre</v>
      </c>
      <c r="J654" s="8" t="str">
        <f>_xlfn.XLOOKUP($A654,'RAWDATA Cars Buyers DB'!$A:$A,'RAWDATA Cars Buyers DB'!J:J)</f>
        <v>Bavaria</v>
      </c>
      <c r="K654" s="8">
        <f>_xlfn.XLOOKUP($A654,'RAWDATA Cars Buyers DB'!$A:$A,'RAWDATA Cars Buyers DB'!K:K)</f>
        <v>69</v>
      </c>
      <c r="L654" s="10" t="str">
        <f>IF(_xlfn.XLOOKUP($A654,'RAWDATA Cars Buyers DB'!$A:$A,'RAWDATA Cars Buyers DB'!K:K)&gt;54,"Old ",IF(_xlfn.XLOOKUP($A654,'RAWDATA Cars Buyers DB'!$A:$A,'RAWDATA Cars Buyers DB'!K:K)&gt;=31,"Middle Age ",IF(_xlfn.XLOOKUP($A654,'RAWDATA Cars Buyers DB'!$A:$A,'RAWDATA Cars Buyers DB'!K:K)&lt;31,"Adolescent","Invalid")))</f>
        <v xml:space="preserve">Old </v>
      </c>
      <c r="M654" s="8" t="str">
        <f>_xlfn.XLOOKUP($A654,'RAWDATA Cars Buyers DB'!$A:$A,'RAWDATA Cars Buyers DB'!L:L)</f>
        <v>No</v>
      </c>
    </row>
    <row r="655" spans="1:13">
      <c r="A655" s="6">
        <v>81726</v>
      </c>
      <c r="B655" s="10" t="str">
        <f>IF(_xlfn.XLOOKUP($A655,'RAWDATA Cars Buyers DB'!$A:$A,'RAWDATA Cars Buyers DB'!B:B)="S","Single","Married")</f>
        <v>Married</v>
      </c>
      <c r="C655" s="10" t="str">
        <f>IF(_xlfn.XLOOKUP($A655,'RAWDATA Cars Buyers DB'!$A:$A,'RAWDATA Cars Buyers DB'!C:C)="F","Female","Male")</f>
        <v>Male</v>
      </c>
      <c r="D655" s="7">
        <f>_xlfn.XLOOKUP($A655,'RAWDATA Cars Buyers DB'!$A:$A,'RAWDATA Cars Buyers DB'!D:D)</f>
        <v>50431</v>
      </c>
      <c r="E655" s="8">
        <f>_xlfn.XLOOKUP($A655,'RAWDATA Cars Buyers DB'!$A:$A,'RAWDATA Cars Buyers DB'!E:E)</f>
        <v>1</v>
      </c>
      <c r="F655" s="8" t="str">
        <f>_xlfn.XLOOKUP($A655,'RAWDATA Cars Buyers DB'!$A:$A,'RAWDATA Cars Buyers DB'!F:F)</f>
        <v>Graduate Degree</v>
      </c>
      <c r="G655" s="8" t="str">
        <f>_xlfn.XLOOKUP($A655,'RAWDATA Cars Buyers DB'!$A:$A,'RAWDATA Cars Buyers DB'!G:G)</f>
        <v>Clerical</v>
      </c>
      <c r="H655" s="8" t="str">
        <f>_xlfn.XLOOKUP($A655,'RAWDATA Cars Buyers DB'!$A:$A,'RAWDATA Cars Buyers DB'!H:H)</f>
        <v>No</v>
      </c>
      <c r="I655" s="8" t="str">
        <f>_xlfn.XLOOKUP($A655,'RAWDATA Cars Buyers DB'!$A:$A,'RAWDATA Cars Buyers DB'!I:I)</f>
        <v>0–1 Kilometre</v>
      </c>
      <c r="J655" s="8" t="str">
        <f>_xlfn.XLOOKUP($A655,'RAWDATA Cars Buyers DB'!$A:$A,'RAWDATA Cars Buyers DB'!J:J)</f>
        <v>Rhineland-Palatinate</v>
      </c>
      <c r="K655" s="8">
        <f>_xlfn.XLOOKUP($A655,'RAWDATA Cars Buyers DB'!$A:$A,'RAWDATA Cars Buyers DB'!K:K)</f>
        <v>50</v>
      </c>
      <c r="L655" s="10" t="str">
        <f>IF(_xlfn.XLOOKUP($A655,'RAWDATA Cars Buyers DB'!$A:$A,'RAWDATA Cars Buyers DB'!K:K)&gt;54,"Old ",IF(_xlfn.XLOOKUP($A655,'RAWDATA Cars Buyers DB'!$A:$A,'RAWDATA Cars Buyers DB'!K:K)&gt;=31,"Middle Age ",IF(_xlfn.XLOOKUP($A655,'RAWDATA Cars Buyers DB'!$A:$A,'RAWDATA Cars Buyers DB'!K:K)&lt;31,"Adolescent","Invalid")))</f>
        <v xml:space="preserve">Middle Age </v>
      </c>
      <c r="M655" s="8" t="str">
        <f>_xlfn.XLOOKUP($A655,'RAWDATA Cars Buyers DB'!$A:$A,'RAWDATA Cars Buyers DB'!L:L)</f>
        <v>Yes</v>
      </c>
    </row>
    <row r="656" spans="1:13">
      <c r="A656" s="6">
        <v>27640</v>
      </c>
      <c r="B656" s="10" t="str">
        <f>IF(_xlfn.XLOOKUP($A656,'RAWDATA Cars Buyers DB'!$A:$A,'RAWDATA Cars Buyers DB'!B:B)="S","Single","Married")</f>
        <v>Single</v>
      </c>
      <c r="C656" s="10" t="str">
        <f>IF(_xlfn.XLOOKUP($A656,'RAWDATA Cars Buyers DB'!$A:$A,'RAWDATA Cars Buyers DB'!C:C)="F","Female","Male")</f>
        <v>Female</v>
      </c>
      <c r="D656" s="7">
        <f>_xlfn.XLOOKUP($A656,'RAWDATA Cars Buyers DB'!$A:$A,'RAWDATA Cars Buyers DB'!D:D)</f>
        <v>37908</v>
      </c>
      <c r="E656" s="8">
        <f>_xlfn.XLOOKUP($A656,'RAWDATA Cars Buyers DB'!$A:$A,'RAWDATA Cars Buyers DB'!E:E)</f>
        <v>4</v>
      </c>
      <c r="F656" s="8" t="str">
        <f>_xlfn.XLOOKUP($A656,'RAWDATA Cars Buyers DB'!$A:$A,'RAWDATA Cars Buyers DB'!F:F)</f>
        <v>Graduate Degree</v>
      </c>
      <c r="G656" s="8" t="str">
        <f>_xlfn.XLOOKUP($A656,'RAWDATA Cars Buyers DB'!$A:$A,'RAWDATA Cars Buyers DB'!G:G)</f>
        <v>Professional</v>
      </c>
      <c r="H656" s="8" t="str">
        <f>_xlfn.XLOOKUP($A656,'RAWDATA Cars Buyers DB'!$A:$A,'RAWDATA Cars Buyers DB'!H:H)</f>
        <v>Yes</v>
      </c>
      <c r="I656" s="8" t="str">
        <f>_xlfn.XLOOKUP($A656,'RAWDATA Cars Buyers DB'!$A:$A,'RAWDATA Cars Buyers DB'!I:I)</f>
        <v>2–4 Kilometre</v>
      </c>
      <c r="J656" s="8" t="str">
        <f>_xlfn.XLOOKUP($A656,'RAWDATA Cars Buyers DB'!$A:$A,'RAWDATA Cars Buyers DB'!J:J)</f>
        <v>Bremen</v>
      </c>
      <c r="K656" s="8">
        <f>_xlfn.XLOOKUP($A656,'RAWDATA Cars Buyers DB'!$A:$A,'RAWDATA Cars Buyers DB'!K:K)</f>
        <v>52</v>
      </c>
      <c r="L656" s="10" t="str">
        <f>IF(_xlfn.XLOOKUP($A656,'RAWDATA Cars Buyers DB'!$A:$A,'RAWDATA Cars Buyers DB'!K:K)&gt;54,"Old ",IF(_xlfn.XLOOKUP($A656,'RAWDATA Cars Buyers DB'!$A:$A,'RAWDATA Cars Buyers DB'!K:K)&gt;=31,"Middle Age ",IF(_xlfn.XLOOKUP($A656,'RAWDATA Cars Buyers DB'!$A:$A,'RAWDATA Cars Buyers DB'!K:K)&lt;31,"Adolescent","Invalid")))</f>
        <v xml:space="preserve">Middle Age </v>
      </c>
      <c r="M656" s="8" t="str">
        <f>_xlfn.XLOOKUP($A656,'RAWDATA Cars Buyers DB'!$A:$A,'RAWDATA Cars Buyers DB'!L:L)</f>
        <v>No</v>
      </c>
    </row>
    <row r="657" spans="1:13">
      <c r="A657" s="6">
        <v>62528</v>
      </c>
      <c r="B657" s="10" t="str">
        <f>IF(_xlfn.XLOOKUP($A657,'RAWDATA Cars Buyers DB'!$A:$A,'RAWDATA Cars Buyers DB'!B:B)="S","Single","Married")</f>
        <v>Married</v>
      </c>
      <c r="C657" s="10" t="str">
        <f>IF(_xlfn.XLOOKUP($A657,'RAWDATA Cars Buyers DB'!$A:$A,'RAWDATA Cars Buyers DB'!C:C)="F","Female","Male")</f>
        <v>Female</v>
      </c>
      <c r="D657" s="7">
        <f>_xlfn.XLOOKUP($A657,'RAWDATA Cars Buyers DB'!$A:$A,'RAWDATA Cars Buyers DB'!D:D)</f>
        <v>49336</v>
      </c>
      <c r="E657" s="8">
        <f>_xlfn.XLOOKUP($A657,'RAWDATA Cars Buyers DB'!$A:$A,'RAWDATA Cars Buyers DB'!E:E)</f>
        <v>3</v>
      </c>
      <c r="F657" s="8" t="str">
        <f>_xlfn.XLOOKUP($A657,'RAWDATA Cars Buyers DB'!$A:$A,'RAWDATA Cars Buyers DB'!F:F)</f>
        <v>High School</v>
      </c>
      <c r="G657" s="8" t="str">
        <f>_xlfn.XLOOKUP($A657,'RAWDATA Cars Buyers DB'!$A:$A,'RAWDATA Cars Buyers DB'!G:G)</f>
        <v>Professional</v>
      </c>
      <c r="H657" s="8" t="str">
        <f>_xlfn.XLOOKUP($A657,'RAWDATA Cars Buyers DB'!$A:$A,'RAWDATA Cars Buyers DB'!H:H)</f>
        <v>No</v>
      </c>
      <c r="I657" s="8" t="str">
        <f>_xlfn.XLOOKUP($A657,'RAWDATA Cars Buyers DB'!$A:$A,'RAWDATA Cars Buyers DB'!I:I)</f>
        <v>4–6 Kilometre</v>
      </c>
      <c r="J657" s="8" t="str">
        <f>_xlfn.XLOOKUP($A657,'RAWDATA Cars Buyers DB'!$A:$A,'RAWDATA Cars Buyers DB'!J:J)</f>
        <v>Hesse</v>
      </c>
      <c r="K657" s="8">
        <f>_xlfn.XLOOKUP($A657,'RAWDATA Cars Buyers DB'!$A:$A,'RAWDATA Cars Buyers DB'!K:K)</f>
        <v>66</v>
      </c>
      <c r="L657" s="10" t="str">
        <f>IF(_xlfn.XLOOKUP($A657,'RAWDATA Cars Buyers DB'!$A:$A,'RAWDATA Cars Buyers DB'!K:K)&gt;54,"Old ",IF(_xlfn.XLOOKUP($A657,'RAWDATA Cars Buyers DB'!$A:$A,'RAWDATA Cars Buyers DB'!K:K)&gt;=31,"Middle Age ",IF(_xlfn.XLOOKUP($A657,'RAWDATA Cars Buyers DB'!$A:$A,'RAWDATA Cars Buyers DB'!K:K)&lt;31,"Adolescent","Invalid")))</f>
        <v xml:space="preserve">Old </v>
      </c>
      <c r="M657" s="8" t="str">
        <f>_xlfn.XLOOKUP($A657,'RAWDATA Cars Buyers DB'!$A:$A,'RAWDATA Cars Buyers DB'!L:L)</f>
        <v>No</v>
      </c>
    </row>
    <row r="658" spans="1:13">
      <c r="A658" s="6">
        <v>48413</v>
      </c>
      <c r="B658" s="10" t="str">
        <f>IF(_xlfn.XLOOKUP($A658,'RAWDATA Cars Buyers DB'!$A:$A,'RAWDATA Cars Buyers DB'!B:B)="S","Single","Married")</f>
        <v>Married</v>
      </c>
      <c r="C658" s="10" t="str">
        <f>IF(_xlfn.XLOOKUP($A658,'RAWDATA Cars Buyers DB'!$A:$A,'RAWDATA Cars Buyers DB'!C:C)="F","Female","Male")</f>
        <v>Female</v>
      </c>
      <c r="D658" s="7">
        <f>_xlfn.XLOOKUP($A658,'RAWDATA Cars Buyers DB'!$A:$A,'RAWDATA Cars Buyers DB'!D:D)</f>
        <v>60992</v>
      </c>
      <c r="E658" s="8">
        <f>_xlfn.XLOOKUP($A658,'RAWDATA Cars Buyers DB'!$A:$A,'RAWDATA Cars Buyers DB'!E:E)</f>
        <v>5</v>
      </c>
      <c r="F658" s="8" t="str">
        <f>_xlfn.XLOOKUP($A658,'RAWDATA Cars Buyers DB'!$A:$A,'RAWDATA Cars Buyers DB'!F:F)</f>
        <v>Graduate Degree</v>
      </c>
      <c r="G658" s="8" t="str">
        <f>_xlfn.XLOOKUP($A658,'RAWDATA Cars Buyers DB'!$A:$A,'RAWDATA Cars Buyers DB'!G:G)</f>
        <v>Professional</v>
      </c>
      <c r="H658" s="8" t="str">
        <f>_xlfn.XLOOKUP($A658,'RAWDATA Cars Buyers DB'!$A:$A,'RAWDATA Cars Buyers DB'!H:H)</f>
        <v>No</v>
      </c>
      <c r="I658" s="8" t="str">
        <f>_xlfn.XLOOKUP($A658,'RAWDATA Cars Buyers DB'!$A:$A,'RAWDATA Cars Buyers DB'!I:I)</f>
        <v>4–6 Kilometre</v>
      </c>
      <c r="J658" s="8" t="str">
        <f>_xlfn.XLOOKUP($A658,'RAWDATA Cars Buyers DB'!$A:$A,'RAWDATA Cars Buyers DB'!J:J)</f>
        <v>Bremen</v>
      </c>
      <c r="K658" s="8">
        <f>_xlfn.XLOOKUP($A658,'RAWDATA Cars Buyers DB'!$A:$A,'RAWDATA Cars Buyers DB'!K:K)</f>
        <v>37</v>
      </c>
      <c r="L658" s="10" t="str">
        <f>IF(_xlfn.XLOOKUP($A658,'RAWDATA Cars Buyers DB'!$A:$A,'RAWDATA Cars Buyers DB'!K:K)&gt;54,"Old ",IF(_xlfn.XLOOKUP($A658,'RAWDATA Cars Buyers DB'!$A:$A,'RAWDATA Cars Buyers DB'!K:K)&gt;=31,"Middle Age ",IF(_xlfn.XLOOKUP($A658,'RAWDATA Cars Buyers DB'!$A:$A,'RAWDATA Cars Buyers DB'!K:K)&lt;31,"Adolescent","Invalid")))</f>
        <v xml:space="preserve">Middle Age </v>
      </c>
      <c r="M658" s="8" t="str">
        <f>_xlfn.XLOOKUP($A658,'RAWDATA Cars Buyers DB'!$A:$A,'RAWDATA Cars Buyers DB'!L:L)</f>
        <v>No</v>
      </c>
    </row>
    <row r="659" spans="1:13">
      <c r="A659" s="6">
        <v>62638</v>
      </c>
      <c r="B659" s="10" t="str">
        <f>IF(_xlfn.XLOOKUP($A659,'RAWDATA Cars Buyers DB'!$A:$A,'RAWDATA Cars Buyers DB'!B:B)="S","Single","Married")</f>
        <v>Single</v>
      </c>
      <c r="C659" s="10" t="str">
        <f>IF(_xlfn.XLOOKUP($A659,'RAWDATA Cars Buyers DB'!$A:$A,'RAWDATA Cars Buyers DB'!C:C)="F","Female","Male")</f>
        <v>Female</v>
      </c>
      <c r="D659" s="7">
        <f>_xlfn.XLOOKUP($A659,'RAWDATA Cars Buyers DB'!$A:$A,'RAWDATA Cars Buyers DB'!D:D)</f>
        <v>75350</v>
      </c>
      <c r="E659" s="8">
        <f>_xlfn.XLOOKUP($A659,'RAWDATA Cars Buyers DB'!$A:$A,'RAWDATA Cars Buyers DB'!E:E)</f>
        <v>3</v>
      </c>
      <c r="F659" s="8" t="str">
        <f>_xlfn.XLOOKUP($A659,'RAWDATA Cars Buyers DB'!$A:$A,'RAWDATA Cars Buyers DB'!F:F)</f>
        <v>Bachelors</v>
      </c>
      <c r="G659" s="8" t="str">
        <f>_xlfn.XLOOKUP($A659,'RAWDATA Cars Buyers DB'!$A:$A,'RAWDATA Cars Buyers DB'!G:G)</f>
        <v>Clerical</v>
      </c>
      <c r="H659" s="8" t="str">
        <f>_xlfn.XLOOKUP($A659,'RAWDATA Cars Buyers DB'!$A:$A,'RAWDATA Cars Buyers DB'!H:H)</f>
        <v>No</v>
      </c>
      <c r="I659" s="8" t="str">
        <f>_xlfn.XLOOKUP($A659,'RAWDATA Cars Buyers DB'!$A:$A,'RAWDATA Cars Buyers DB'!I:I)</f>
        <v>6+ Kilometre</v>
      </c>
      <c r="J659" s="8" t="str">
        <f>_xlfn.XLOOKUP($A659,'RAWDATA Cars Buyers DB'!$A:$A,'RAWDATA Cars Buyers DB'!J:J)</f>
        <v>Hesse</v>
      </c>
      <c r="K659" s="8">
        <f>_xlfn.XLOOKUP($A659,'RAWDATA Cars Buyers DB'!$A:$A,'RAWDATA Cars Buyers DB'!K:K)</f>
        <v>58</v>
      </c>
      <c r="L659" s="10" t="str">
        <f>IF(_xlfn.XLOOKUP($A659,'RAWDATA Cars Buyers DB'!$A:$A,'RAWDATA Cars Buyers DB'!K:K)&gt;54,"Old ",IF(_xlfn.XLOOKUP($A659,'RAWDATA Cars Buyers DB'!$A:$A,'RAWDATA Cars Buyers DB'!K:K)&gt;=31,"Middle Age ",IF(_xlfn.XLOOKUP($A659,'RAWDATA Cars Buyers DB'!$A:$A,'RAWDATA Cars Buyers DB'!K:K)&lt;31,"Adolescent","Invalid")))</f>
        <v xml:space="preserve">Old </v>
      </c>
      <c r="M659" s="8" t="str">
        <f>_xlfn.XLOOKUP($A659,'RAWDATA Cars Buyers DB'!$A:$A,'RAWDATA Cars Buyers DB'!L:L)</f>
        <v>No</v>
      </c>
    </row>
    <row r="660" spans="1:13">
      <c r="A660" s="6">
        <v>62736</v>
      </c>
      <c r="B660" s="10" t="str">
        <f>IF(_xlfn.XLOOKUP($A660,'RAWDATA Cars Buyers DB'!$A:$A,'RAWDATA Cars Buyers DB'!B:B)="S","Single","Married")</f>
        <v>Single</v>
      </c>
      <c r="C660" s="10" t="str">
        <f>IF(_xlfn.XLOOKUP($A660,'RAWDATA Cars Buyers DB'!$A:$A,'RAWDATA Cars Buyers DB'!C:C)="F","Female","Male")</f>
        <v>Female</v>
      </c>
      <c r="D660" s="7">
        <f>_xlfn.XLOOKUP($A660,'RAWDATA Cars Buyers DB'!$A:$A,'RAWDATA Cars Buyers DB'!D:D)</f>
        <v>89561</v>
      </c>
      <c r="E660" s="8">
        <f>_xlfn.XLOOKUP($A660,'RAWDATA Cars Buyers DB'!$A:$A,'RAWDATA Cars Buyers DB'!E:E)</f>
        <v>1</v>
      </c>
      <c r="F660" s="8" t="str">
        <f>_xlfn.XLOOKUP($A660,'RAWDATA Cars Buyers DB'!$A:$A,'RAWDATA Cars Buyers DB'!F:F)</f>
        <v>Partial College</v>
      </c>
      <c r="G660" s="8" t="str">
        <f>_xlfn.XLOOKUP($A660,'RAWDATA Cars Buyers DB'!$A:$A,'RAWDATA Cars Buyers DB'!G:G)</f>
        <v>Management</v>
      </c>
      <c r="H660" s="8" t="str">
        <f>_xlfn.XLOOKUP($A660,'RAWDATA Cars Buyers DB'!$A:$A,'RAWDATA Cars Buyers DB'!H:H)</f>
        <v>No</v>
      </c>
      <c r="I660" s="8" t="str">
        <f>_xlfn.XLOOKUP($A660,'RAWDATA Cars Buyers DB'!$A:$A,'RAWDATA Cars Buyers DB'!I:I)</f>
        <v>1–2 Kilometre</v>
      </c>
      <c r="J660" s="8" t="str">
        <f>_xlfn.XLOOKUP($A660,'RAWDATA Cars Buyers DB'!$A:$A,'RAWDATA Cars Buyers DB'!J:J)</f>
        <v>North Rhine-Westphalia</v>
      </c>
      <c r="K660" s="8">
        <f>_xlfn.XLOOKUP($A660,'RAWDATA Cars Buyers DB'!$A:$A,'RAWDATA Cars Buyers DB'!K:K)</f>
        <v>35</v>
      </c>
      <c r="L660" s="10" t="str">
        <f>IF(_xlfn.XLOOKUP($A660,'RAWDATA Cars Buyers DB'!$A:$A,'RAWDATA Cars Buyers DB'!K:K)&gt;54,"Old ",IF(_xlfn.XLOOKUP($A660,'RAWDATA Cars Buyers DB'!$A:$A,'RAWDATA Cars Buyers DB'!K:K)&gt;=31,"Middle Age ",IF(_xlfn.XLOOKUP($A660,'RAWDATA Cars Buyers DB'!$A:$A,'RAWDATA Cars Buyers DB'!K:K)&lt;31,"Adolescent","Invalid")))</f>
        <v xml:space="preserve">Middle Age </v>
      </c>
      <c r="M660" s="8" t="str">
        <f>_xlfn.XLOOKUP($A660,'RAWDATA Cars Buyers DB'!$A:$A,'RAWDATA Cars Buyers DB'!L:L)</f>
        <v>Yes</v>
      </c>
    </row>
    <row r="661" spans="1:13">
      <c r="A661" s="6">
        <v>78866</v>
      </c>
      <c r="B661" s="10" t="str">
        <f>IF(_xlfn.XLOOKUP($A661,'RAWDATA Cars Buyers DB'!$A:$A,'RAWDATA Cars Buyers DB'!B:B)="S","Single","Married")</f>
        <v>Married</v>
      </c>
      <c r="C661" s="10" t="str">
        <f>IF(_xlfn.XLOOKUP($A661,'RAWDATA Cars Buyers DB'!$A:$A,'RAWDATA Cars Buyers DB'!C:C)="F","Female","Male")</f>
        <v>Female</v>
      </c>
      <c r="D661" s="7">
        <f>_xlfn.XLOOKUP($A661,'RAWDATA Cars Buyers DB'!$A:$A,'RAWDATA Cars Buyers DB'!D:D)</f>
        <v>71955</v>
      </c>
      <c r="E661" s="8">
        <f>_xlfn.XLOOKUP($A661,'RAWDATA Cars Buyers DB'!$A:$A,'RAWDATA Cars Buyers DB'!E:E)</f>
        <v>4</v>
      </c>
      <c r="F661" s="8" t="str">
        <f>_xlfn.XLOOKUP($A661,'RAWDATA Cars Buyers DB'!$A:$A,'RAWDATA Cars Buyers DB'!F:F)</f>
        <v>Partial College</v>
      </c>
      <c r="G661" s="8" t="str">
        <f>_xlfn.XLOOKUP($A661,'RAWDATA Cars Buyers DB'!$A:$A,'RAWDATA Cars Buyers DB'!G:G)</f>
        <v>Skilled Manual</v>
      </c>
      <c r="H661" s="8" t="str">
        <f>_xlfn.XLOOKUP($A661,'RAWDATA Cars Buyers DB'!$A:$A,'RAWDATA Cars Buyers DB'!H:H)</f>
        <v>No</v>
      </c>
      <c r="I661" s="8" t="str">
        <f>_xlfn.XLOOKUP($A661,'RAWDATA Cars Buyers DB'!$A:$A,'RAWDATA Cars Buyers DB'!I:I)</f>
        <v>2–4 Kilometre</v>
      </c>
      <c r="J661" s="8" t="str">
        <f>_xlfn.XLOOKUP($A661,'RAWDATA Cars Buyers DB'!$A:$A,'RAWDATA Cars Buyers DB'!J:J)</f>
        <v>Baden-Württemberg</v>
      </c>
      <c r="K661" s="8">
        <f>_xlfn.XLOOKUP($A661,'RAWDATA Cars Buyers DB'!$A:$A,'RAWDATA Cars Buyers DB'!K:K)</f>
        <v>35</v>
      </c>
      <c r="L661" s="10" t="str">
        <f>IF(_xlfn.XLOOKUP($A661,'RAWDATA Cars Buyers DB'!$A:$A,'RAWDATA Cars Buyers DB'!K:K)&gt;54,"Old ",IF(_xlfn.XLOOKUP($A661,'RAWDATA Cars Buyers DB'!$A:$A,'RAWDATA Cars Buyers DB'!K:K)&gt;=31,"Middle Age ",IF(_xlfn.XLOOKUP($A661,'RAWDATA Cars Buyers DB'!$A:$A,'RAWDATA Cars Buyers DB'!K:K)&lt;31,"Adolescent","Invalid")))</f>
        <v xml:space="preserve">Middle Age </v>
      </c>
      <c r="M661" s="8" t="str">
        <f>_xlfn.XLOOKUP($A661,'RAWDATA Cars Buyers DB'!$A:$A,'RAWDATA Cars Buyers DB'!L:L)</f>
        <v>Yes</v>
      </c>
    </row>
    <row r="662" spans="1:13">
      <c r="A662" s="6">
        <v>29087</v>
      </c>
      <c r="B662" s="10" t="str">
        <f>IF(_xlfn.XLOOKUP($A662,'RAWDATA Cars Buyers DB'!$A:$A,'RAWDATA Cars Buyers DB'!B:B)="S","Single","Married")</f>
        <v>Single</v>
      </c>
      <c r="C662" s="10" t="str">
        <f>IF(_xlfn.XLOOKUP($A662,'RAWDATA Cars Buyers DB'!$A:$A,'RAWDATA Cars Buyers DB'!C:C)="F","Female","Male")</f>
        <v>Female</v>
      </c>
      <c r="D662" s="7">
        <f>_xlfn.XLOOKUP($A662,'RAWDATA Cars Buyers DB'!$A:$A,'RAWDATA Cars Buyers DB'!D:D)</f>
        <v>81240</v>
      </c>
      <c r="E662" s="8">
        <f>_xlfn.XLOOKUP($A662,'RAWDATA Cars Buyers DB'!$A:$A,'RAWDATA Cars Buyers DB'!E:E)</f>
        <v>3</v>
      </c>
      <c r="F662" s="8" t="str">
        <f>_xlfn.XLOOKUP($A662,'RAWDATA Cars Buyers DB'!$A:$A,'RAWDATA Cars Buyers DB'!F:F)</f>
        <v>Partial College</v>
      </c>
      <c r="G662" s="8" t="str">
        <f>_xlfn.XLOOKUP($A662,'RAWDATA Cars Buyers DB'!$A:$A,'RAWDATA Cars Buyers DB'!G:G)</f>
        <v>Management</v>
      </c>
      <c r="H662" s="8" t="str">
        <f>_xlfn.XLOOKUP($A662,'RAWDATA Cars Buyers DB'!$A:$A,'RAWDATA Cars Buyers DB'!H:H)</f>
        <v>No</v>
      </c>
      <c r="I662" s="8" t="str">
        <f>_xlfn.XLOOKUP($A662,'RAWDATA Cars Buyers DB'!$A:$A,'RAWDATA Cars Buyers DB'!I:I)</f>
        <v>1–2 Kilometre</v>
      </c>
      <c r="J662" s="8" t="str">
        <f>_xlfn.XLOOKUP($A662,'RAWDATA Cars Buyers DB'!$A:$A,'RAWDATA Cars Buyers DB'!J:J)</f>
        <v>Baden-Württemberg</v>
      </c>
      <c r="K662" s="8">
        <f>_xlfn.XLOOKUP($A662,'RAWDATA Cars Buyers DB'!$A:$A,'RAWDATA Cars Buyers DB'!K:K)</f>
        <v>66</v>
      </c>
      <c r="L662" s="10" t="str">
        <f>IF(_xlfn.XLOOKUP($A662,'RAWDATA Cars Buyers DB'!$A:$A,'RAWDATA Cars Buyers DB'!K:K)&gt;54,"Old ",IF(_xlfn.XLOOKUP($A662,'RAWDATA Cars Buyers DB'!$A:$A,'RAWDATA Cars Buyers DB'!K:K)&gt;=31,"Middle Age ",IF(_xlfn.XLOOKUP($A662,'RAWDATA Cars Buyers DB'!$A:$A,'RAWDATA Cars Buyers DB'!K:K)&lt;31,"Adolescent","Invalid")))</f>
        <v xml:space="preserve">Old </v>
      </c>
      <c r="M662" s="8" t="str">
        <f>_xlfn.XLOOKUP($A662,'RAWDATA Cars Buyers DB'!$A:$A,'RAWDATA Cars Buyers DB'!L:L)</f>
        <v>Yes</v>
      </c>
    </row>
    <row r="663" spans="1:13">
      <c r="A663" s="6">
        <v>51430</v>
      </c>
      <c r="B663" s="10" t="str">
        <f>IF(_xlfn.XLOOKUP($A663,'RAWDATA Cars Buyers DB'!$A:$A,'RAWDATA Cars Buyers DB'!B:B)="S","Single","Married")</f>
        <v>Single</v>
      </c>
      <c r="C663" s="10" t="str">
        <f>IF(_xlfn.XLOOKUP($A663,'RAWDATA Cars Buyers DB'!$A:$A,'RAWDATA Cars Buyers DB'!C:C)="F","Female","Male")</f>
        <v>Female</v>
      </c>
      <c r="D663" s="7">
        <f>_xlfn.XLOOKUP($A663,'RAWDATA Cars Buyers DB'!$A:$A,'RAWDATA Cars Buyers DB'!D:D)</f>
        <v>40093</v>
      </c>
      <c r="E663" s="8">
        <f>_xlfn.XLOOKUP($A663,'RAWDATA Cars Buyers DB'!$A:$A,'RAWDATA Cars Buyers DB'!E:E)</f>
        <v>3</v>
      </c>
      <c r="F663" s="8" t="str">
        <f>_xlfn.XLOOKUP($A663,'RAWDATA Cars Buyers DB'!$A:$A,'RAWDATA Cars Buyers DB'!F:F)</f>
        <v>Bachelors</v>
      </c>
      <c r="G663" s="8" t="str">
        <f>_xlfn.XLOOKUP($A663,'RAWDATA Cars Buyers DB'!$A:$A,'RAWDATA Cars Buyers DB'!G:G)</f>
        <v>Professional</v>
      </c>
      <c r="H663" s="8" t="str">
        <f>_xlfn.XLOOKUP($A663,'RAWDATA Cars Buyers DB'!$A:$A,'RAWDATA Cars Buyers DB'!H:H)</f>
        <v>Yes</v>
      </c>
      <c r="I663" s="8" t="str">
        <f>_xlfn.XLOOKUP($A663,'RAWDATA Cars Buyers DB'!$A:$A,'RAWDATA Cars Buyers DB'!I:I)</f>
        <v>2–4 Kilometre</v>
      </c>
      <c r="J663" s="8" t="str">
        <f>_xlfn.XLOOKUP($A663,'RAWDATA Cars Buyers DB'!$A:$A,'RAWDATA Cars Buyers DB'!J:J)</f>
        <v>Saxony</v>
      </c>
      <c r="K663" s="8">
        <f>_xlfn.XLOOKUP($A663,'RAWDATA Cars Buyers DB'!$A:$A,'RAWDATA Cars Buyers DB'!K:K)</f>
        <v>57</v>
      </c>
      <c r="L663" s="10" t="str">
        <f>IF(_xlfn.XLOOKUP($A663,'RAWDATA Cars Buyers DB'!$A:$A,'RAWDATA Cars Buyers DB'!K:K)&gt;54,"Old ",IF(_xlfn.XLOOKUP($A663,'RAWDATA Cars Buyers DB'!$A:$A,'RAWDATA Cars Buyers DB'!K:K)&gt;=31,"Middle Age ",IF(_xlfn.XLOOKUP($A663,'RAWDATA Cars Buyers DB'!$A:$A,'RAWDATA Cars Buyers DB'!K:K)&lt;31,"Adolescent","Invalid")))</f>
        <v xml:space="preserve">Old </v>
      </c>
      <c r="M663" s="8" t="str">
        <f>_xlfn.XLOOKUP($A663,'RAWDATA Cars Buyers DB'!$A:$A,'RAWDATA Cars Buyers DB'!L:L)</f>
        <v>Yes</v>
      </c>
    </row>
    <row r="664" spans="1:13">
      <c r="A664" s="6">
        <v>34504</v>
      </c>
      <c r="B664" s="10" t="str">
        <f>IF(_xlfn.XLOOKUP($A664,'RAWDATA Cars Buyers DB'!$A:$A,'RAWDATA Cars Buyers DB'!B:B)="S","Single","Married")</f>
        <v>Married</v>
      </c>
      <c r="C664" s="10" t="str">
        <f>IF(_xlfn.XLOOKUP($A664,'RAWDATA Cars Buyers DB'!$A:$A,'RAWDATA Cars Buyers DB'!C:C)="F","Female","Male")</f>
        <v>Female</v>
      </c>
      <c r="D664" s="7">
        <f>_xlfn.XLOOKUP($A664,'RAWDATA Cars Buyers DB'!$A:$A,'RAWDATA Cars Buyers DB'!D:D)</f>
        <v>26155</v>
      </c>
      <c r="E664" s="8">
        <f>_xlfn.XLOOKUP($A664,'RAWDATA Cars Buyers DB'!$A:$A,'RAWDATA Cars Buyers DB'!E:E)</f>
        <v>0</v>
      </c>
      <c r="F664" s="8" t="str">
        <f>_xlfn.XLOOKUP($A664,'RAWDATA Cars Buyers DB'!$A:$A,'RAWDATA Cars Buyers DB'!F:F)</f>
        <v>Bachelors</v>
      </c>
      <c r="G664" s="8" t="str">
        <f>_xlfn.XLOOKUP($A664,'RAWDATA Cars Buyers DB'!$A:$A,'RAWDATA Cars Buyers DB'!G:G)</f>
        <v>Professional</v>
      </c>
      <c r="H664" s="8" t="str">
        <f>_xlfn.XLOOKUP($A664,'RAWDATA Cars Buyers DB'!$A:$A,'RAWDATA Cars Buyers DB'!H:H)</f>
        <v>No</v>
      </c>
      <c r="I664" s="8" t="str">
        <f>_xlfn.XLOOKUP($A664,'RAWDATA Cars Buyers DB'!$A:$A,'RAWDATA Cars Buyers DB'!I:I)</f>
        <v>4–6 Kilometre</v>
      </c>
      <c r="J664" s="8" t="str">
        <f>_xlfn.XLOOKUP($A664,'RAWDATA Cars Buyers DB'!$A:$A,'RAWDATA Cars Buyers DB'!J:J)</f>
        <v>Brandenburg</v>
      </c>
      <c r="K664" s="8">
        <f>_xlfn.XLOOKUP($A664,'RAWDATA Cars Buyers DB'!$A:$A,'RAWDATA Cars Buyers DB'!K:K)</f>
        <v>60</v>
      </c>
      <c r="L664" s="10" t="str">
        <f>IF(_xlfn.XLOOKUP($A664,'RAWDATA Cars Buyers DB'!$A:$A,'RAWDATA Cars Buyers DB'!K:K)&gt;54,"Old ",IF(_xlfn.XLOOKUP($A664,'RAWDATA Cars Buyers DB'!$A:$A,'RAWDATA Cars Buyers DB'!K:K)&gt;=31,"Middle Age ",IF(_xlfn.XLOOKUP($A664,'RAWDATA Cars Buyers DB'!$A:$A,'RAWDATA Cars Buyers DB'!K:K)&lt;31,"Adolescent","Invalid")))</f>
        <v xml:space="preserve">Old </v>
      </c>
      <c r="M664" s="8" t="str">
        <f>_xlfn.XLOOKUP($A664,'RAWDATA Cars Buyers DB'!$A:$A,'RAWDATA Cars Buyers DB'!L:L)</f>
        <v>Yes</v>
      </c>
    </row>
    <row r="665" spans="1:13">
      <c r="A665" s="6">
        <v>17114</v>
      </c>
      <c r="B665" s="10" t="str">
        <f>IF(_xlfn.XLOOKUP($A665,'RAWDATA Cars Buyers DB'!$A:$A,'RAWDATA Cars Buyers DB'!B:B)="S","Single","Married")</f>
        <v>Married</v>
      </c>
      <c r="C665" s="10" t="str">
        <f>IF(_xlfn.XLOOKUP($A665,'RAWDATA Cars Buyers DB'!$A:$A,'RAWDATA Cars Buyers DB'!C:C)="F","Female","Male")</f>
        <v>Female</v>
      </c>
      <c r="D665" s="7">
        <f>_xlfn.XLOOKUP($A665,'RAWDATA Cars Buyers DB'!$A:$A,'RAWDATA Cars Buyers DB'!D:D)</f>
        <v>66607</v>
      </c>
      <c r="E665" s="8">
        <f>_xlfn.XLOOKUP($A665,'RAWDATA Cars Buyers DB'!$A:$A,'RAWDATA Cars Buyers DB'!E:E)</f>
        <v>3</v>
      </c>
      <c r="F665" s="8" t="str">
        <f>_xlfn.XLOOKUP($A665,'RAWDATA Cars Buyers DB'!$A:$A,'RAWDATA Cars Buyers DB'!F:F)</f>
        <v>Bachelors</v>
      </c>
      <c r="G665" s="8" t="str">
        <f>_xlfn.XLOOKUP($A665,'RAWDATA Cars Buyers DB'!$A:$A,'RAWDATA Cars Buyers DB'!G:G)</f>
        <v>Management</v>
      </c>
      <c r="H665" s="8" t="str">
        <f>_xlfn.XLOOKUP($A665,'RAWDATA Cars Buyers DB'!$A:$A,'RAWDATA Cars Buyers DB'!H:H)</f>
        <v>No</v>
      </c>
      <c r="I665" s="8" t="str">
        <f>_xlfn.XLOOKUP($A665,'RAWDATA Cars Buyers DB'!$A:$A,'RAWDATA Cars Buyers DB'!I:I)</f>
        <v>6+ Kilometre</v>
      </c>
      <c r="J665" s="8" t="str">
        <f>_xlfn.XLOOKUP($A665,'RAWDATA Cars Buyers DB'!$A:$A,'RAWDATA Cars Buyers DB'!J:J)</f>
        <v>Baden-Württemberg</v>
      </c>
      <c r="K665" s="8">
        <f>_xlfn.XLOOKUP($A665,'RAWDATA Cars Buyers DB'!$A:$A,'RAWDATA Cars Buyers DB'!K:K)</f>
        <v>26</v>
      </c>
      <c r="L665" s="10" t="str">
        <f>IF(_xlfn.XLOOKUP($A665,'RAWDATA Cars Buyers DB'!$A:$A,'RAWDATA Cars Buyers DB'!K:K)&gt;54,"Old ",IF(_xlfn.XLOOKUP($A665,'RAWDATA Cars Buyers DB'!$A:$A,'RAWDATA Cars Buyers DB'!K:K)&gt;=31,"Middle Age ",IF(_xlfn.XLOOKUP($A665,'RAWDATA Cars Buyers DB'!$A:$A,'RAWDATA Cars Buyers DB'!K:K)&lt;31,"Adolescent","Invalid")))</f>
        <v>Adolescent</v>
      </c>
      <c r="M665" s="8" t="str">
        <f>_xlfn.XLOOKUP($A665,'RAWDATA Cars Buyers DB'!$A:$A,'RAWDATA Cars Buyers DB'!L:L)</f>
        <v>No</v>
      </c>
    </row>
    <row r="666" spans="1:13">
      <c r="A666" s="6">
        <v>88859</v>
      </c>
      <c r="B666" s="10" t="str">
        <f>IF(_xlfn.XLOOKUP($A666,'RAWDATA Cars Buyers DB'!$A:$A,'RAWDATA Cars Buyers DB'!B:B)="S","Single","Married")</f>
        <v>Single</v>
      </c>
      <c r="C666" s="10" t="str">
        <f>IF(_xlfn.XLOOKUP($A666,'RAWDATA Cars Buyers DB'!$A:$A,'RAWDATA Cars Buyers DB'!C:C)="F","Female","Male")</f>
        <v>Male</v>
      </c>
      <c r="D666" s="7">
        <f>_xlfn.XLOOKUP($A666,'RAWDATA Cars Buyers DB'!$A:$A,'RAWDATA Cars Buyers DB'!D:D)</f>
        <v>53487</v>
      </c>
      <c r="E666" s="8">
        <f>_xlfn.XLOOKUP($A666,'RAWDATA Cars Buyers DB'!$A:$A,'RAWDATA Cars Buyers DB'!E:E)</f>
        <v>0</v>
      </c>
      <c r="F666" s="8" t="str">
        <f>_xlfn.XLOOKUP($A666,'RAWDATA Cars Buyers DB'!$A:$A,'RAWDATA Cars Buyers DB'!F:F)</f>
        <v>Bachelors</v>
      </c>
      <c r="G666" s="8" t="str">
        <f>_xlfn.XLOOKUP($A666,'RAWDATA Cars Buyers DB'!$A:$A,'RAWDATA Cars Buyers DB'!G:G)</f>
        <v>Professional</v>
      </c>
      <c r="H666" s="8" t="str">
        <f>_xlfn.XLOOKUP($A666,'RAWDATA Cars Buyers DB'!$A:$A,'RAWDATA Cars Buyers DB'!H:H)</f>
        <v>Yes</v>
      </c>
      <c r="I666" s="8" t="str">
        <f>_xlfn.XLOOKUP($A666,'RAWDATA Cars Buyers DB'!$A:$A,'RAWDATA Cars Buyers DB'!I:I)</f>
        <v>1–2 Kilometre</v>
      </c>
      <c r="J666" s="8" t="str">
        <f>_xlfn.XLOOKUP($A666,'RAWDATA Cars Buyers DB'!$A:$A,'RAWDATA Cars Buyers DB'!J:J)</f>
        <v>Saxony</v>
      </c>
      <c r="K666" s="8">
        <f>_xlfn.XLOOKUP($A666,'RAWDATA Cars Buyers DB'!$A:$A,'RAWDATA Cars Buyers DB'!K:K)</f>
        <v>33</v>
      </c>
      <c r="L666" s="10" t="str">
        <f>IF(_xlfn.XLOOKUP($A666,'RAWDATA Cars Buyers DB'!$A:$A,'RAWDATA Cars Buyers DB'!K:K)&gt;54,"Old ",IF(_xlfn.XLOOKUP($A666,'RAWDATA Cars Buyers DB'!$A:$A,'RAWDATA Cars Buyers DB'!K:K)&gt;=31,"Middle Age ",IF(_xlfn.XLOOKUP($A666,'RAWDATA Cars Buyers DB'!$A:$A,'RAWDATA Cars Buyers DB'!K:K)&lt;31,"Adolescent","Invalid")))</f>
        <v xml:space="preserve">Middle Age </v>
      </c>
      <c r="M666" s="8" t="str">
        <f>_xlfn.XLOOKUP($A666,'RAWDATA Cars Buyers DB'!$A:$A,'RAWDATA Cars Buyers DB'!L:L)</f>
        <v>No</v>
      </c>
    </row>
    <row r="667" spans="1:13">
      <c r="A667" s="6">
        <v>20975</v>
      </c>
      <c r="B667" s="10" t="str">
        <f>IF(_xlfn.XLOOKUP($A667,'RAWDATA Cars Buyers DB'!$A:$A,'RAWDATA Cars Buyers DB'!B:B)="S","Single","Married")</f>
        <v>Married</v>
      </c>
      <c r="C667" s="10" t="str">
        <f>IF(_xlfn.XLOOKUP($A667,'RAWDATA Cars Buyers DB'!$A:$A,'RAWDATA Cars Buyers DB'!C:C)="F","Female","Male")</f>
        <v>Female</v>
      </c>
      <c r="D667" s="7">
        <f>_xlfn.XLOOKUP($A667,'RAWDATA Cars Buyers DB'!$A:$A,'RAWDATA Cars Buyers DB'!D:D)</f>
        <v>75668</v>
      </c>
      <c r="E667" s="8">
        <f>_xlfn.XLOOKUP($A667,'RAWDATA Cars Buyers DB'!$A:$A,'RAWDATA Cars Buyers DB'!E:E)</f>
        <v>4</v>
      </c>
      <c r="F667" s="8" t="str">
        <f>_xlfn.XLOOKUP($A667,'RAWDATA Cars Buyers DB'!$A:$A,'RAWDATA Cars Buyers DB'!F:F)</f>
        <v>Bachelors</v>
      </c>
      <c r="G667" s="8" t="str">
        <f>_xlfn.XLOOKUP($A667,'RAWDATA Cars Buyers DB'!$A:$A,'RAWDATA Cars Buyers DB'!G:G)</f>
        <v>Skilled Manual</v>
      </c>
      <c r="H667" s="8" t="str">
        <f>_xlfn.XLOOKUP($A667,'RAWDATA Cars Buyers DB'!$A:$A,'RAWDATA Cars Buyers DB'!H:H)</f>
        <v>Yes</v>
      </c>
      <c r="I667" s="8" t="str">
        <f>_xlfn.XLOOKUP($A667,'RAWDATA Cars Buyers DB'!$A:$A,'RAWDATA Cars Buyers DB'!I:I)</f>
        <v>4–6 Kilometre</v>
      </c>
      <c r="J667" s="8" t="str">
        <f>_xlfn.XLOOKUP($A667,'RAWDATA Cars Buyers DB'!$A:$A,'RAWDATA Cars Buyers DB'!J:J)</f>
        <v>Bremen</v>
      </c>
      <c r="K667" s="8">
        <f>_xlfn.XLOOKUP($A667,'RAWDATA Cars Buyers DB'!$A:$A,'RAWDATA Cars Buyers DB'!K:K)</f>
        <v>62</v>
      </c>
      <c r="L667" s="10" t="str">
        <f>IF(_xlfn.XLOOKUP($A667,'RAWDATA Cars Buyers DB'!$A:$A,'RAWDATA Cars Buyers DB'!K:K)&gt;54,"Old ",IF(_xlfn.XLOOKUP($A667,'RAWDATA Cars Buyers DB'!$A:$A,'RAWDATA Cars Buyers DB'!K:K)&gt;=31,"Middle Age ",IF(_xlfn.XLOOKUP($A667,'RAWDATA Cars Buyers DB'!$A:$A,'RAWDATA Cars Buyers DB'!K:K)&lt;31,"Adolescent","Invalid")))</f>
        <v xml:space="preserve">Old </v>
      </c>
      <c r="M667" s="8" t="str">
        <f>_xlfn.XLOOKUP($A667,'RAWDATA Cars Buyers DB'!$A:$A,'RAWDATA Cars Buyers DB'!L:L)</f>
        <v>No</v>
      </c>
    </row>
    <row r="668" spans="1:13">
      <c r="A668" s="6">
        <v>21023</v>
      </c>
      <c r="B668" s="10" t="str">
        <f>IF(_xlfn.XLOOKUP($A668,'RAWDATA Cars Buyers DB'!$A:$A,'RAWDATA Cars Buyers DB'!B:B)="S","Single","Married")</f>
        <v>Married</v>
      </c>
      <c r="C668" s="10" t="str">
        <f>IF(_xlfn.XLOOKUP($A668,'RAWDATA Cars Buyers DB'!$A:$A,'RAWDATA Cars Buyers DB'!C:C)="F","Female","Male")</f>
        <v>Male</v>
      </c>
      <c r="D668" s="7">
        <f>_xlfn.XLOOKUP($A668,'RAWDATA Cars Buyers DB'!$A:$A,'RAWDATA Cars Buyers DB'!D:D)</f>
        <v>40963</v>
      </c>
      <c r="E668" s="8">
        <f>_xlfn.XLOOKUP($A668,'RAWDATA Cars Buyers DB'!$A:$A,'RAWDATA Cars Buyers DB'!E:E)</f>
        <v>5</v>
      </c>
      <c r="F668" s="8" t="str">
        <f>_xlfn.XLOOKUP($A668,'RAWDATA Cars Buyers DB'!$A:$A,'RAWDATA Cars Buyers DB'!F:F)</f>
        <v>Graduate Degree</v>
      </c>
      <c r="G668" s="8" t="str">
        <f>_xlfn.XLOOKUP($A668,'RAWDATA Cars Buyers DB'!$A:$A,'RAWDATA Cars Buyers DB'!G:G)</f>
        <v>Professional</v>
      </c>
      <c r="H668" s="8" t="str">
        <f>_xlfn.XLOOKUP($A668,'RAWDATA Cars Buyers DB'!$A:$A,'RAWDATA Cars Buyers DB'!H:H)</f>
        <v>No</v>
      </c>
      <c r="I668" s="8" t="str">
        <f>_xlfn.XLOOKUP($A668,'RAWDATA Cars Buyers DB'!$A:$A,'RAWDATA Cars Buyers DB'!I:I)</f>
        <v>2–4 Kilometre</v>
      </c>
      <c r="J668" s="8" t="str">
        <f>_xlfn.XLOOKUP($A668,'RAWDATA Cars Buyers DB'!$A:$A,'RAWDATA Cars Buyers DB'!J:J)</f>
        <v>Schleswig-Holstein</v>
      </c>
      <c r="K668" s="8">
        <f>_xlfn.XLOOKUP($A668,'RAWDATA Cars Buyers DB'!$A:$A,'RAWDATA Cars Buyers DB'!K:K)</f>
        <v>67</v>
      </c>
      <c r="L668" s="10" t="str">
        <f>IF(_xlfn.XLOOKUP($A668,'RAWDATA Cars Buyers DB'!$A:$A,'RAWDATA Cars Buyers DB'!K:K)&gt;54,"Old ",IF(_xlfn.XLOOKUP($A668,'RAWDATA Cars Buyers DB'!$A:$A,'RAWDATA Cars Buyers DB'!K:K)&gt;=31,"Middle Age ",IF(_xlfn.XLOOKUP($A668,'RAWDATA Cars Buyers DB'!$A:$A,'RAWDATA Cars Buyers DB'!K:K)&lt;31,"Adolescent","Invalid")))</f>
        <v xml:space="preserve">Old </v>
      </c>
      <c r="M668" s="8" t="str">
        <f>_xlfn.XLOOKUP($A668,'RAWDATA Cars Buyers DB'!$A:$A,'RAWDATA Cars Buyers DB'!L:L)</f>
        <v>No</v>
      </c>
    </row>
    <row r="669" spans="1:13">
      <c r="A669" s="6">
        <v>31447</v>
      </c>
      <c r="B669" s="10" t="str">
        <f>IF(_xlfn.XLOOKUP($A669,'RAWDATA Cars Buyers DB'!$A:$A,'RAWDATA Cars Buyers DB'!B:B)="S","Single","Married")</f>
        <v>Married</v>
      </c>
      <c r="C669" s="10" t="str">
        <f>IF(_xlfn.XLOOKUP($A669,'RAWDATA Cars Buyers DB'!$A:$A,'RAWDATA Cars Buyers DB'!C:C)="F","Female","Male")</f>
        <v>Male</v>
      </c>
      <c r="D669" s="7">
        <f>_xlfn.XLOOKUP($A669,'RAWDATA Cars Buyers DB'!$A:$A,'RAWDATA Cars Buyers DB'!D:D)</f>
        <v>70124</v>
      </c>
      <c r="E669" s="8">
        <f>_xlfn.XLOOKUP($A669,'RAWDATA Cars Buyers DB'!$A:$A,'RAWDATA Cars Buyers DB'!E:E)</f>
        <v>5</v>
      </c>
      <c r="F669" s="8" t="str">
        <f>_xlfn.XLOOKUP($A669,'RAWDATA Cars Buyers DB'!$A:$A,'RAWDATA Cars Buyers DB'!F:F)</f>
        <v>Bachelors</v>
      </c>
      <c r="G669" s="8" t="str">
        <f>_xlfn.XLOOKUP($A669,'RAWDATA Cars Buyers DB'!$A:$A,'RAWDATA Cars Buyers DB'!G:G)</f>
        <v>Skilled Manual</v>
      </c>
      <c r="H669" s="8" t="str">
        <f>_xlfn.XLOOKUP($A669,'RAWDATA Cars Buyers DB'!$A:$A,'RAWDATA Cars Buyers DB'!H:H)</f>
        <v>Yes</v>
      </c>
      <c r="I669" s="8" t="str">
        <f>_xlfn.XLOOKUP($A669,'RAWDATA Cars Buyers DB'!$A:$A,'RAWDATA Cars Buyers DB'!I:I)</f>
        <v>1–2 Kilometre</v>
      </c>
      <c r="J669" s="8" t="str">
        <f>_xlfn.XLOOKUP($A669,'RAWDATA Cars Buyers DB'!$A:$A,'RAWDATA Cars Buyers DB'!J:J)</f>
        <v>Baden-Württemberg</v>
      </c>
      <c r="K669" s="8">
        <f>_xlfn.XLOOKUP($A669,'RAWDATA Cars Buyers DB'!$A:$A,'RAWDATA Cars Buyers DB'!K:K)</f>
        <v>44</v>
      </c>
      <c r="L669" s="10" t="str">
        <f>IF(_xlfn.XLOOKUP($A669,'RAWDATA Cars Buyers DB'!$A:$A,'RAWDATA Cars Buyers DB'!K:K)&gt;54,"Old ",IF(_xlfn.XLOOKUP($A669,'RAWDATA Cars Buyers DB'!$A:$A,'RAWDATA Cars Buyers DB'!K:K)&gt;=31,"Middle Age ",IF(_xlfn.XLOOKUP($A669,'RAWDATA Cars Buyers DB'!$A:$A,'RAWDATA Cars Buyers DB'!K:K)&lt;31,"Adolescent","Invalid")))</f>
        <v xml:space="preserve">Middle Age </v>
      </c>
      <c r="M669" s="8" t="str">
        <f>_xlfn.XLOOKUP($A669,'RAWDATA Cars Buyers DB'!$A:$A,'RAWDATA Cars Buyers DB'!L:L)</f>
        <v>No</v>
      </c>
    </row>
    <row r="670" spans="1:13">
      <c r="A670" s="6">
        <v>33959</v>
      </c>
      <c r="B670" s="10" t="str">
        <f>IF(_xlfn.XLOOKUP($A670,'RAWDATA Cars Buyers DB'!$A:$A,'RAWDATA Cars Buyers DB'!B:B)="S","Single","Married")</f>
        <v>Single</v>
      </c>
      <c r="C670" s="10" t="str">
        <f>IF(_xlfn.XLOOKUP($A670,'RAWDATA Cars Buyers DB'!$A:$A,'RAWDATA Cars Buyers DB'!C:C)="F","Female","Male")</f>
        <v>Male</v>
      </c>
      <c r="D670" s="7">
        <f>_xlfn.XLOOKUP($A670,'RAWDATA Cars Buyers DB'!$A:$A,'RAWDATA Cars Buyers DB'!D:D)</f>
        <v>72870</v>
      </c>
      <c r="E670" s="8">
        <f>_xlfn.XLOOKUP($A670,'RAWDATA Cars Buyers DB'!$A:$A,'RAWDATA Cars Buyers DB'!E:E)</f>
        <v>4</v>
      </c>
      <c r="F670" s="8" t="str">
        <f>_xlfn.XLOOKUP($A670,'RAWDATA Cars Buyers DB'!$A:$A,'RAWDATA Cars Buyers DB'!F:F)</f>
        <v>Bachelors</v>
      </c>
      <c r="G670" s="8" t="str">
        <f>_xlfn.XLOOKUP($A670,'RAWDATA Cars Buyers DB'!$A:$A,'RAWDATA Cars Buyers DB'!G:G)</f>
        <v>Management</v>
      </c>
      <c r="H670" s="8" t="str">
        <f>_xlfn.XLOOKUP($A670,'RAWDATA Cars Buyers DB'!$A:$A,'RAWDATA Cars Buyers DB'!H:H)</f>
        <v>No</v>
      </c>
      <c r="I670" s="8" t="str">
        <f>_xlfn.XLOOKUP($A670,'RAWDATA Cars Buyers DB'!$A:$A,'RAWDATA Cars Buyers DB'!I:I)</f>
        <v>1–2 Kilometre</v>
      </c>
      <c r="J670" s="8" t="str">
        <f>_xlfn.XLOOKUP($A670,'RAWDATA Cars Buyers DB'!$A:$A,'RAWDATA Cars Buyers DB'!J:J)</f>
        <v>Mecklenburg-Vorpommern</v>
      </c>
      <c r="K670" s="8">
        <f>_xlfn.XLOOKUP($A670,'RAWDATA Cars Buyers DB'!$A:$A,'RAWDATA Cars Buyers DB'!K:K)</f>
        <v>51</v>
      </c>
      <c r="L670" s="10" t="str">
        <f>IF(_xlfn.XLOOKUP($A670,'RAWDATA Cars Buyers DB'!$A:$A,'RAWDATA Cars Buyers DB'!K:K)&gt;54,"Old ",IF(_xlfn.XLOOKUP($A670,'RAWDATA Cars Buyers DB'!$A:$A,'RAWDATA Cars Buyers DB'!K:K)&gt;=31,"Middle Age ",IF(_xlfn.XLOOKUP($A670,'RAWDATA Cars Buyers DB'!$A:$A,'RAWDATA Cars Buyers DB'!K:K)&lt;31,"Adolescent","Invalid")))</f>
        <v xml:space="preserve">Middle Age </v>
      </c>
      <c r="M670" s="8" t="str">
        <f>_xlfn.XLOOKUP($A670,'RAWDATA Cars Buyers DB'!$A:$A,'RAWDATA Cars Buyers DB'!L:L)</f>
        <v>No</v>
      </c>
    </row>
    <row r="671" spans="1:13">
      <c r="A671" s="6">
        <v>76203</v>
      </c>
      <c r="B671" s="10" t="str">
        <f>IF(_xlfn.XLOOKUP($A671,'RAWDATA Cars Buyers DB'!$A:$A,'RAWDATA Cars Buyers DB'!B:B)="S","Single","Married")</f>
        <v>Married</v>
      </c>
      <c r="C671" s="10" t="str">
        <f>IF(_xlfn.XLOOKUP($A671,'RAWDATA Cars Buyers DB'!$A:$A,'RAWDATA Cars Buyers DB'!C:C)="F","Female","Male")</f>
        <v>Male</v>
      </c>
      <c r="D671" s="7">
        <f>_xlfn.XLOOKUP($A671,'RAWDATA Cars Buyers DB'!$A:$A,'RAWDATA Cars Buyers DB'!D:D)</f>
        <v>76547</v>
      </c>
      <c r="E671" s="8">
        <f>_xlfn.XLOOKUP($A671,'RAWDATA Cars Buyers DB'!$A:$A,'RAWDATA Cars Buyers DB'!E:E)</f>
        <v>4</v>
      </c>
      <c r="F671" s="8" t="str">
        <f>_xlfn.XLOOKUP($A671,'RAWDATA Cars Buyers DB'!$A:$A,'RAWDATA Cars Buyers DB'!F:F)</f>
        <v>Bachelors</v>
      </c>
      <c r="G671" s="8" t="str">
        <f>_xlfn.XLOOKUP($A671,'RAWDATA Cars Buyers DB'!$A:$A,'RAWDATA Cars Buyers DB'!G:G)</f>
        <v>Management</v>
      </c>
      <c r="H671" s="8" t="str">
        <f>_xlfn.XLOOKUP($A671,'RAWDATA Cars Buyers DB'!$A:$A,'RAWDATA Cars Buyers DB'!H:H)</f>
        <v>No</v>
      </c>
      <c r="I671" s="8" t="str">
        <f>_xlfn.XLOOKUP($A671,'RAWDATA Cars Buyers DB'!$A:$A,'RAWDATA Cars Buyers DB'!I:I)</f>
        <v>4–6 Kilometre</v>
      </c>
      <c r="J671" s="8" t="str">
        <f>_xlfn.XLOOKUP($A671,'RAWDATA Cars Buyers DB'!$A:$A,'RAWDATA Cars Buyers DB'!J:J)</f>
        <v>North Rhine-Westphalia</v>
      </c>
      <c r="K671" s="8">
        <f>_xlfn.XLOOKUP($A671,'RAWDATA Cars Buyers DB'!$A:$A,'RAWDATA Cars Buyers DB'!K:K)</f>
        <v>57</v>
      </c>
      <c r="L671" s="10" t="str">
        <f>IF(_xlfn.XLOOKUP($A671,'RAWDATA Cars Buyers DB'!$A:$A,'RAWDATA Cars Buyers DB'!K:K)&gt;54,"Old ",IF(_xlfn.XLOOKUP($A671,'RAWDATA Cars Buyers DB'!$A:$A,'RAWDATA Cars Buyers DB'!K:K)&gt;=31,"Middle Age ",IF(_xlfn.XLOOKUP($A671,'RAWDATA Cars Buyers DB'!$A:$A,'RAWDATA Cars Buyers DB'!K:K)&lt;31,"Adolescent","Invalid")))</f>
        <v xml:space="preserve">Old </v>
      </c>
      <c r="M671" s="8" t="str">
        <f>_xlfn.XLOOKUP($A671,'RAWDATA Cars Buyers DB'!$A:$A,'RAWDATA Cars Buyers DB'!L:L)</f>
        <v>No</v>
      </c>
    </row>
    <row r="672" spans="1:13">
      <c r="A672" s="6">
        <v>39703</v>
      </c>
      <c r="B672" s="10" t="str">
        <f>IF(_xlfn.XLOOKUP($A672,'RAWDATA Cars Buyers DB'!$A:$A,'RAWDATA Cars Buyers DB'!B:B)="S","Single","Married")</f>
        <v>Married</v>
      </c>
      <c r="C672" s="10" t="str">
        <f>IF(_xlfn.XLOOKUP($A672,'RAWDATA Cars Buyers DB'!$A:$A,'RAWDATA Cars Buyers DB'!C:C)="F","Female","Male")</f>
        <v>Female</v>
      </c>
      <c r="D672" s="7">
        <f>_xlfn.XLOOKUP($A672,'RAWDATA Cars Buyers DB'!$A:$A,'RAWDATA Cars Buyers DB'!D:D)</f>
        <v>84110</v>
      </c>
      <c r="E672" s="8">
        <f>_xlfn.XLOOKUP($A672,'RAWDATA Cars Buyers DB'!$A:$A,'RAWDATA Cars Buyers DB'!E:E)</f>
        <v>2</v>
      </c>
      <c r="F672" s="8" t="str">
        <f>_xlfn.XLOOKUP($A672,'RAWDATA Cars Buyers DB'!$A:$A,'RAWDATA Cars Buyers DB'!F:F)</f>
        <v>Bachelors</v>
      </c>
      <c r="G672" s="8" t="str">
        <f>_xlfn.XLOOKUP($A672,'RAWDATA Cars Buyers DB'!$A:$A,'RAWDATA Cars Buyers DB'!G:G)</f>
        <v>Professional</v>
      </c>
      <c r="H672" s="8" t="str">
        <f>_xlfn.XLOOKUP($A672,'RAWDATA Cars Buyers DB'!$A:$A,'RAWDATA Cars Buyers DB'!H:H)</f>
        <v>Yes</v>
      </c>
      <c r="I672" s="8" t="str">
        <f>_xlfn.XLOOKUP($A672,'RAWDATA Cars Buyers DB'!$A:$A,'RAWDATA Cars Buyers DB'!I:I)</f>
        <v>1–2 Kilometre</v>
      </c>
      <c r="J672" s="8" t="str">
        <f>_xlfn.XLOOKUP($A672,'RAWDATA Cars Buyers DB'!$A:$A,'RAWDATA Cars Buyers DB'!J:J)</f>
        <v>Thuringia</v>
      </c>
      <c r="K672" s="8">
        <f>_xlfn.XLOOKUP($A672,'RAWDATA Cars Buyers DB'!$A:$A,'RAWDATA Cars Buyers DB'!K:K)</f>
        <v>41</v>
      </c>
      <c r="L672" s="10" t="str">
        <f>IF(_xlfn.XLOOKUP($A672,'RAWDATA Cars Buyers DB'!$A:$A,'RAWDATA Cars Buyers DB'!K:K)&gt;54,"Old ",IF(_xlfn.XLOOKUP($A672,'RAWDATA Cars Buyers DB'!$A:$A,'RAWDATA Cars Buyers DB'!K:K)&gt;=31,"Middle Age ",IF(_xlfn.XLOOKUP($A672,'RAWDATA Cars Buyers DB'!$A:$A,'RAWDATA Cars Buyers DB'!K:K)&lt;31,"Adolescent","Invalid")))</f>
        <v xml:space="preserve">Middle Age </v>
      </c>
      <c r="M672" s="8" t="str">
        <f>_xlfn.XLOOKUP($A672,'RAWDATA Cars Buyers DB'!$A:$A,'RAWDATA Cars Buyers DB'!L:L)</f>
        <v>Yes</v>
      </c>
    </row>
    <row r="673" spans="1:13">
      <c r="A673" s="6">
        <v>19337</v>
      </c>
      <c r="B673" s="10" t="str">
        <f>IF(_xlfn.XLOOKUP($A673,'RAWDATA Cars Buyers DB'!$A:$A,'RAWDATA Cars Buyers DB'!B:B)="S","Single","Married")</f>
        <v>Married</v>
      </c>
      <c r="C673" s="10" t="str">
        <f>IF(_xlfn.XLOOKUP($A673,'RAWDATA Cars Buyers DB'!$A:$A,'RAWDATA Cars Buyers DB'!C:C)="F","Female","Male")</f>
        <v>Male</v>
      </c>
      <c r="D673" s="7">
        <f>_xlfn.XLOOKUP($A673,'RAWDATA Cars Buyers DB'!$A:$A,'RAWDATA Cars Buyers DB'!D:D)</f>
        <v>73554</v>
      </c>
      <c r="E673" s="8">
        <f>_xlfn.XLOOKUP($A673,'RAWDATA Cars Buyers DB'!$A:$A,'RAWDATA Cars Buyers DB'!E:E)</f>
        <v>4</v>
      </c>
      <c r="F673" s="8" t="str">
        <f>_xlfn.XLOOKUP($A673,'RAWDATA Cars Buyers DB'!$A:$A,'RAWDATA Cars Buyers DB'!F:F)</f>
        <v>Partial College</v>
      </c>
      <c r="G673" s="8" t="str">
        <f>_xlfn.XLOOKUP($A673,'RAWDATA Cars Buyers DB'!$A:$A,'RAWDATA Cars Buyers DB'!G:G)</f>
        <v>Skilled Manual</v>
      </c>
      <c r="H673" s="8" t="str">
        <f>_xlfn.XLOOKUP($A673,'RAWDATA Cars Buyers DB'!$A:$A,'RAWDATA Cars Buyers DB'!H:H)</f>
        <v>No</v>
      </c>
      <c r="I673" s="8" t="str">
        <f>_xlfn.XLOOKUP($A673,'RAWDATA Cars Buyers DB'!$A:$A,'RAWDATA Cars Buyers DB'!I:I)</f>
        <v>6+ Kilometre</v>
      </c>
      <c r="J673" s="8" t="str">
        <f>_xlfn.XLOOKUP($A673,'RAWDATA Cars Buyers DB'!$A:$A,'RAWDATA Cars Buyers DB'!J:J)</f>
        <v>Mecklenburg-Vorpommern</v>
      </c>
      <c r="K673" s="8">
        <f>_xlfn.XLOOKUP($A673,'RAWDATA Cars Buyers DB'!$A:$A,'RAWDATA Cars Buyers DB'!K:K)</f>
        <v>35</v>
      </c>
      <c r="L673" s="10" t="str">
        <f>IF(_xlfn.XLOOKUP($A673,'RAWDATA Cars Buyers DB'!$A:$A,'RAWDATA Cars Buyers DB'!K:K)&gt;54,"Old ",IF(_xlfn.XLOOKUP($A673,'RAWDATA Cars Buyers DB'!$A:$A,'RAWDATA Cars Buyers DB'!K:K)&gt;=31,"Middle Age ",IF(_xlfn.XLOOKUP($A673,'RAWDATA Cars Buyers DB'!$A:$A,'RAWDATA Cars Buyers DB'!K:K)&lt;31,"Adolescent","Invalid")))</f>
        <v xml:space="preserve">Middle Age </v>
      </c>
      <c r="M673" s="8" t="str">
        <f>_xlfn.XLOOKUP($A673,'RAWDATA Cars Buyers DB'!$A:$A,'RAWDATA Cars Buyers DB'!L:L)</f>
        <v>Yes</v>
      </c>
    </row>
    <row r="674" spans="1:13">
      <c r="A674" s="6">
        <v>56427</v>
      </c>
      <c r="B674" s="10" t="str">
        <f>IF(_xlfn.XLOOKUP($A674,'RAWDATA Cars Buyers DB'!$A:$A,'RAWDATA Cars Buyers DB'!B:B)="S","Single","Married")</f>
        <v>Married</v>
      </c>
      <c r="C674" s="10" t="str">
        <f>IF(_xlfn.XLOOKUP($A674,'RAWDATA Cars Buyers DB'!$A:$A,'RAWDATA Cars Buyers DB'!C:C)="F","Female","Male")</f>
        <v>Female</v>
      </c>
      <c r="D674" s="7">
        <f>_xlfn.XLOOKUP($A674,'RAWDATA Cars Buyers DB'!$A:$A,'RAWDATA Cars Buyers DB'!D:D)</f>
        <v>40936</v>
      </c>
      <c r="E674" s="8">
        <f>_xlfn.XLOOKUP($A674,'RAWDATA Cars Buyers DB'!$A:$A,'RAWDATA Cars Buyers DB'!E:E)</f>
        <v>3</v>
      </c>
      <c r="F674" s="8" t="str">
        <f>_xlfn.XLOOKUP($A674,'RAWDATA Cars Buyers DB'!$A:$A,'RAWDATA Cars Buyers DB'!F:F)</f>
        <v>Bachelors</v>
      </c>
      <c r="G674" s="8" t="str">
        <f>_xlfn.XLOOKUP($A674,'RAWDATA Cars Buyers DB'!$A:$A,'RAWDATA Cars Buyers DB'!G:G)</f>
        <v>Professional</v>
      </c>
      <c r="H674" s="8" t="str">
        <f>_xlfn.XLOOKUP($A674,'RAWDATA Cars Buyers DB'!$A:$A,'RAWDATA Cars Buyers DB'!H:H)</f>
        <v>No</v>
      </c>
      <c r="I674" s="8" t="str">
        <f>_xlfn.XLOOKUP($A674,'RAWDATA Cars Buyers DB'!$A:$A,'RAWDATA Cars Buyers DB'!I:I)</f>
        <v>6+ Kilometre</v>
      </c>
      <c r="J674" s="8" t="str">
        <f>_xlfn.XLOOKUP($A674,'RAWDATA Cars Buyers DB'!$A:$A,'RAWDATA Cars Buyers DB'!J:J)</f>
        <v>Thuringia</v>
      </c>
      <c r="K674" s="8">
        <f>_xlfn.XLOOKUP($A674,'RAWDATA Cars Buyers DB'!$A:$A,'RAWDATA Cars Buyers DB'!K:K)</f>
        <v>48</v>
      </c>
      <c r="L674" s="10" t="str">
        <f>IF(_xlfn.XLOOKUP($A674,'RAWDATA Cars Buyers DB'!$A:$A,'RAWDATA Cars Buyers DB'!K:K)&gt;54,"Old ",IF(_xlfn.XLOOKUP($A674,'RAWDATA Cars Buyers DB'!$A:$A,'RAWDATA Cars Buyers DB'!K:K)&gt;=31,"Middle Age ",IF(_xlfn.XLOOKUP($A674,'RAWDATA Cars Buyers DB'!$A:$A,'RAWDATA Cars Buyers DB'!K:K)&lt;31,"Adolescent","Invalid")))</f>
        <v xml:space="preserve">Middle Age </v>
      </c>
      <c r="M674" s="8" t="str">
        <f>_xlfn.XLOOKUP($A674,'RAWDATA Cars Buyers DB'!$A:$A,'RAWDATA Cars Buyers DB'!L:L)</f>
        <v>No</v>
      </c>
    </row>
    <row r="675" spans="1:13">
      <c r="A675" s="6">
        <v>71529</v>
      </c>
      <c r="B675" s="10" t="str">
        <f>IF(_xlfn.XLOOKUP($A675,'RAWDATA Cars Buyers DB'!$A:$A,'RAWDATA Cars Buyers DB'!B:B)="S","Single","Married")</f>
        <v>Single</v>
      </c>
      <c r="C675" s="10" t="str">
        <f>IF(_xlfn.XLOOKUP($A675,'RAWDATA Cars Buyers DB'!$A:$A,'RAWDATA Cars Buyers DB'!C:C)="F","Female","Male")</f>
        <v>Female</v>
      </c>
      <c r="D675" s="7">
        <f>_xlfn.XLOOKUP($A675,'RAWDATA Cars Buyers DB'!$A:$A,'RAWDATA Cars Buyers DB'!D:D)</f>
        <v>24426</v>
      </c>
      <c r="E675" s="8">
        <f>_xlfn.XLOOKUP($A675,'RAWDATA Cars Buyers DB'!$A:$A,'RAWDATA Cars Buyers DB'!E:E)</f>
        <v>5</v>
      </c>
      <c r="F675" s="8" t="str">
        <f>_xlfn.XLOOKUP($A675,'RAWDATA Cars Buyers DB'!$A:$A,'RAWDATA Cars Buyers DB'!F:F)</f>
        <v>Graduate Degree</v>
      </c>
      <c r="G675" s="8" t="str">
        <f>_xlfn.XLOOKUP($A675,'RAWDATA Cars Buyers DB'!$A:$A,'RAWDATA Cars Buyers DB'!G:G)</f>
        <v>Clerical</v>
      </c>
      <c r="H675" s="8" t="str">
        <f>_xlfn.XLOOKUP($A675,'RAWDATA Cars Buyers DB'!$A:$A,'RAWDATA Cars Buyers DB'!H:H)</f>
        <v>Yes</v>
      </c>
      <c r="I675" s="8" t="str">
        <f>_xlfn.XLOOKUP($A675,'RAWDATA Cars Buyers DB'!$A:$A,'RAWDATA Cars Buyers DB'!I:I)</f>
        <v>4–6 Kilometre</v>
      </c>
      <c r="J675" s="8" t="str">
        <f>_xlfn.XLOOKUP($A675,'RAWDATA Cars Buyers DB'!$A:$A,'RAWDATA Cars Buyers DB'!J:J)</f>
        <v>Saxony-Anhalt</v>
      </c>
      <c r="K675" s="8">
        <f>_xlfn.XLOOKUP($A675,'RAWDATA Cars Buyers DB'!$A:$A,'RAWDATA Cars Buyers DB'!K:K)</f>
        <v>35</v>
      </c>
      <c r="L675" s="10" t="str">
        <f>IF(_xlfn.XLOOKUP($A675,'RAWDATA Cars Buyers DB'!$A:$A,'RAWDATA Cars Buyers DB'!K:K)&gt;54,"Old ",IF(_xlfn.XLOOKUP($A675,'RAWDATA Cars Buyers DB'!$A:$A,'RAWDATA Cars Buyers DB'!K:K)&gt;=31,"Middle Age ",IF(_xlfn.XLOOKUP($A675,'RAWDATA Cars Buyers DB'!$A:$A,'RAWDATA Cars Buyers DB'!K:K)&lt;31,"Adolescent","Invalid")))</f>
        <v xml:space="preserve">Middle Age </v>
      </c>
      <c r="M675" s="8" t="str">
        <f>_xlfn.XLOOKUP($A675,'RAWDATA Cars Buyers DB'!$A:$A,'RAWDATA Cars Buyers DB'!L:L)</f>
        <v>No</v>
      </c>
    </row>
    <row r="676" spans="1:13">
      <c r="A676" s="6">
        <v>94665</v>
      </c>
      <c r="B676" s="10" t="str">
        <f>IF(_xlfn.XLOOKUP($A676,'RAWDATA Cars Buyers DB'!$A:$A,'RAWDATA Cars Buyers DB'!B:B)="S","Single","Married")</f>
        <v>Single</v>
      </c>
      <c r="C676" s="10" t="str">
        <f>IF(_xlfn.XLOOKUP($A676,'RAWDATA Cars Buyers DB'!$A:$A,'RAWDATA Cars Buyers DB'!C:C)="F","Female","Male")</f>
        <v>Male</v>
      </c>
      <c r="D676" s="7">
        <f>_xlfn.XLOOKUP($A676,'RAWDATA Cars Buyers DB'!$A:$A,'RAWDATA Cars Buyers DB'!D:D)</f>
        <v>108839</v>
      </c>
      <c r="E676" s="8">
        <f>_xlfn.XLOOKUP($A676,'RAWDATA Cars Buyers DB'!$A:$A,'RAWDATA Cars Buyers DB'!E:E)</f>
        <v>1</v>
      </c>
      <c r="F676" s="8" t="str">
        <f>_xlfn.XLOOKUP($A676,'RAWDATA Cars Buyers DB'!$A:$A,'RAWDATA Cars Buyers DB'!F:F)</f>
        <v>Graduate Degree</v>
      </c>
      <c r="G676" s="8" t="str">
        <f>_xlfn.XLOOKUP($A676,'RAWDATA Cars Buyers DB'!$A:$A,'RAWDATA Cars Buyers DB'!G:G)</f>
        <v>Clerical</v>
      </c>
      <c r="H676" s="8" t="str">
        <f>_xlfn.XLOOKUP($A676,'RAWDATA Cars Buyers DB'!$A:$A,'RAWDATA Cars Buyers DB'!H:H)</f>
        <v>Yes</v>
      </c>
      <c r="I676" s="8" t="str">
        <f>_xlfn.XLOOKUP($A676,'RAWDATA Cars Buyers DB'!$A:$A,'RAWDATA Cars Buyers DB'!I:I)</f>
        <v>2–4 Kilometre</v>
      </c>
      <c r="J676" s="8" t="str">
        <f>_xlfn.XLOOKUP($A676,'RAWDATA Cars Buyers DB'!$A:$A,'RAWDATA Cars Buyers DB'!J:J)</f>
        <v>Rhineland-Palatinate</v>
      </c>
      <c r="K676" s="8">
        <f>_xlfn.XLOOKUP($A676,'RAWDATA Cars Buyers DB'!$A:$A,'RAWDATA Cars Buyers DB'!K:K)</f>
        <v>31</v>
      </c>
      <c r="L676" s="10" t="str">
        <f>IF(_xlfn.XLOOKUP($A676,'RAWDATA Cars Buyers DB'!$A:$A,'RAWDATA Cars Buyers DB'!K:K)&gt;54,"Old ",IF(_xlfn.XLOOKUP($A676,'RAWDATA Cars Buyers DB'!$A:$A,'RAWDATA Cars Buyers DB'!K:K)&gt;=31,"Middle Age ",IF(_xlfn.XLOOKUP($A676,'RAWDATA Cars Buyers DB'!$A:$A,'RAWDATA Cars Buyers DB'!K:K)&lt;31,"Adolescent","Invalid")))</f>
        <v xml:space="preserve">Middle Age </v>
      </c>
      <c r="M676" s="8" t="str">
        <f>_xlfn.XLOOKUP($A676,'RAWDATA Cars Buyers DB'!$A:$A,'RAWDATA Cars Buyers DB'!L:L)</f>
        <v>No</v>
      </c>
    </row>
    <row r="677" spans="1:13">
      <c r="A677" s="6">
        <v>41921</v>
      </c>
      <c r="B677" s="10" t="str">
        <f>IF(_xlfn.XLOOKUP($A677,'RAWDATA Cars Buyers DB'!$A:$A,'RAWDATA Cars Buyers DB'!B:B)="S","Single","Married")</f>
        <v>Married</v>
      </c>
      <c r="C677" s="10" t="str">
        <f>IF(_xlfn.XLOOKUP($A677,'RAWDATA Cars Buyers DB'!$A:$A,'RAWDATA Cars Buyers DB'!C:C)="F","Female","Male")</f>
        <v>Female</v>
      </c>
      <c r="D677" s="7">
        <f>_xlfn.XLOOKUP($A677,'RAWDATA Cars Buyers DB'!$A:$A,'RAWDATA Cars Buyers DB'!D:D)</f>
        <v>47606</v>
      </c>
      <c r="E677" s="8">
        <f>_xlfn.XLOOKUP($A677,'RAWDATA Cars Buyers DB'!$A:$A,'RAWDATA Cars Buyers DB'!E:E)</f>
        <v>5</v>
      </c>
      <c r="F677" s="8" t="str">
        <f>_xlfn.XLOOKUP($A677,'RAWDATA Cars Buyers DB'!$A:$A,'RAWDATA Cars Buyers DB'!F:F)</f>
        <v>Graduate Degree</v>
      </c>
      <c r="G677" s="8" t="str">
        <f>_xlfn.XLOOKUP($A677,'RAWDATA Cars Buyers DB'!$A:$A,'RAWDATA Cars Buyers DB'!G:G)</f>
        <v>Clerical</v>
      </c>
      <c r="H677" s="8" t="str">
        <f>_xlfn.XLOOKUP($A677,'RAWDATA Cars Buyers DB'!$A:$A,'RAWDATA Cars Buyers DB'!H:H)</f>
        <v>Yes</v>
      </c>
      <c r="I677" s="8" t="str">
        <f>_xlfn.XLOOKUP($A677,'RAWDATA Cars Buyers DB'!$A:$A,'RAWDATA Cars Buyers DB'!I:I)</f>
        <v>4–6 Kilometre</v>
      </c>
      <c r="J677" s="8" t="str">
        <f>_xlfn.XLOOKUP($A677,'RAWDATA Cars Buyers DB'!$A:$A,'RAWDATA Cars Buyers DB'!J:J)</f>
        <v>Thuringia</v>
      </c>
      <c r="K677" s="8">
        <f>_xlfn.XLOOKUP($A677,'RAWDATA Cars Buyers DB'!$A:$A,'RAWDATA Cars Buyers DB'!K:K)</f>
        <v>36</v>
      </c>
      <c r="L677" s="10" t="str">
        <f>IF(_xlfn.XLOOKUP($A677,'RAWDATA Cars Buyers DB'!$A:$A,'RAWDATA Cars Buyers DB'!K:K)&gt;54,"Old ",IF(_xlfn.XLOOKUP($A677,'RAWDATA Cars Buyers DB'!$A:$A,'RAWDATA Cars Buyers DB'!K:K)&gt;=31,"Middle Age ",IF(_xlfn.XLOOKUP($A677,'RAWDATA Cars Buyers DB'!$A:$A,'RAWDATA Cars Buyers DB'!K:K)&lt;31,"Adolescent","Invalid")))</f>
        <v xml:space="preserve">Middle Age </v>
      </c>
      <c r="M677" s="8" t="str">
        <f>_xlfn.XLOOKUP($A677,'RAWDATA Cars Buyers DB'!$A:$A,'RAWDATA Cars Buyers DB'!L:L)</f>
        <v>Yes</v>
      </c>
    </row>
    <row r="678" spans="1:13">
      <c r="A678" s="6">
        <v>43307</v>
      </c>
      <c r="B678" s="10" t="str">
        <f>IF(_xlfn.XLOOKUP($A678,'RAWDATA Cars Buyers DB'!$A:$A,'RAWDATA Cars Buyers DB'!B:B)="S","Single","Married")</f>
        <v>Married</v>
      </c>
      <c r="C678" s="10" t="str">
        <f>IF(_xlfn.XLOOKUP($A678,'RAWDATA Cars Buyers DB'!$A:$A,'RAWDATA Cars Buyers DB'!C:C)="F","Female","Male")</f>
        <v>Male</v>
      </c>
      <c r="D678" s="7">
        <f>_xlfn.XLOOKUP($A678,'RAWDATA Cars Buyers DB'!$A:$A,'RAWDATA Cars Buyers DB'!D:D)</f>
        <v>67832</v>
      </c>
      <c r="E678" s="8">
        <f>_xlfn.XLOOKUP($A678,'RAWDATA Cars Buyers DB'!$A:$A,'RAWDATA Cars Buyers DB'!E:E)</f>
        <v>0</v>
      </c>
      <c r="F678" s="8" t="str">
        <f>_xlfn.XLOOKUP($A678,'RAWDATA Cars Buyers DB'!$A:$A,'RAWDATA Cars Buyers DB'!F:F)</f>
        <v>High School</v>
      </c>
      <c r="G678" s="8" t="str">
        <f>_xlfn.XLOOKUP($A678,'RAWDATA Cars Buyers DB'!$A:$A,'RAWDATA Cars Buyers DB'!G:G)</f>
        <v>Clerical</v>
      </c>
      <c r="H678" s="8" t="str">
        <f>_xlfn.XLOOKUP($A678,'RAWDATA Cars Buyers DB'!$A:$A,'RAWDATA Cars Buyers DB'!H:H)</f>
        <v>Yes</v>
      </c>
      <c r="I678" s="8" t="str">
        <f>_xlfn.XLOOKUP($A678,'RAWDATA Cars Buyers DB'!$A:$A,'RAWDATA Cars Buyers DB'!I:I)</f>
        <v>6+ Kilometre</v>
      </c>
      <c r="J678" s="8" t="str">
        <f>_xlfn.XLOOKUP($A678,'RAWDATA Cars Buyers DB'!$A:$A,'RAWDATA Cars Buyers DB'!J:J)</f>
        <v>Saarland</v>
      </c>
      <c r="K678" s="8">
        <f>_xlfn.XLOOKUP($A678,'RAWDATA Cars Buyers DB'!$A:$A,'RAWDATA Cars Buyers DB'!K:K)</f>
        <v>56</v>
      </c>
      <c r="L678" s="10" t="str">
        <f>IF(_xlfn.XLOOKUP($A678,'RAWDATA Cars Buyers DB'!$A:$A,'RAWDATA Cars Buyers DB'!K:K)&gt;54,"Old ",IF(_xlfn.XLOOKUP($A678,'RAWDATA Cars Buyers DB'!$A:$A,'RAWDATA Cars Buyers DB'!K:K)&gt;=31,"Middle Age ",IF(_xlfn.XLOOKUP($A678,'RAWDATA Cars Buyers DB'!$A:$A,'RAWDATA Cars Buyers DB'!K:K)&lt;31,"Adolescent","Invalid")))</f>
        <v xml:space="preserve">Old </v>
      </c>
      <c r="M678" s="8" t="str">
        <f>_xlfn.XLOOKUP($A678,'RAWDATA Cars Buyers DB'!$A:$A,'RAWDATA Cars Buyers DB'!L:L)</f>
        <v>No</v>
      </c>
    </row>
    <row r="679" spans="1:13">
      <c r="A679" s="6">
        <v>37355</v>
      </c>
      <c r="B679" s="10" t="str">
        <f>IF(_xlfn.XLOOKUP($A679,'RAWDATA Cars Buyers DB'!$A:$A,'RAWDATA Cars Buyers DB'!B:B)="S","Single","Married")</f>
        <v>Single</v>
      </c>
      <c r="C679" s="10" t="str">
        <f>IF(_xlfn.XLOOKUP($A679,'RAWDATA Cars Buyers DB'!$A:$A,'RAWDATA Cars Buyers DB'!C:C)="F","Female","Male")</f>
        <v>Male</v>
      </c>
      <c r="D679" s="7">
        <f>_xlfn.XLOOKUP($A679,'RAWDATA Cars Buyers DB'!$A:$A,'RAWDATA Cars Buyers DB'!D:D)</f>
        <v>48151</v>
      </c>
      <c r="E679" s="8">
        <f>_xlfn.XLOOKUP($A679,'RAWDATA Cars Buyers DB'!$A:$A,'RAWDATA Cars Buyers DB'!E:E)</f>
        <v>5</v>
      </c>
      <c r="F679" s="8" t="str">
        <f>_xlfn.XLOOKUP($A679,'RAWDATA Cars Buyers DB'!$A:$A,'RAWDATA Cars Buyers DB'!F:F)</f>
        <v>Partial College</v>
      </c>
      <c r="G679" s="8" t="str">
        <f>_xlfn.XLOOKUP($A679,'RAWDATA Cars Buyers DB'!$A:$A,'RAWDATA Cars Buyers DB'!G:G)</f>
        <v>Professional</v>
      </c>
      <c r="H679" s="8" t="str">
        <f>_xlfn.XLOOKUP($A679,'RAWDATA Cars Buyers DB'!$A:$A,'RAWDATA Cars Buyers DB'!H:H)</f>
        <v>No</v>
      </c>
      <c r="I679" s="8" t="str">
        <f>_xlfn.XLOOKUP($A679,'RAWDATA Cars Buyers DB'!$A:$A,'RAWDATA Cars Buyers DB'!I:I)</f>
        <v>0–1 Kilometre</v>
      </c>
      <c r="J679" s="8" t="str">
        <f>_xlfn.XLOOKUP($A679,'RAWDATA Cars Buyers DB'!$A:$A,'RAWDATA Cars Buyers DB'!J:J)</f>
        <v>North Rhine-Westphalia</v>
      </c>
      <c r="K679" s="8">
        <f>_xlfn.XLOOKUP($A679,'RAWDATA Cars Buyers DB'!$A:$A,'RAWDATA Cars Buyers DB'!K:K)</f>
        <v>46</v>
      </c>
      <c r="L679" s="10" t="str">
        <f>IF(_xlfn.XLOOKUP($A679,'RAWDATA Cars Buyers DB'!$A:$A,'RAWDATA Cars Buyers DB'!K:K)&gt;54,"Old ",IF(_xlfn.XLOOKUP($A679,'RAWDATA Cars Buyers DB'!$A:$A,'RAWDATA Cars Buyers DB'!K:K)&gt;=31,"Middle Age ",IF(_xlfn.XLOOKUP($A679,'RAWDATA Cars Buyers DB'!$A:$A,'RAWDATA Cars Buyers DB'!K:K)&lt;31,"Adolescent","Invalid")))</f>
        <v xml:space="preserve">Middle Age </v>
      </c>
      <c r="M679" s="8" t="str">
        <f>_xlfn.XLOOKUP($A679,'RAWDATA Cars Buyers DB'!$A:$A,'RAWDATA Cars Buyers DB'!L:L)</f>
        <v>Yes</v>
      </c>
    </row>
    <row r="680" spans="1:13">
      <c r="A680" s="6">
        <v>14835</v>
      </c>
      <c r="B680" s="10" t="str">
        <f>IF(_xlfn.XLOOKUP($A680,'RAWDATA Cars Buyers DB'!$A:$A,'RAWDATA Cars Buyers DB'!B:B)="S","Single","Married")</f>
        <v>Married</v>
      </c>
      <c r="C680" s="10" t="str">
        <f>IF(_xlfn.XLOOKUP($A680,'RAWDATA Cars Buyers DB'!$A:$A,'RAWDATA Cars Buyers DB'!C:C)="F","Female","Male")</f>
        <v>Female</v>
      </c>
      <c r="D680" s="7">
        <f>_xlfn.XLOOKUP($A680,'RAWDATA Cars Buyers DB'!$A:$A,'RAWDATA Cars Buyers DB'!D:D)</f>
        <v>99303</v>
      </c>
      <c r="E680" s="8">
        <f>_xlfn.XLOOKUP($A680,'RAWDATA Cars Buyers DB'!$A:$A,'RAWDATA Cars Buyers DB'!E:E)</f>
        <v>2</v>
      </c>
      <c r="F680" s="8" t="str">
        <f>_xlfn.XLOOKUP($A680,'RAWDATA Cars Buyers DB'!$A:$A,'RAWDATA Cars Buyers DB'!F:F)</f>
        <v>Bachelors</v>
      </c>
      <c r="G680" s="8" t="str">
        <f>_xlfn.XLOOKUP($A680,'RAWDATA Cars Buyers DB'!$A:$A,'RAWDATA Cars Buyers DB'!G:G)</f>
        <v>Clerical</v>
      </c>
      <c r="H680" s="8" t="str">
        <f>_xlfn.XLOOKUP($A680,'RAWDATA Cars Buyers DB'!$A:$A,'RAWDATA Cars Buyers DB'!H:H)</f>
        <v>Yes</v>
      </c>
      <c r="I680" s="8" t="str">
        <f>_xlfn.XLOOKUP($A680,'RAWDATA Cars Buyers DB'!$A:$A,'RAWDATA Cars Buyers DB'!I:I)</f>
        <v>0–1 Kilometre</v>
      </c>
      <c r="J680" s="8" t="str">
        <f>_xlfn.XLOOKUP($A680,'RAWDATA Cars Buyers DB'!$A:$A,'RAWDATA Cars Buyers DB'!J:J)</f>
        <v>Hamburg</v>
      </c>
      <c r="K680" s="8">
        <f>_xlfn.XLOOKUP($A680,'RAWDATA Cars Buyers DB'!$A:$A,'RAWDATA Cars Buyers DB'!K:K)</f>
        <v>44</v>
      </c>
      <c r="L680" s="10" t="str">
        <f>IF(_xlfn.XLOOKUP($A680,'RAWDATA Cars Buyers DB'!$A:$A,'RAWDATA Cars Buyers DB'!K:K)&gt;54,"Old ",IF(_xlfn.XLOOKUP($A680,'RAWDATA Cars Buyers DB'!$A:$A,'RAWDATA Cars Buyers DB'!K:K)&gt;=31,"Middle Age ",IF(_xlfn.XLOOKUP($A680,'RAWDATA Cars Buyers DB'!$A:$A,'RAWDATA Cars Buyers DB'!K:K)&lt;31,"Adolescent","Invalid")))</f>
        <v xml:space="preserve">Middle Age </v>
      </c>
      <c r="M680" s="8" t="str">
        <f>_xlfn.XLOOKUP($A680,'RAWDATA Cars Buyers DB'!$A:$A,'RAWDATA Cars Buyers DB'!L:L)</f>
        <v>Yes</v>
      </c>
    </row>
    <row r="681" spans="1:13">
      <c r="A681" s="6">
        <v>30159</v>
      </c>
      <c r="B681" s="10" t="str">
        <f>IF(_xlfn.XLOOKUP($A681,'RAWDATA Cars Buyers DB'!$A:$A,'RAWDATA Cars Buyers DB'!B:B)="S","Single","Married")</f>
        <v>Married</v>
      </c>
      <c r="C681" s="10" t="str">
        <f>IF(_xlfn.XLOOKUP($A681,'RAWDATA Cars Buyers DB'!$A:$A,'RAWDATA Cars Buyers DB'!C:C)="F","Female","Male")</f>
        <v>Female</v>
      </c>
      <c r="D681" s="7">
        <f>_xlfn.XLOOKUP($A681,'RAWDATA Cars Buyers DB'!$A:$A,'RAWDATA Cars Buyers DB'!D:D)</f>
        <v>31308</v>
      </c>
      <c r="E681" s="8">
        <f>_xlfn.XLOOKUP($A681,'RAWDATA Cars Buyers DB'!$A:$A,'RAWDATA Cars Buyers DB'!E:E)</f>
        <v>4</v>
      </c>
      <c r="F681" s="8" t="str">
        <f>_xlfn.XLOOKUP($A681,'RAWDATA Cars Buyers DB'!$A:$A,'RAWDATA Cars Buyers DB'!F:F)</f>
        <v>High School</v>
      </c>
      <c r="G681" s="8" t="str">
        <f>_xlfn.XLOOKUP($A681,'RAWDATA Cars Buyers DB'!$A:$A,'RAWDATA Cars Buyers DB'!G:G)</f>
        <v>Skilled Manual</v>
      </c>
      <c r="H681" s="8" t="str">
        <f>_xlfn.XLOOKUP($A681,'RAWDATA Cars Buyers DB'!$A:$A,'RAWDATA Cars Buyers DB'!H:H)</f>
        <v>Yes</v>
      </c>
      <c r="I681" s="8" t="str">
        <f>_xlfn.XLOOKUP($A681,'RAWDATA Cars Buyers DB'!$A:$A,'RAWDATA Cars Buyers DB'!I:I)</f>
        <v>1–2 Kilometre</v>
      </c>
      <c r="J681" s="8" t="str">
        <f>_xlfn.XLOOKUP($A681,'RAWDATA Cars Buyers DB'!$A:$A,'RAWDATA Cars Buyers DB'!J:J)</f>
        <v>Rhineland-Palatinate</v>
      </c>
      <c r="K681" s="8">
        <f>_xlfn.XLOOKUP($A681,'RAWDATA Cars Buyers DB'!$A:$A,'RAWDATA Cars Buyers DB'!K:K)</f>
        <v>32</v>
      </c>
      <c r="L681" s="10" t="str">
        <f>IF(_xlfn.XLOOKUP($A681,'RAWDATA Cars Buyers DB'!$A:$A,'RAWDATA Cars Buyers DB'!K:K)&gt;54,"Old ",IF(_xlfn.XLOOKUP($A681,'RAWDATA Cars Buyers DB'!$A:$A,'RAWDATA Cars Buyers DB'!K:K)&gt;=31,"Middle Age ",IF(_xlfn.XLOOKUP($A681,'RAWDATA Cars Buyers DB'!$A:$A,'RAWDATA Cars Buyers DB'!K:K)&lt;31,"Adolescent","Invalid")))</f>
        <v xml:space="preserve">Middle Age </v>
      </c>
      <c r="M681" s="8" t="str">
        <f>_xlfn.XLOOKUP($A681,'RAWDATA Cars Buyers DB'!$A:$A,'RAWDATA Cars Buyers DB'!L:L)</f>
        <v>Yes</v>
      </c>
    </row>
    <row r="682" spans="1:13">
      <c r="A682" s="6">
        <v>57605</v>
      </c>
      <c r="B682" s="10" t="str">
        <f>IF(_xlfn.XLOOKUP($A682,'RAWDATA Cars Buyers DB'!$A:$A,'RAWDATA Cars Buyers DB'!B:B)="S","Single","Married")</f>
        <v>Single</v>
      </c>
      <c r="C682" s="10" t="str">
        <f>IF(_xlfn.XLOOKUP($A682,'RAWDATA Cars Buyers DB'!$A:$A,'RAWDATA Cars Buyers DB'!C:C)="F","Female","Male")</f>
        <v>Male</v>
      </c>
      <c r="D682" s="7">
        <f>_xlfn.XLOOKUP($A682,'RAWDATA Cars Buyers DB'!$A:$A,'RAWDATA Cars Buyers DB'!D:D)</f>
        <v>82522</v>
      </c>
      <c r="E682" s="8">
        <f>_xlfn.XLOOKUP($A682,'RAWDATA Cars Buyers DB'!$A:$A,'RAWDATA Cars Buyers DB'!E:E)</f>
        <v>4</v>
      </c>
      <c r="F682" s="8" t="str">
        <f>_xlfn.XLOOKUP($A682,'RAWDATA Cars Buyers DB'!$A:$A,'RAWDATA Cars Buyers DB'!F:F)</f>
        <v>Bachelors</v>
      </c>
      <c r="G682" s="8" t="str">
        <f>_xlfn.XLOOKUP($A682,'RAWDATA Cars Buyers DB'!$A:$A,'RAWDATA Cars Buyers DB'!G:G)</f>
        <v>Management</v>
      </c>
      <c r="H682" s="8" t="str">
        <f>_xlfn.XLOOKUP($A682,'RAWDATA Cars Buyers DB'!$A:$A,'RAWDATA Cars Buyers DB'!H:H)</f>
        <v>Yes</v>
      </c>
      <c r="I682" s="8" t="str">
        <f>_xlfn.XLOOKUP($A682,'RAWDATA Cars Buyers DB'!$A:$A,'RAWDATA Cars Buyers DB'!I:I)</f>
        <v>1–2 Kilometre</v>
      </c>
      <c r="J682" s="8" t="str">
        <f>_xlfn.XLOOKUP($A682,'RAWDATA Cars Buyers DB'!$A:$A,'RAWDATA Cars Buyers DB'!J:J)</f>
        <v>Brandenburg</v>
      </c>
      <c r="K682" s="8">
        <f>_xlfn.XLOOKUP($A682,'RAWDATA Cars Buyers DB'!$A:$A,'RAWDATA Cars Buyers DB'!K:K)</f>
        <v>27</v>
      </c>
      <c r="L682" s="10" t="str">
        <f>IF(_xlfn.XLOOKUP($A682,'RAWDATA Cars Buyers DB'!$A:$A,'RAWDATA Cars Buyers DB'!K:K)&gt;54,"Old ",IF(_xlfn.XLOOKUP($A682,'RAWDATA Cars Buyers DB'!$A:$A,'RAWDATA Cars Buyers DB'!K:K)&gt;=31,"Middle Age ",IF(_xlfn.XLOOKUP($A682,'RAWDATA Cars Buyers DB'!$A:$A,'RAWDATA Cars Buyers DB'!K:K)&lt;31,"Adolescent","Invalid")))</f>
        <v>Adolescent</v>
      </c>
      <c r="M682" s="8" t="str">
        <f>_xlfn.XLOOKUP($A682,'RAWDATA Cars Buyers DB'!$A:$A,'RAWDATA Cars Buyers DB'!L:L)</f>
        <v>No</v>
      </c>
    </row>
    <row r="683" spans="1:13">
      <c r="A683" s="6">
        <v>48088</v>
      </c>
      <c r="B683" s="10" t="str">
        <f>IF(_xlfn.XLOOKUP($A683,'RAWDATA Cars Buyers DB'!$A:$A,'RAWDATA Cars Buyers DB'!B:B)="S","Single","Married")</f>
        <v>Single</v>
      </c>
      <c r="C683" s="10" t="str">
        <f>IF(_xlfn.XLOOKUP($A683,'RAWDATA Cars Buyers DB'!$A:$A,'RAWDATA Cars Buyers DB'!C:C)="F","Female","Male")</f>
        <v>Female</v>
      </c>
      <c r="D683" s="7">
        <f>_xlfn.XLOOKUP($A683,'RAWDATA Cars Buyers DB'!$A:$A,'RAWDATA Cars Buyers DB'!D:D)</f>
        <v>65671</v>
      </c>
      <c r="E683" s="8">
        <f>_xlfn.XLOOKUP($A683,'RAWDATA Cars Buyers DB'!$A:$A,'RAWDATA Cars Buyers DB'!E:E)</f>
        <v>5</v>
      </c>
      <c r="F683" s="8" t="str">
        <f>_xlfn.XLOOKUP($A683,'RAWDATA Cars Buyers DB'!$A:$A,'RAWDATA Cars Buyers DB'!F:F)</f>
        <v>High School</v>
      </c>
      <c r="G683" s="8" t="str">
        <f>_xlfn.XLOOKUP($A683,'RAWDATA Cars Buyers DB'!$A:$A,'RAWDATA Cars Buyers DB'!G:G)</f>
        <v>Management</v>
      </c>
      <c r="H683" s="8" t="str">
        <f>_xlfn.XLOOKUP($A683,'RAWDATA Cars Buyers DB'!$A:$A,'RAWDATA Cars Buyers DB'!H:H)</f>
        <v>Yes</v>
      </c>
      <c r="I683" s="8" t="str">
        <f>_xlfn.XLOOKUP($A683,'RAWDATA Cars Buyers DB'!$A:$A,'RAWDATA Cars Buyers DB'!I:I)</f>
        <v>0–1 Kilometre</v>
      </c>
      <c r="J683" s="8" t="str">
        <f>_xlfn.XLOOKUP($A683,'RAWDATA Cars Buyers DB'!$A:$A,'RAWDATA Cars Buyers DB'!J:J)</f>
        <v>Schleswig-Holstein</v>
      </c>
      <c r="K683" s="8">
        <f>_xlfn.XLOOKUP($A683,'RAWDATA Cars Buyers DB'!$A:$A,'RAWDATA Cars Buyers DB'!K:K)</f>
        <v>24</v>
      </c>
      <c r="L683" s="10" t="str">
        <f>IF(_xlfn.XLOOKUP($A683,'RAWDATA Cars Buyers DB'!$A:$A,'RAWDATA Cars Buyers DB'!K:K)&gt;54,"Old ",IF(_xlfn.XLOOKUP($A683,'RAWDATA Cars Buyers DB'!$A:$A,'RAWDATA Cars Buyers DB'!K:K)&gt;=31,"Middle Age ",IF(_xlfn.XLOOKUP($A683,'RAWDATA Cars Buyers DB'!$A:$A,'RAWDATA Cars Buyers DB'!K:K)&lt;31,"Adolescent","Invalid")))</f>
        <v>Adolescent</v>
      </c>
      <c r="M683" s="8" t="str">
        <f>_xlfn.XLOOKUP($A683,'RAWDATA Cars Buyers DB'!$A:$A,'RAWDATA Cars Buyers DB'!L:L)</f>
        <v>Yes</v>
      </c>
    </row>
    <row r="684" spans="1:13">
      <c r="A684" s="6">
        <v>88752</v>
      </c>
      <c r="B684" s="10" t="str">
        <f>IF(_xlfn.XLOOKUP($A684,'RAWDATA Cars Buyers DB'!$A:$A,'RAWDATA Cars Buyers DB'!B:B)="S","Single","Married")</f>
        <v>Married</v>
      </c>
      <c r="C684" s="10" t="str">
        <f>IF(_xlfn.XLOOKUP($A684,'RAWDATA Cars Buyers DB'!$A:$A,'RAWDATA Cars Buyers DB'!C:C)="F","Female","Male")</f>
        <v>Female</v>
      </c>
      <c r="D684" s="7">
        <f>_xlfn.XLOOKUP($A684,'RAWDATA Cars Buyers DB'!$A:$A,'RAWDATA Cars Buyers DB'!D:D)</f>
        <v>110306</v>
      </c>
      <c r="E684" s="8">
        <f>_xlfn.XLOOKUP($A684,'RAWDATA Cars Buyers DB'!$A:$A,'RAWDATA Cars Buyers DB'!E:E)</f>
        <v>1</v>
      </c>
      <c r="F684" s="8" t="str">
        <f>_xlfn.XLOOKUP($A684,'RAWDATA Cars Buyers DB'!$A:$A,'RAWDATA Cars Buyers DB'!F:F)</f>
        <v>High School</v>
      </c>
      <c r="G684" s="8" t="str">
        <f>_xlfn.XLOOKUP($A684,'RAWDATA Cars Buyers DB'!$A:$A,'RAWDATA Cars Buyers DB'!G:G)</f>
        <v>Clerical</v>
      </c>
      <c r="H684" s="8" t="str">
        <f>_xlfn.XLOOKUP($A684,'RAWDATA Cars Buyers DB'!$A:$A,'RAWDATA Cars Buyers DB'!H:H)</f>
        <v>Yes</v>
      </c>
      <c r="I684" s="8" t="str">
        <f>_xlfn.XLOOKUP($A684,'RAWDATA Cars Buyers DB'!$A:$A,'RAWDATA Cars Buyers DB'!I:I)</f>
        <v>6+ Kilometre</v>
      </c>
      <c r="J684" s="8" t="str">
        <f>_xlfn.XLOOKUP($A684,'RAWDATA Cars Buyers DB'!$A:$A,'RAWDATA Cars Buyers DB'!J:J)</f>
        <v>Saxony</v>
      </c>
      <c r="K684" s="8">
        <f>_xlfn.XLOOKUP($A684,'RAWDATA Cars Buyers DB'!$A:$A,'RAWDATA Cars Buyers DB'!K:K)</f>
        <v>31</v>
      </c>
      <c r="L684" s="10" t="str">
        <f>IF(_xlfn.XLOOKUP($A684,'RAWDATA Cars Buyers DB'!$A:$A,'RAWDATA Cars Buyers DB'!K:K)&gt;54,"Old ",IF(_xlfn.XLOOKUP($A684,'RAWDATA Cars Buyers DB'!$A:$A,'RAWDATA Cars Buyers DB'!K:K)&gt;=31,"Middle Age ",IF(_xlfn.XLOOKUP($A684,'RAWDATA Cars Buyers DB'!$A:$A,'RAWDATA Cars Buyers DB'!K:K)&lt;31,"Adolescent","Invalid")))</f>
        <v xml:space="preserve">Middle Age </v>
      </c>
      <c r="M684" s="8" t="str">
        <f>_xlfn.XLOOKUP($A684,'RAWDATA Cars Buyers DB'!$A:$A,'RAWDATA Cars Buyers DB'!L:L)</f>
        <v>Yes</v>
      </c>
    </row>
    <row r="685" spans="1:13">
      <c r="A685" s="6">
        <v>65284</v>
      </c>
      <c r="B685" s="10" t="str">
        <f>IF(_xlfn.XLOOKUP($A685,'RAWDATA Cars Buyers DB'!$A:$A,'RAWDATA Cars Buyers DB'!B:B)="S","Single","Married")</f>
        <v>Married</v>
      </c>
      <c r="C685" s="10" t="str">
        <f>IF(_xlfn.XLOOKUP($A685,'RAWDATA Cars Buyers DB'!$A:$A,'RAWDATA Cars Buyers DB'!C:C)="F","Female","Male")</f>
        <v>Female</v>
      </c>
      <c r="D685" s="7">
        <f>_xlfn.XLOOKUP($A685,'RAWDATA Cars Buyers DB'!$A:$A,'RAWDATA Cars Buyers DB'!D:D)</f>
        <v>114108</v>
      </c>
      <c r="E685" s="8">
        <f>_xlfn.XLOOKUP($A685,'RAWDATA Cars Buyers DB'!$A:$A,'RAWDATA Cars Buyers DB'!E:E)</f>
        <v>1</v>
      </c>
      <c r="F685" s="8" t="str">
        <f>_xlfn.XLOOKUP($A685,'RAWDATA Cars Buyers DB'!$A:$A,'RAWDATA Cars Buyers DB'!F:F)</f>
        <v>Graduate Degree</v>
      </c>
      <c r="G685" s="8" t="str">
        <f>_xlfn.XLOOKUP($A685,'RAWDATA Cars Buyers DB'!$A:$A,'RAWDATA Cars Buyers DB'!G:G)</f>
        <v>Clerical</v>
      </c>
      <c r="H685" s="8" t="str">
        <f>_xlfn.XLOOKUP($A685,'RAWDATA Cars Buyers DB'!$A:$A,'RAWDATA Cars Buyers DB'!H:H)</f>
        <v>No</v>
      </c>
      <c r="I685" s="8" t="str">
        <f>_xlfn.XLOOKUP($A685,'RAWDATA Cars Buyers DB'!$A:$A,'RAWDATA Cars Buyers DB'!I:I)</f>
        <v>1–2 Kilometre</v>
      </c>
      <c r="J685" s="8" t="str">
        <f>_xlfn.XLOOKUP($A685,'RAWDATA Cars Buyers DB'!$A:$A,'RAWDATA Cars Buyers DB'!J:J)</f>
        <v>Saxony</v>
      </c>
      <c r="K685" s="8">
        <f>_xlfn.XLOOKUP($A685,'RAWDATA Cars Buyers DB'!$A:$A,'RAWDATA Cars Buyers DB'!K:K)</f>
        <v>60</v>
      </c>
      <c r="L685" s="10" t="str">
        <f>IF(_xlfn.XLOOKUP($A685,'RAWDATA Cars Buyers DB'!$A:$A,'RAWDATA Cars Buyers DB'!K:K)&gt;54,"Old ",IF(_xlfn.XLOOKUP($A685,'RAWDATA Cars Buyers DB'!$A:$A,'RAWDATA Cars Buyers DB'!K:K)&gt;=31,"Middle Age ",IF(_xlfn.XLOOKUP($A685,'RAWDATA Cars Buyers DB'!$A:$A,'RAWDATA Cars Buyers DB'!K:K)&lt;31,"Adolescent","Invalid")))</f>
        <v xml:space="preserve">Old </v>
      </c>
      <c r="M685" s="8" t="str">
        <f>_xlfn.XLOOKUP($A685,'RAWDATA Cars Buyers DB'!$A:$A,'RAWDATA Cars Buyers DB'!L:L)</f>
        <v>Yes</v>
      </c>
    </row>
    <row r="686" spans="1:13">
      <c r="A686" s="6">
        <v>67043</v>
      </c>
      <c r="B686" s="10" t="str">
        <f>IF(_xlfn.XLOOKUP($A686,'RAWDATA Cars Buyers DB'!$A:$A,'RAWDATA Cars Buyers DB'!B:B)="S","Single","Married")</f>
        <v>Married</v>
      </c>
      <c r="C686" s="10" t="str">
        <f>IF(_xlfn.XLOOKUP($A686,'RAWDATA Cars Buyers DB'!$A:$A,'RAWDATA Cars Buyers DB'!C:C)="F","Female","Male")</f>
        <v>Male</v>
      </c>
      <c r="D686" s="7">
        <f>_xlfn.XLOOKUP($A686,'RAWDATA Cars Buyers DB'!$A:$A,'RAWDATA Cars Buyers DB'!D:D)</f>
        <v>22204</v>
      </c>
      <c r="E686" s="8">
        <f>_xlfn.XLOOKUP($A686,'RAWDATA Cars Buyers DB'!$A:$A,'RAWDATA Cars Buyers DB'!E:E)</f>
        <v>2</v>
      </c>
      <c r="F686" s="8" t="str">
        <f>_xlfn.XLOOKUP($A686,'RAWDATA Cars Buyers DB'!$A:$A,'RAWDATA Cars Buyers DB'!F:F)</f>
        <v>Graduate Degree</v>
      </c>
      <c r="G686" s="8" t="str">
        <f>_xlfn.XLOOKUP($A686,'RAWDATA Cars Buyers DB'!$A:$A,'RAWDATA Cars Buyers DB'!G:G)</f>
        <v>Clerical</v>
      </c>
      <c r="H686" s="8" t="str">
        <f>_xlfn.XLOOKUP($A686,'RAWDATA Cars Buyers DB'!$A:$A,'RAWDATA Cars Buyers DB'!H:H)</f>
        <v>Yes</v>
      </c>
      <c r="I686" s="8" t="str">
        <f>_xlfn.XLOOKUP($A686,'RAWDATA Cars Buyers DB'!$A:$A,'RAWDATA Cars Buyers DB'!I:I)</f>
        <v>4–6 Kilometre</v>
      </c>
      <c r="J686" s="8" t="str">
        <f>_xlfn.XLOOKUP($A686,'RAWDATA Cars Buyers DB'!$A:$A,'RAWDATA Cars Buyers DB'!J:J)</f>
        <v>Saarland</v>
      </c>
      <c r="K686" s="8">
        <f>_xlfn.XLOOKUP($A686,'RAWDATA Cars Buyers DB'!$A:$A,'RAWDATA Cars Buyers DB'!K:K)</f>
        <v>22</v>
      </c>
      <c r="L686" s="10" t="str">
        <f>IF(_xlfn.XLOOKUP($A686,'RAWDATA Cars Buyers DB'!$A:$A,'RAWDATA Cars Buyers DB'!K:K)&gt;54,"Old ",IF(_xlfn.XLOOKUP($A686,'RAWDATA Cars Buyers DB'!$A:$A,'RAWDATA Cars Buyers DB'!K:K)&gt;=31,"Middle Age ",IF(_xlfn.XLOOKUP($A686,'RAWDATA Cars Buyers DB'!$A:$A,'RAWDATA Cars Buyers DB'!K:K)&lt;31,"Adolescent","Invalid")))</f>
        <v>Adolescent</v>
      </c>
      <c r="M686" s="8" t="str">
        <f>_xlfn.XLOOKUP($A686,'RAWDATA Cars Buyers DB'!$A:$A,'RAWDATA Cars Buyers DB'!L:L)</f>
        <v>No</v>
      </c>
    </row>
    <row r="687" spans="1:13">
      <c r="A687" s="6">
        <v>45547</v>
      </c>
      <c r="B687" s="10" t="str">
        <f>IF(_xlfn.XLOOKUP($A687,'RAWDATA Cars Buyers DB'!$A:$A,'RAWDATA Cars Buyers DB'!B:B)="S","Single","Married")</f>
        <v>Married</v>
      </c>
      <c r="C687" s="10" t="str">
        <f>IF(_xlfn.XLOOKUP($A687,'RAWDATA Cars Buyers DB'!$A:$A,'RAWDATA Cars Buyers DB'!C:C)="F","Female","Male")</f>
        <v>Male</v>
      </c>
      <c r="D687" s="7">
        <f>_xlfn.XLOOKUP($A687,'RAWDATA Cars Buyers DB'!$A:$A,'RAWDATA Cars Buyers DB'!D:D)</f>
        <v>112769</v>
      </c>
      <c r="E687" s="8">
        <f>_xlfn.XLOOKUP($A687,'RAWDATA Cars Buyers DB'!$A:$A,'RAWDATA Cars Buyers DB'!E:E)</f>
        <v>0</v>
      </c>
      <c r="F687" s="8" t="str">
        <f>_xlfn.XLOOKUP($A687,'RAWDATA Cars Buyers DB'!$A:$A,'RAWDATA Cars Buyers DB'!F:F)</f>
        <v>High School</v>
      </c>
      <c r="G687" s="8" t="str">
        <f>_xlfn.XLOOKUP($A687,'RAWDATA Cars Buyers DB'!$A:$A,'RAWDATA Cars Buyers DB'!G:G)</f>
        <v>Professional</v>
      </c>
      <c r="H687" s="8" t="str">
        <f>_xlfn.XLOOKUP($A687,'RAWDATA Cars Buyers DB'!$A:$A,'RAWDATA Cars Buyers DB'!H:H)</f>
        <v>No</v>
      </c>
      <c r="I687" s="8" t="str">
        <f>_xlfn.XLOOKUP($A687,'RAWDATA Cars Buyers DB'!$A:$A,'RAWDATA Cars Buyers DB'!I:I)</f>
        <v>4–6 Kilometre</v>
      </c>
      <c r="J687" s="8" t="str">
        <f>_xlfn.XLOOKUP($A687,'RAWDATA Cars Buyers DB'!$A:$A,'RAWDATA Cars Buyers DB'!J:J)</f>
        <v>Mecklenburg-Vorpommern</v>
      </c>
      <c r="K687" s="8">
        <f>_xlfn.XLOOKUP($A687,'RAWDATA Cars Buyers DB'!$A:$A,'RAWDATA Cars Buyers DB'!K:K)</f>
        <v>54</v>
      </c>
      <c r="L687" s="10" t="str">
        <f>IF(_xlfn.XLOOKUP($A687,'RAWDATA Cars Buyers DB'!$A:$A,'RAWDATA Cars Buyers DB'!K:K)&gt;54,"Old ",IF(_xlfn.XLOOKUP($A687,'RAWDATA Cars Buyers DB'!$A:$A,'RAWDATA Cars Buyers DB'!K:K)&gt;=31,"Middle Age ",IF(_xlfn.XLOOKUP($A687,'RAWDATA Cars Buyers DB'!$A:$A,'RAWDATA Cars Buyers DB'!K:K)&lt;31,"Adolescent","Invalid")))</f>
        <v xml:space="preserve">Middle Age </v>
      </c>
      <c r="M687" s="8" t="str">
        <f>_xlfn.XLOOKUP($A687,'RAWDATA Cars Buyers DB'!$A:$A,'RAWDATA Cars Buyers DB'!L:L)</f>
        <v>No</v>
      </c>
    </row>
    <row r="688" spans="1:13">
      <c r="A688" s="6">
        <v>92844</v>
      </c>
      <c r="B688" s="10" t="str">
        <f>IF(_xlfn.XLOOKUP($A688,'RAWDATA Cars Buyers DB'!$A:$A,'RAWDATA Cars Buyers DB'!B:B)="S","Single","Married")</f>
        <v>Married</v>
      </c>
      <c r="C688" s="10" t="str">
        <f>IF(_xlfn.XLOOKUP($A688,'RAWDATA Cars Buyers DB'!$A:$A,'RAWDATA Cars Buyers DB'!C:C)="F","Female","Male")</f>
        <v>Female</v>
      </c>
      <c r="D688" s="7">
        <f>_xlfn.XLOOKUP($A688,'RAWDATA Cars Buyers DB'!$A:$A,'RAWDATA Cars Buyers DB'!D:D)</f>
        <v>107265</v>
      </c>
      <c r="E688" s="8">
        <f>_xlfn.XLOOKUP($A688,'RAWDATA Cars Buyers DB'!$A:$A,'RAWDATA Cars Buyers DB'!E:E)</f>
        <v>5</v>
      </c>
      <c r="F688" s="8" t="str">
        <f>_xlfn.XLOOKUP($A688,'RAWDATA Cars Buyers DB'!$A:$A,'RAWDATA Cars Buyers DB'!F:F)</f>
        <v>Graduate Degree</v>
      </c>
      <c r="G688" s="8" t="str">
        <f>_xlfn.XLOOKUP($A688,'RAWDATA Cars Buyers DB'!$A:$A,'RAWDATA Cars Buyers DB'!G:G)</f>
        <v>Management</v>
      </c>
      <c r="H688" s="8" t="str">
        <f>_xlfn.XLOOKUP($A688,'RAWDATA Cars Buyers DB'!$A:$A,'RAWDATA Cars Buyers DB'!H:H)</f>
        <v>Yes</v>
      </c>
      <c r="I688" s="8" t="str">
        <f>_xlfn.XLOOKUP($A688,'RAWDATA Cars Buyers DB'!$A:$A,'RAWDATA Cars Buyers DB'!I:I)</f>
        <v>6+ Kilometre</v>
      </c>
      <c r="J688" s="8" t="str">
        <f>_xlfn.XLOOKUP($A688,'RAWDATA Cars Buyers DB'!$A:$A,'RAWDATA Cars Buyers DB'!J:J)</f>
        <v>Saxony</v>
      </c>
      <c r="K688" s="8">
        <f>_xlfn.XLOOKUP($A688,'RAWDATA Cars Buyers DB'!$A:$A,'RAWDATA Cars Buyers DB'!K:K)</f>
        <v>52</v>
      </c>
      <c r="L688" s="10" t="str">
        <f>IF(_xlfn.XLOOKUP($A688,'RAWDATA Cars Buyers DB'!$A:$A,'RAWDATA Cars Buyers DB'!K:K)&gt;54,"Old ",IF(_xlfn.XLOOKUP($A688,'RAWDATA Cars Buyers DB'!$A:$A,'RAWDATA Cars Buyers DB'!K:K)&gt;=31,"Middle Age ",IF(_xlfn.XLOOKUP($A688,'RAWDATA Cars Buyers DB'!$A:$A,'RAWDATA Cars Buyers DB'!K:K)&lt;31,"Adolescent","Invalid")))</f>
        <v xml:space="preserve">Middle Age </v>
      </c>
      <c r="M688" s="8" t="str">
        <f>_xlfn.XLOOKUP($A688,'RAWDATA Cars Buyers DB'!$A:$A,'RAWDATA Cars Buyers DB'!L:L)</f>
        <v>No</v>
      </c>
    </row>
    <row r="689" spans="1:13">
      <c r="A689" s="6">
        <v>37532</v>
      </c>
      <c r="B689" s="10" t="str">
        <f>IF(_xlfn.XLOOKUP($A689,'RAWDATA Cars Buyers DB'!$A:$A,'RAWDATA Cars Buyers DB'!B:B)="S","Single","Married")</f>
        <v>Married</v>
      </c>
      <c r="C689" s="10" t="str">
        <f>IF(_xlfn.XLOOKUP($A689,'RAWDATA Cars Buyers DB'!$A:$A,'RAWDATA Cars Buyers DB'!C:C)="F","Female","Male")</f>
        <v>Female</v>
      </c>
      <c r="D689" s="7">
        <f>_xlfn.XLOOKUP($A689,'RAWDATA Cars Buyers DB'!$A:$A,'RAWDATA Cars Buyers DB'!D:D)</f>
        <v>51131</v>
      </c>
      <c r="E689" s="8">
        <f>_xlfn.XLOOKUP($A689,'RAWDATA Cars Buyers DB'!$A:$A,'RAWDATA Cars Buyers DB'!E:E)</f>
        <v>4</v>
      </c>
      <c r="F689" s="8" t="str">
        <f>_xlfn.XLOOKUP($A689,'RAWDATA Cars Buyers DB'!$A:$A,'RAWDATA Cars Buyers DB'!F:F)</f>
        <v>High School</v>
      </c>
      <c r="G689" s="8" t="str">
        <f>_xlfn.XLOOKUP($A689,'RAWDATA Cars Buyers DB'!$A:$A,'RAWDATA Cars Buyers DB'!G:G)</f>
        <v>Clerical</v>
      </c>
      <c r="H689" s="8" t="str">
        <f>_xlfn.XLOOKUP($A689,'RAWDATA Cars Buyers DB'!$A:$A,'RAWDATA Cars Buyers DB'!H:H)</f>
        <v>Yes</v>
      </c>
      <c r="I689" s="8" t="str">
        <f>_xlfn.XLOOKUP($A689,'RAWDATA Cars Buyers DB'!$A:$A,'RAWDATA Cars Buyers DB'!I:I)</f>
        <v>1–2 Kilometre</v>
      </c>
      <c r="J689" s="8" t="str">
        <f>_xlfn.XLOOKUP($A689,'RAWDATA Cars Buyers DB'!$A:$A,'RAWDATA Cars Buyers DB'!J:J)</f>
        <v>Baden-Württemberg</v>
      </c>
      <c r="K689" s="8">
        <f>_xlfn.XLOOKUP($A689,'RAWDATA Cars Buyers DB'!$A:$A,'RAWDATA Cars Buyers DB'!K:K)</f>
        <v>41</v>
      </c>
      <c r="L689" s="10" t="str">
        <f>IF(_xlfn.XLOOKUP($A689,'RAWDATA Cars Buyers DB'!$A:$A,'RAWDATA Cars Buyers DB'!K:K)&gt;54,"Old ",IF(_xlfn.XLOOKUP($A689,'RAWDATA Cars Buyers DB'!$A:$A,'RAWDATA Cars Buyers DB'!K:K)&gt;=31,"Middle Age ",IF(_xlfn.XLOOKUP($A689,'RAWDATA Cars Buyers DB'!$A:$A,'RAWDATA Cars Buyers DB'!K:K)&lt;31,"Adolescent","Invalid")))</f>
        <v xml:space="preserve">Middle Age </v>
      </c>
      <c r="M689" s="8" t="str">
        <f>_xlfn.XLOOKUP($A689,'RAWDATA Cars Buyers DB'!$A:$A,'RAWDATA Cars Buyers DB'!L:L)</f>
        <v>Yes</v>
      </c>
    </row>
    <row r="690" spans="1:13">
      <c r="A690" s="6">
        <v>44349</v>
      </c>
      <c r="B690" s="10" t="str">
        <f>IF(_xlfn.XLOOKUP($A690,'RAWDATA Cars Buyers DB'!$A:$A,'RAWDATA Cars Buyers DB'!B:B)="S","Single","Married")</f>
        <v>Married</v>
      </c>
      <c r="C690" s="10" t="str">
        <f>IF(_xlfn.XLOOKUP($A690,'RAWDATA Cars Buyers DB'!$A:$A,'RAWDATA Cars Buyers DB'!C:C)="F","Female","Male")</f>
        <v>Female</v>
      </c>
      <c r="D690" s="7">
        <f>_xlfn.XLOOKUP($A690,'RAWDATA Cars Buyers DB'!$A:$A,'RAWDATA Cars Buyers DB'!D:D)</f>
        <v>72428</v>
      </c>
      <c r="E690" s="8">
        <f>_xlfn.XLOOKUP($A690,'RAWDATA Cars Buyers DB'!$A:$A,'RAWDATA Cars Buyers DB'!E:E)</f>
        <v>5</v>
      </c>
      <c r="F690" s="8" t="str">
        <f>_xlfn.XLOOKUP($A690,'RAWDATA Cars Buyers DB'!$A:$A,'RAWDATA Cars Buyers DB'!F:F)</f>
        <v>Partial College</v>
      </c>
      <c r="G690" s="8" t="str">
        <f>_xlfn.XLOOKUP($A690,'RAWDATA Cars Buyers DB'!$A:$A,'RAWDATA Cars Buyers DB'!G:G)</f>
        <v>Skilled Manual</v>
      </c>
      <c r="H690" s="8" t="str">
        <f>_xlfn.XLOOKUP($A690,'RAWDATA Cars Buyers DB'!$A:$A,'RAWDATA Cars Buyers DB'!H:H)</f>
        <v>Yes</v>
      </c>
      <c r="I690" s="8" t="str">
        <f>_xlfn.XLOOKUP($A690,'RAWDATA Cars Buyers DB'!$A:$A,'RAWDATA Cars Buyers DB'!I:I)</f>
        <v>4–6 Kilometre</v>
      </c>
      <c r="J690" s="8" t="str">
        <f>_xlfn.XLOOKUP($A690,'RAWDATA Cars Buyers DB'!$A:$A,'RAWDATA Cars Buyers DB'!J:J)</f>
        <v>Berlin</v>
      </c>
      <c r="K690" s="8">
        <f>_xlfn.XLOOKUP($A690,'RAWDATA Cars Buyers DB'!$A:$A,'RAWDATA Cars Buyers DB'!K:K)</f>
        <v>69</v>
      </c>
      <c r="L690" s="10" t="str">
        <f>IF(_xlfn.XLOOKUP($A690,'RAWDATA Cars Buyers DB'!$A:$A,'RAWDATA Cars Buyers DB'!K:K)&gt;54,"Old ",IF(_xlfn.XLOOKUP($A690,'RAWDATA Cars Buyers DB'!$A:$A,'RAWDATA Cars Buyers DB'!K:K)&gt;=31,"Middle Age ",IF(_xlfn.XLOOKUP($A690,'RAWDATA Cars Buyers DB'!$A:$A,'RAWDATA Cars Buyers DB'!K:K)&lt;31,"Adolescent","Invalid")))</f>
        <v xml:space="preserve">Old </v>
      </c>
      <c r="M690" s="8" t="str">
        <f>_xlfn.XLOOKUP($A690,'RAWDATA Cars Buyers DB'!$A:$A,'RAWDATA Cars Buyers DB'!L:L)</f>
        <v>No</v>
      </c>
    </row>
    <row r="691" spans="1:13">
      <c r="A691" s="6">
        <v>55445</v>
      </c>
      <c r="B691" s="10" t="str">
        <f>IF(_xlfn.XLOOKUP($A691,'RAWDATA Cars Buyers DB'!$A:$A,'RAWDATA Cars Buyers DB'!B:B)="S","Single","Married")</f>
        <v>Single</v>
      </c>
      <c r="C691" s="10" t="str">
        <f>IF(_xlfn.XLOOKUP($A691,'RAWDATA Cars Buyers DB'!$A:$A,'RAWDATA Cars Buyers DB'!C:C)="F","Female","Male")</f>
        <v>Female</v>
      </c>
      <c r="D691" s="7">
        <f>_xlfn.XLOOKUP($A691,'RAWDATA Cars Buyers DB'!$A:$A,'RAWDATA Cars Buyers DB'!D:D)</f>
        <v>53870</v>
      </c>
      <c r="E691" s="8">
        <f>_xlfn.XLOOKUP($A691,'RAWDATA Cars Buyers DB'!$A:$A,'RAWDATA Cars Buyers DB'!E:E)</f>
        <v>2</v>
      </c>
      <c r="F691" s="8" t="str">
        <f>_xlfn.XLOOKUP($A691,'RAWDATA Cars Buyers DB'!$A:$A,'RAWDATA Cars Buyers DB'!F:F)</f>
        <v>Graduate Degree</v>
      </c>
      <c r="G691" s="8" t="str">
        <f>_xlfn.XLOOKUP($A691,'RAWDATA Cars Buyers DB'!$A:$A,'RAWDATA Cars Buyers DB'!G:G)</f>
        <v>Clerical</v>
      </c>
      <c r="H691" s="8" t="str">
        <f>_xlfn.XLOOKUP($A691,'RAWDATA Cars Buyers DB'!$A:$A,'RAWDATA Cars Buyers DB'!H:H)</f>
        <v>Yes</v>
      </c>
      <c r="I691" s="8" t="str">
        <f>_xlfn.XLOOKUP($A691,'RAWDATA Cars Buyers DB'!$A:$A,'RAWDATA Cars Buyers DB'!I:I)</f>
        <v>1–2 Kilometre</v>
      </c>
      <c r="J691" s="8" t="str">
        <f>_xlfn.XLOOKUP($A691,'RAWDATA Cars Buyers DB'!$A:$A,'RAWDATA Cars Buyers DB'!J:J)</f>
        <v>Thuringia</v>
      </c>
      <c r="K691" s="8">
        <f>_xlfn.XLOOKUP($A691,'RAWDATA Cars Buyers DB'!$A:$A,'RAWDATA Cars Buyers DB'!K:K)</f>
        <v>63</v>
      </c>
      <c r="L691" s="10" t="str">
        <f>IF(_xlfn.XLOOKUP($A691,'RAWDATA Cars Buyers DB'!$A:$A,'RAWDATA Cars Buyers DB'!K:K)&gt;54,"Old ",IF(_xlfn.XLOOKUP($A691,'RAWDATA Cars Buyers DB'!$A:$A,'RAWDATA Cars Buyers DB'!K:K)&gt;=31,"Middle Age ",IF(_xlfn.XLOOKUP($A691,'RAWDATA Cars Buyers DB'!$A:$A,'RAWDATA Cars Buyers DB'!K:K)&lt;31,"Adolescent","Invalid")))</f>
        <v xml:space="preserve">Old </v>
      </c>
      <c r="M691" s="8" t="str">
        <f>_xlfn.XLOOKUP($A691,'RAWDATA Cars Buyers DB'!$A:$A,'RAWDATA Cars Buyers DB'!L:L)</f>
        <v>No</v>
      </c>
    </row>
    <row r="692" spans="1:13">
      <c r="A692" s="6">
        <v>15713</v>
      </c>
      <c r="B692" s="10" t="str">
        <f>IF(_xlfn.XLOOKUP($A692,'RAWDATA Cars Buyers DB'!$A:$A,'RAWDATA Cars Buyers DB'!B:B)="S","Single","Married")</f>
        <v>Single</v>
      </c>
      <c r="C692" s="10" t="str">
        <f>IF(_xlfn.XLOOKUP($A692,'RAWDATA Cars Buyers DB'!$A:$A,'RAWDATA Cars Buyers DB'!C:C)="F","Female","Male")</f>
        <v>Female</v>
      </c>
      <c r="D692" s="7">
        <f>_xlfn.XLOOKUP($A692,'RAWDATA Cars Buyers DB'!$A:$A,'RAWDATA Cars Buyers DB'!D:D)</f>
        <v>69067</v>
      </c>
      <c r="E692" s="8">
        <f>_xlfn.XLOOKUP($A692,'RAWDATA Cars Buyers DB'!$A:$A,'RAWDATA Cars Buyers DB'!E:E)</f>
        <v>3</v>
      </c>
      <c r="F692" s="8" t="str">
        <f>_xlfn.XLOOKUP($A692,'RAWDATA Cars Buyers DB'!$A:$A,'RAWDATA Cars Buyers DB'!F:F)</f>
        <v>Graduate Degree</v>
      </c>
      <c r="G692" s="8" t="str">
        <f>_xlfn.XLOOKUP($A692,'RAWDATA Cars Buyers DB'!$A:$A,'RAWDATA Cars Buyers DB'!G:G)</f>
        <v>Management</v>
      </c>
      <c r="H692" s="8" t="str">
        <f>_xlfn.XLOOKUP($A692,'RAWDATA Cars Buyers DB'!$A:$A,'RAWDATA Cars Buyers DB'!H:H)</f>
        <v>Yes</v>
      </c>
      <c r="I692" s="8" t="str">
        <f>_xlfn.XLOOKUP($A692,'RAWDATA Cars Buyers DB'!$A:$A,'RAWDATA Cars Buyers DB'!I:I)</f>
        <v>1–2 Kilometre</v>
      </c>
      <c r="J692" s="8" t="str">
        <f>_xlfn.XLOOKUP($A692,'RAWDATA Cars Buyers DB'!$A:$A,'RAWDATA Cars Buyers DB'!J:J)</f>
        <v>Rhineland-Palatinate</v>
      </c>
      <c r="K692" s="8">
        <f>_xlfn.XLOOKUP($A692,'RAWDATA Cars Buyers DB'!$A:$A,'RAWDATA Cars Buyers DB'!K:K)</f>
        <v>28</v>
      </c>
      <c r="L692" s="10" t="str">
        <f>IF(_xlfn.XLOOKUP($A692,'RAWDATA Cars Buyers DB'!$A:$A,'RAWDATA Cars Buyers DB'!K:K)&gt;54,"Old ",IF(_xlfn.XLOOKUP($A692,'RAWDATA Cars Buyers DB'!$A:$A,'RAWDATA Cars Buyers DB'!K:K)&gt;=31,"Middle Age ",IF(_xlfn.XLOOKUP($A692,'RAWDATA Cars Buyers DB'!$A:$A,'RAWDATA Cars Buyers DB'!K:K)&lt;31,"Adolescent","Invalid")))</f>
        <v>Adolescent</v>
      </c>
      <c r="M692" s="8" t="str">
        <f>_xlfn.XLOOKUP($A692,'RAWDATA Cars Buyers DB'!$A:$A,'RAWDATA Cars Buyers DB'!L:L)</f>
        <v>No</v>
      </c>
    </row>
    <row r="693" spans="1:13">
      <c r="A693" s="6">
        <v>66178</v>
      </c>
      <c r="B693" s="10" t="str">
        <f>IF(_xlfn.XLOOKUP($A693,'RAWDATA Cars Buyers DB'!$A:$A,'RAWDATA Cars Buyers DB'!B:B)="S","Single","Married")</f>
        <v>Married</v>
      </c>
      <c r="C693" s="10" t="str">
        <f>IF(_xlfn.XLOOKUP($A693,'RAWDATA Cars Buyers DB'!$A:$A,'RAWDATA Cars Buyers DB'!C:C)="F","Female","Male")</f>
        <v>Male</v>
      </c>
      <c r="D693" s="7">
        <f>_xlfn.XLOOKUP($A693,'RAWDATA Cars Buyers DB'!$A:$A,'RAWDATA Cars Buyers DB'!D:D)</f>
        <v>78585</v>
      </c>
      <c r="E693" s="8">
        <f>_xlfn.XLOOKUP($A693,'RAWDATA Cars Buyers DB'!$A:$A,'RAWDATA Cars Buyers DB'!E:E)</f>
        <v>3</v>
      </c>
      <c r="F693" s="8" t="str">
        <f>_xlfn.XLOOKUP($A693,'RAWDATA Cars Buyers DB'!$A:$A,'RAWDATA Cars Buyers DB'!F:F)</f>
        <v>Graduate Degree</v>
      </c>
      <c r="G693" s="8" t="str">
        <f>_xlfn.XLOOKUP($A693,'RAWDATA Cars Buyers DB'!$A:$A,'RAWDATA Cars Buyers DB'!G:G)</f>
        <v>Clerical</v>
      </c>
      <c r="H693" s="8" t="str">
        <f>_xlfn.XLOOKUP($A693,'RAWDATA Cars Buyers DB'!$A:$A,'RAWDATA Cars Buyers DB'!H:H)</f>
        <v>Yes</v>
      </c>
      <c r="I693" s="8" t="str">
        <f>_xlfn.XLOOKUP($A693,'RAWDATA Cars Buyers DB'!$A:$A,'RAWDATA Cars Buyers DB'!I:I)</f>
        <v>4–6 Kilometre</v>
      </c>
      <c r="J693" s="8" t="str">
        <f>_xlfn.XLOOKUP($A693,'RAWDATA Cars Buyers DB'!$A:$A,'RAWDATA Cars Buyers DB'!J:J)</f>
        <v>Bremen</v>
      </c>
      <c r="K693" s="8">
        <f>_xlfn.XLOOKUP($A693,'RAWDATA Cars Buyers DB'!$A:$A,'RAWDATA Cars Buyers DB'!K:K)</f>
        <v>60</v>
      </c>
      <c r="L693" s="10" t="str">
        <f>IF(_xlfn.XLOOKUP($A693,'RAWDATA Cars Buyers DB'!$A:$A,'RAWDATA Cars Buyers DB'!K:K)&gt;54,"Old ",IF(_xlfn.XLOOKUP($A693,'RAWDATA Cars Buyers DB'!$A:$A,'RAWDATA Cars Buyers DB'!K:K)&gt;=31,"Middle Age ",IF(_xlfn.XLOOKUP($A693,'RAWDATA Cars Buyers DB'!$A:$A,'RAWDATA Cars Buyers DB'!K:K)&lt;31,"Adolescent","Invalid")))</f>
        <v xml:space="preserve">Old </v>
      </c>
      <c r="M693" s="8" t="str">
        <f>_xlfn.XLOOKUP($A693,'RAWDATA Cars Buyers DB'!$A:$A,'RAWDATA Cars Buyers DB'!L:L)</f>
        <v>Yes</v>
      </c>
    </row>
    <row r="694" spans="1:13">
      <c r="A694" s="6">
        <v>59407</v>
      </c>
      <c r="B694" s="10" t="str">
        <f>IF(_xlfn.XLOOKUP($A694,'RAWDATA Cars Buyers DB'!$A:$A,'RAWDATA Cars Buyers DB'!B:B)="S","Single","Married")</f>
        <v>Married</v>
      </c>
      <c r="C694" s="10" t="str">
        <f>IF(_xlfn.XLOOKUP($A694,'RAWDATA Cars Buyers DB'!$A:$A,'RAWDATA Cars Buyers DB'!C:C)="F","Female","Male")</f>
        <v>Female</v>
      </c>
      <c r="D694" s="7">
        <f>_xlfn.XLOOKUP($A694,'RAWDATA Cars Buyers DB'!$A:$A,'RAWDATA Cars Buyers DB'!D:D)</f>
        <v>41607</v>
      </c>
      <c r="E694" s="8">
        <f>_xlfn.XLOOKUP($A694,'RAWDATA Cars Buyers DB'!$A:$A,'RAWDATA Cars Buyers DB'!E:E)</f>
        <v>2</v>
      </c>
      <c r="F694" s="8" t="str">
        <f>_xlfn.XLOOKUP($A694,'RAWDATA Cars Buyers DB'!$A:$A,'RAWDATA Cars Buyers DB'!F:F)</f>
        <v>Partial College</v>
      </c>
      <c r="G694" s="8" t="str">
        <f>_xlfn.XLOOKUP($A694,'RAWDATA Cars Buyers DB'!$A:$A,'RAWDATA Cars Buyers DB'!G:G)</f>
        <v>Management</v>
      </c>
      <c r="H694" s="8" t="str">
        <f>_xlfn.XLOOKUP($A694,'RAWDATA Cars Buyers DB'!$A:$A,'RAWDATA Cars Buyers DB'!H:H)</f>
        <v>Yes</v>
      </c>
      <c r="I694" s="8" t="str">
        <f>_xlfn.XLOOKUP($A694,'RAWDATA Cars Buyers DB'!$A:$A,'RAWDATA Cars Buyers DB'!I:I)</f>
        <v>0–1 Kilometre</v>
      </c>
      <c r="J694" s="8" t="str">
        <f>_xlfn.XLOOKUP($A694,'RAWDATA Cars Buyers DB'!$A:$A,'RAWDATA Cars Buyers DB'!J:J)</f>
        <v>Rhineland-Palatinate</v>
      </c>
      <c r="K694" s="8">
        <f>_xlfn.XLOOKUP($A694,'RAWDATA Cars Buyers DB'!$A:$A,'RAWDATA Cars Buyers DB'!K:K)</f>
        <v>37</v>
      </c>
      <c r="L694" s="10" t="str">
        <f>IF(_xlfn.XLOOKUP($A694,'RAWDATA Cars Buyers DB'!$A:$A,'RAWDATA Cars Buyers DB'!K:K)&gt;54,"Old ",IF(_xlfn.XLOOKUP($A694,'RAWDATA Cars Buyers DB'!$A:$A,'RAWDATA Cars Buyers DB'!K:K)&gt;=31,"Middle Age ",IF(_xlfn.XLOOKUP($A694,'RAWDATA Cars Buyers DB'!$A:$A,'RAWDATA Cars Buyers DB'!K:K)&lt;31,"Adolescent","Invalid")))</f>
        <v xml:space="preserve">Middle Age </v>
      </c>
      <c r="M694" s="8" t="str">
        <f>_xlfn.XLOOKUP($A694,'RAWDATA Cars Buyers DB'!$A:$A,'RAWDATA Cars Buyers DB'!L:L)</f>
        <v>No</v>
      </c>
    </row>
    <row r="695" spans="1:13">
      <c r="A695" s="6">
        <v>80340</v>
      </c>
      <c r="B695" s="10" t="str">
        <f>IF(_xlfn.XLOOKUP($A695,'RAWDATA Cars Buyers DB'!$A:$A,'RAWDATA Cars Buyers DB'!B:B)="S","Single","Married")</f>
        <v>Single</v>
      </c>
      <c r="C695" s="10" t="str">
        <f>IF(_xlfn.XLOOKUP($A695,'RAWDATA Cars Buyers DB'!$A:$A,'RAWDATA Cars Buyers DB'!C:C)="F","Female","Male")</f>
        <v>Male</v>
      </c>
      <c r="D695" s="7">
        <f>_xlfn.XLOOKUP($A695,'RAWDATA Cars Buyers DB'!$A:$A,'RAWDATA Cars Buyers DB'!D:D)</f>
        <v>44968</v>
      </c>
      <c r="E695" s="8">
        <f>_xlfn.XLOOKUP($A695,'RAWDATA Cars Buyers DB'!$A:$A,'RAWDATA Cars Buyers DB'!E:E)</f>
        <v>4</v>
      </c>
      <c r="F695" s="8" t="str">
        <f>_xlfn.XLOOKUP($A695,'RAWDATA Cars Buyers DB'!$A:$A,'RAWDATA Cars Buyers DB'!F:F)</f>
        <v>High School</v>
      </c>
      <c r="G695" s="8" t="str">
        <f>_xlfn.XLOOKUP($A695,'RAWDATA Cars Buyers DB'!$A:$A,'RAWDATA Cars Buyers DB'!G:G)</f>
        <v>Clerical</v>
      </c>
      <c r="H695" s="8" t="str">
        <f>_xlfn.XLOOKUP($A695,'RAWDATA Cars Buyers DB'!$A:$A,'RAWDATA Cars Buyers DB'!H:H)</f>
        <v>Yes</v>
      </c>
      <c r="I695" s="8" t="str">
        <f>_xlfn.XLOOKUP($A695,'RAWDATA Cars Buyers DB'!$A:$A,'RAWDATA Cars Buyers DB'!I:I)</f>
        <v>4–6 Kilometre</v>
      </c>
      <c r="J695" s="8" t="str">
        <f>_xlfn.XLOOKUP($A695,'RAWDATA Cars Buyers DB'!$A:$A,'RAWDATA Cars Buyers DB'!J:J)</f>
        <v>Saxony-Anhalt</v>
      </c>
      <c r="K695" s="8">
        <f>_xlfn.XLOOKUP($A695,'RAWDATA Cars Buyers DB'!$A:$A,'RAWDATA Cars Buyers DB'!K:K)</f>
        <v>69</v>
      </c>
      <c r="L695" s="10" t="str">
        <f>IF(_xlfn.XLOOKUP($A695,'RAWDATA Cars Buyers DB'!$A:$A,'RAWDATA Cars Buyers DB'!K:K)&gt;54,"Old ",IF(_xlfn.XLOOKUP($A695,'RAWDATA Cars Buyers DB'!$A:$A,'RAWDATA Cars Buyers DB'!K:K)&gt;=31,"Middle Age ",IF(_xlfn.XLOOKUP($A695,'RAWDATA Cars Buyers DB'!$A:$A,'RAWDATA Cars Buyers DB'!K:K)&lt;31,"Adolescent","Invalid")))</f>
        <v xml:space="preserve">Old </v>
      </c>
      <c r="M695" s="8" t="str">
        <f>_xlfn.XLOOKUP($A695,'RAWDATA Cars Buyers DB'!$A:$A,'RAWDATA Cars Buyers DB'!L:L)</f>
        <v>No</v>
      </c>
    </row>
    <row r="696" spans="1:13">
      <c r="A696" s="6">
        <v>60990</v>
      </c>
      <c r="B696" s="10" t="str">
        <f>IF(_xlfn.XLOOKUP($A696,'RAWDATA Cars Buyers DB'!$A:$A,'RAWDATA Cars Buyers DB'!B:B)="S","Single","Married")</f>
        <v>Married</v>
      </c>
      <c r="C696" s="10" t="str">
        <f>IF(_xlfn.XLOOKUP($A696,'RAWDATA Cars Buyers DB'!$A:$A,'RAWDATA Cars Buyers DB'!C:C)="F","Female","Male")</f>
        <v>Female</v>
      </c>
      <c r="D696" s="7">
        <f>_xlfn.XLOOKUP($A696,'RAWDATA Cars Buyers DB'!$A:$A,'RAWDATA Cars Buyers DB'!D:D)</f>
        <v>118934</v>
      </c>
      <c r="E696" s="8">
        <f>_xlfn.XLOOKUP($A696,'RAWDATA Cars Buyers DB'!$A:$A,'RAWDATA Cars Buyers DB'!E:E)</f>
        <v>2</v>
      </c>
      <c r="F696" s="8" t="str">
        <f>_xlfn.XLOOKUP($A696,'RAWDATA Cars Buyers DB'!$A:$A,'RAWDATA Cars Buyers DB'!F:F)</f>
        <v>Bachelors</v>
      </c>
      <c r="G696" s="8" t="str">
        <f>_xlfn.XLOOKUP($A696,'RAWDATA Cars Buyers DB'!$A:$A,'RAWDATA Cars Buyers DB'!G:G)</f>
        <v>Skilled Manual</v>
      </c>
      <c r="H696" s="8" t="str">
        <f>_xlfn.XLOOKUP($A696,'RAWDATA Cars Buyers DB'!$A:$A,'RAWDATA Cars Buyers DB'!H:H)</f>
        <v>No</v>
      </c>
      <c r="I696" s="8" t="str">
        <f>_xlfn.XLOOKUP($A696,'RAWDATA Cars Buyers DB'!$A:$A,'RAWDATA Cars Buyers DB'!I:I)</f>
        <v>6+ Kilometre</v>
      </c>
      <c r="J696" s="8" t="str">
        <f>_xlfn.XLOOKUP($A696,'RAWDATA Cars Buyers DB'!$A:$A,'RAWDATA Cars Buyers DB'!J:J)</f>
        <v>Rhineland-Palatinate</v>
      </c>
      <c r="K696" s="8">
        <f>_xlfn.XLOOKUP($A696,'RAWDATA Cars Buyers DB'!$A:$A,'RAWDATA Cars Buyers DB'!K:K)</f>
        <v>48</v>
      </c>
      <c r="L696" s="10" t="str">
        <f>IF(_xlfn.XLOOKUP($A696,'RAWDATA Cars Buyers DB'!$A:$A,'RAWDATA Cars Buyers DB'!K:K)&gt;54,"Old ",IF(_xlfn.XLOOKUP($A696,'RAWDATA Cars Buyers DB'!$A:$A,'RAWDATA Cars Buyers DB'!K:K)&gt;=31,"Middle Age ",IF(_xlfn.XLOOKUP($A696,'RAWDATA Cars Buyers DB'!$A:$A,'RAWDATA Cars Buyers DB'!K:K)&lt;31,"Adolescent","Invalid")))</f>
        <v xml:space="preserve">Middle Age </v>
      </c>
      <c r="M696" s="8" t="str">
        <f>_xlfn.XLOOKUP($A696,'RAWDATA Cars Buyers DB'!$A:$A,'RAWDATA Cars Buyers DB'!L:L)</f>
        <v>Yes</v>
      </c>
    </row>
    <row r="697" spans="1:13">
      <c r="A697" s="6">
        <v>85672</v>
      </c>
      <c r="B697" s="10" t="str">
        <f>IF(_xlfn.XLOOKUP($A697,'RAWDATA Cars Buyers DB'!$A:$A,'RAWDATA Cars Buyers DB'!B:B)="S","Single","Married")</f>
        <v>Married</v>
      </c>
      <c r="C697" s="10" t="str">
        <f>IF(_xlfn.XLOOKUP($A697,'RAWDATA Cars Buyers DB'!$A:$A,'RAWDATA Cars Buyers DB'!C:C)="F","Female","Male")</f>
        <v>Male</v>
      </c>
      <c r="D697" s="7">
        <f>_xlfn.XLOOKUP($A697,'RAWDATA Cars Buyers DB'!$A:$A,'RAWDATA Cars Buyers DB'!D:D)</f>
        <v>31908</v>
      </c>
      <c r="E697" s="8">
        <f>_xlfn.XLOOKUP($A697,'RAWDATA Cars Buyers DB'!$A:$A,'RAWDATA Cars Buyers DB'!E:E)</f>
        <v>4</v>
      </c>
      <c r="F697" s="8" t="str">
        <f>_xlfn.XLOOKUP($A697,'RAWDATA Cars Buyers DB'!$A:$A,'RAWDATA Cars Buyers DB'!F:F)</f>
        <v>Graduate Degree</v>
      </c>
      <c r="G697" s="8" t="str">
        <f>_xlfn.XLOOKUP($A697,'RAWDATA Cars Buyers DB'!$A:$A,'RAWDATA Cars Buyers DB'!G:G)</f>
        <v>Clerical</v>
      </c>
      <c r="H697" s="8" t="str">
        <f>_xlfn.XLOOKUP($A697,'RAWDATA Cars Buyers DB'!$A:$A,'RAWDATA Cars Buyers DB'!H:H)</f>
        <v>Yes</v>
      </c>
      <c r="I697" s="8" t="str">
        <f>_xlfn.XLOOKUP($A697,'RAWDATA Cars Buyers DB'!$A:$A,'RAWDATA Cars Buyers DB'!I:I)</f>
        <v>2–4 Kilometre</v>
      </c>
      <c r="J697" s="8" t="str">
        <f>_xlfn.XLOOKUP($A697,'RAWDATA Cars Buyers DB'!$A:$A,'RAWDATA Cars Buyers DB'!J:J)</f>
        <v>Brandenburg</v>
      </c>
      <c r="K697" s="8">
        <f>_xlfn.XLOOKUP($A697,'RAWDATA Cars Buyers DB'!$A:$A,'RAWDATA Cars Buyers DB'!K:K)</f>
        <v>58</v>
      </c>
      <c r="L697" s="10" t="str">
        <f>IF(_xlfn.XLOOKUP($A697,'RAWDATA Cars Buyers DB'!$A:$A,'RAWDATA Cars Buyers DB'!K:K)&gt;54,"Old ",IF(_xlfn.XLOOKUP($A697,'RAWDATA Cars Buyers DB'!$A:$A,'RAWDATA Cars Buyers DB'!K:K)&gt;=31,"Middle Age ",IF(_xlfn.XLOOKUP($A697,'RAWDATA Cars Buyers DB'!$A:$A,'RAWDATA Cars Buyers DB'!K:K)&lt;31,"Adolescent","Invalid")))</f>
        <v xml:space="preserve">Old </v>
      </c>
      <c r="M697" s="8" t="str">
        <f>_xlfn.XLOOKUP($A697,'RAWDATA Cars Buyers DB'!$A:$A,'RAWDATA Cars Buyers DB'!L:L)</f>
        <v>Yes</v>
      </c>
    </row>
    <row r="698" spans="1:13">
      <c r="A698" s="6">
        <v>75545</v>
      </c>
      <c r="B698" s="10" t="str">
        <f>IF(_xlfn.XLOOKUP($A698,'RAWDATA Cars Buyers DB'!$A:$A,'RAWDATA Cars Buyers DB'!B:B)="S","Single","Married")</f>
        <v>Single</v>
      </c>
      <c r="C698" s="10" t="str">
        <f>IF(_xlfn.XLOOKUP($A698,'RAWDATA Cars Buyers DB'!$A:$A,'RAWDATA Cars Buyers DB'!C:C)="F","Female","Male")</f>
        <v>Female</v>
      </c>
      <c r="D698" s="7">
        <f>_xlfn.XLOOKUP($A698,'RAWDATA Cars Buyers DB'!$A:$A,'RAWDATA Cars Buyers DB'!D:D)</f>
        <v>46423</v>
      </c>
      <c r="E698" s="8">
        <f>_xlfn.XLOOKUP($A698,'RAWDATA Cars Buyers DB'!$A:$A,'RAWDATA Cars Buyers DB'!E:E)</f>
        <v>1</v>
      </c>
      <c r="F698" s="8" t="str">
        <f>_xlfn.XLOOKUP($A698,'RAWDATA Cars Buyers DB'!$A:$A,'RAWDATA Cars Buyers DB'!F:F)</f>
        <v>High School</v>
      </c>
      <c r="G698" s="8" t="str">
        <f>_xlfn.XLOOKUP($A698,'RAWDATA Cars Buyers DB'!$A:$A,'RAWDATA Cars Buyers DB'!G:G)</f>
        <v>Skilled Manual</v>
      </c>
      <c r="H698" s="8" t="str">
        <f>_xlfn.XLOOKUP($A698,'RAWDATA Cars Buyers DB'!$A:$A,'RAWDATA Cars Buyers DB'!H:H)</f>
        <v>No</v>
      </c>
      <c r="I698" s="8" t="str">
        <f>_xlfn.XLOOKUP($A698,'RAWDATA Cars Buyers DB'!$A:$A,'RAWDATA Cars Buyers DB'!I:I)</f>
        <v>4–6 Kilometre</v>
      </c>
      <c r="J698" s="8" t="str">
        <f>_xlfn.XLOOKUP($A698,'RAWDATA Cars Buyers DB'!$A:$A,'RAWDATA Cars Buyers DB'!J:J)</f>
        <v>Mecklenburg-Vorpommern</v>
      </c>
      <c r="K698" s="8">
        <f>_xlfn.XLOOKUP($A698,'RAWDATA Cars Buyers DB'!$A:$A,'RAWDATA Cars Buyers DB'!K:K)</f>
        <v>46</v>
      </c>
      <c r="L698" s="10" t="str">
        <f>IF(_xlfn.XLOOKUP($A698,'RAWDATA Cars Buyers DB'!$A:$A,'RAWDATA Cars Buyers DB'!K:K)&gt;54,"Old ",IF(_xlfn.XLOOKUP($A698,'RAWDATA Cars Buyers DB'!$A:$A,'RAWDATA Cars Buyers DB'!K:K)&gt;=31,"Middle Age ",IF(_xlfn.XLOOKUP($A698,'RAWDATA Cars Buyers DB'!$A:$A,'RAWDATA Cars Buyers DB'!K:K)&lt;31,"Adolescent","Invalid")))</f>
        <v xml:space="preserve">Middle Age </v>
      </c>
      <c r="M698" s="8" t="str">
        <f>_xlfn.XLOOKUP($A698,'RAWDATA Cars Buyers DB'!$A:$A,'RAWDATA Cars Buyers DB'!L:L)</f>
        <v>Yes</v>
      </c>
    </row>
    <row r="699" spans="1:13">
      <c r="A699" s="6">
        <v>94791</v>
      </c>
      <c r="B699" s="10" t="str">
        <f>IF(_xlfn.XLOOKUP($A699,'RAWDATA Cars Buyers DB'!$A:$A,'RAWDATA Cars Buyers DB'!B:B)="S","Single","Married")</f>
        <v>Married</v>
      </c>
      <c r="C699" s="10" t="str">
        <f>IF(_xlfn.XLOOKUP($A699,'RAWDATA Cars Buyers DB'!$A:$A,'RAWDATA Cars Buyers DB'!C:C)="F","Female","Male")</f>
        <v>Male</v>
      </c>
      <c r="D699" s="7">
        <f>_xlfn.XLOOKUP($A699,'RAWDATA Cars Buyers DB'!$A:$A,'RAWDATA Cars Buyers DB'!D:D)</f>
        <v>94707</v>
      </c>
      <c r="E699" s="8">
        <f>_xlfn.XLOOKUP($A699,'RAWDATA Cars Buyers DB'!$A:$A,'RAWDATA Cars Buyers DB'!E:E)</f>
        <v>2</v>
      </c>
      <c r="F699" s="8" t="str">
        <f>_xlfn.XLOOKUP($A699,'RAWDATA Cars Buyers DB'!$A:$A,'RAWDATA Cars Buyers DB'!F:F)</f>
        <v>Partial College</v>
      </c>
      <c r="G699" s="8" t="str">
        <f>_xlfn.XLOOKUP($A699,'RAWDATA Cars Buyers DB'!$A:$A,'RAWDATA Cars Buyers DB'!G:G)</f>
        <v>Skilled Manual</v>
      </c>
      <c r="H699" s="8" t="str">
        <f>_xlfn.XLOOKUP($A699,'RAWDATA Cars Buyers DB'!$A:$A,'RAWDATA Cars Buyers DB'!H:H)</f>
        <v>Yes</v>
      </c>
      <c r="I699" s="8" t="str">
        <f>_xlfn.XLOOKUP($A699,'RAWDATA Cars Buyers DB'!$A:$A,'RAWDATA Cars Buyers DB'!I:I)</f>
        <v>1–2 Kilometre</v>
      </c>
      <c r="J699" s="8" t="str">
        <f>_xlfn.XLOOKUP($A699,'RAWDATA Cars Buyers DB'!$A:$A,'RAWDATA Cars Buyers DB'!J:J)</f>
        <v>Saarland</v>
      </c>
      <c r="K699" s="8">
        <f>_xlfn.XLOOKUP($A699,'RAWDATA Cars Buyers DB'!$A:$A,'RAWDATA Cars Buyers DB'!K:K)</f>
        <v>55</v>
      </c>
      <c r="L699" s="10" t="str">
        <f>IF(_xlfn.XLOOKUP($A699,'RAWDATA Cars Buyers DB'!$A:$A,'RAWDATA Cars Buyers DB'!K:K)&gt;54,"Old ",IF(_xlfn.XLOOKUP($A699,'RAWDATA Cars Buyers DB'!$A:$A,'RAWDATA Cars Buyers DB'!K:K)&gt;=31,"Middle Age ",IF(_xlfn.XLOOKUP($A699,'RAWDATA Cars Buyers DB'!$A:$A,'RAWDATA Cars Buyers DB'!K:K)&lt;31,"Adolescent","Invalid")))</f>
        <v xml:space="preserve">Old </v>
      </c>
      <c r="M699" s="8" t="str">
        <f>_xlfn.XLOOKUP($A699,'RAWDATA Cars Buyers DB'!$A:$A,'RAWDATA Cars Buyers DB'!L:L)</f>
        <v>No</v>
      </c>
    </row>
    <row r="700" spans="1:13">
      <c r="A700" s="6">
        <v>68141</v>
      </c>
      <c r="B700" s="10" t="str">
        <f>IF(_xlfn.XLOOKUP($A700,'RAWDATA Cars Buyers DB'!$A:$A,'RAWDATA Cars Buyers DB'!B:B)="S","Single","Married")</f>
        <v>Single</v>
      </c>
      <c r="C700" s="10" t="str">
        <f>IF(_xlfn.XLOOKUP($A700,'RAWDATA Cars Buyers DB'!$A:$A,'RAWDATA Cars Buyers DB'!C:C)="F","Female","Male")</f>
        <v>Female</v>
      </c>
      <c r="D700" s="7">
        <f>_xlfn.XLOOKUP($A700,'RAWDATA Cars Buyers DB'!$A:$A,'RAWDATA Cars Buyers DB'!D:D)</f>
        <v>98257</v>
      </c>
      <c r="E700" s="8">
        <f>_xlfn.XLOOKUP($A700,'RAWDATA Cars Buyers DB'!$A:$A,'RAWDATA Cars Buyers DB'!E:E)</f>
        <v>4</v>
      </c>
      <c r="F700" s="8" t="str">
        <f>_xlfn.XLOOKUP($A700,'RAWDATA Cars Buyers DB'!$A:$A,'RAWDATA Cars Buyers DB'!F:F)</f>
        <v>Bachelors</v>
      </c>
      <c r="G700" s="8" t="str">
        <f>_xlfn.XLOOKUP($A700,'RAWDATA Cars Buyers DB'!$A:$A,'RAWDATA Cars Buyers DB'!G:G)</f>
        <v>Clerical</v>
      </c>
      <c r="H700" s="8" t="str">
        <f>_xlfn.XLOOKUP($A700,'RAWDATA Cars Buyers DB'!$A:$A,'RAWDATA Cars Buyers DB'!H:H)</f>
        <v>No</v>
      </c>
      <c r="I700" s="8" t="str">
        <f>_xlfn.XLOOKUP($A700,'RAWDATA Cars Buyers DB'!$A:$A,'RAWDATA Cars Buyers DB'!I:I)</f>
        <v>1–2 Kilometre</v>
      </c>
      <c r="J700" s="8" t="str">
        <f>_xlfn.XLOOKUP($A700,'RAWDATA Cars Buyers DB'!$A:$A,'RAWDATA Cars Buyers DB'!J:J)</f>
        <v>Bavaria</v>
      </c>
      <c r="K700" s="8">
        <f>_xlfn.XLOOKUP($A700,'RAWDATA Cars Buyers DB'!$A:$A,'RAWDATA Cars Buyers DB'!K:K)</f>
        <v>64</v>
      </c>
      <c r="L700" s="10" t="str">
        <f>IF(_xlfn.XLOOKUP($A700,'RAWDATA Cars Buyers DB'!$A:$A,'RAWDATA Cars Buyers DB'!K:K)&gt;54,"Old ",IF(_xlfn.XLOOKUP($A700,'RAWDATA Cars Buyers DB'!$A:$A,'RAWDATA Cars Buyers DB'!K:K)&gt;=31,"Middle Age ",IF(_xlfn.XLOOKUP($A700,'RAWDATA Cars Buyers DB'!$A:$A,'RAWDATA Cars Buyers DB'!K:K)&lt;31,"Adolescent","Invalid")))</f>
        <v xml:space="preserve">Old </v>
      </c>
      <c r="M700" s="8" t="str">
        <f>_xlfn.XLOOKUP($A700,'RAWDATA Cars Buyers DB'!$A:$A,'RAWDATA Cars Buyers DB'!L:L)</f>
        <v>Yes</v>
      </c>
    </row>
    <row r="701" spans="1:13">
      <c r="A701" s="6">
        <v>33793</v>
      </c>
      <c r="B701" s="10" t="str">
        <f>IF(_xlfn.XLOOKUP($A701,'RAWDATA Cars Buyers DB'!$A:$A,'RAWDATA Cars Buyers DB'!B:B)="S","Single","Married")</f>
        <v>Single</v>
      </c>
      <c r="C701" s="10" t="str">
        <f>IF(_xlfn.XLOOKUP($A701,'RAWDATA Cars Buyers DB'!$A:$A,'RAWDATA Cars Buyers DB'!C:C)="F","Female","Male")</f>
        <v>Male</v>
      </c>
      <c r="D701" s="7">
        <f>_xlfn.XLOOKUP($A701,'RAWDATA Cars Buyers DB'!$A:$A,'RAWDATA Cars Buyers DB'!D:D)</f>
        <v>81215</v>
      </c>
      <c r="E701" s="8">
        <f>_xlfn.XLOOKUP($A701,'RAWDATA Cars Buyers DB'!$A:$A,'RAWDATA Cars Buyers DB'!E:E)</f>
        <v>2</v>
      </c>
      <c r="F701" s="8" t="str">
        <f>_xlfn.XLOOKUP($A701,'RAWDATA Cars Buyers DB'!$A:$A,'RAWDATA Cars Buyers DB'!F:F)</f>
        <v>Graduate Degree</v>
      </c>
      <c r="G701" s="8" t="str">
        <f>_xlfn.XLOOKUP($A701,'RAWDATA Cars Buyers DB'!$A:$A,'RAWDATA Cars Buyers DB'!G:G)</f>
        <v>Skilled Manual</v>
      </c>
      <c r="H701" s="8" t="str">
        <f>_xlfn.XLOOKUP($A701,'RAWDATA Cars Buyers DB'!$A:$A,'RAWDATA Cars Buyers DB'!H:H)</f>
        <v>Yes</v>
      </c>
      <c r="I701" s="8" t="str">
        <f>_xlfn.XLOOKUP($A701,'RAWDATA Cars Buyers DB'!$A:$A,'RAWDATA Cars Buyers DB'!I:I)</f>
        <v>4–6 Kilometre</v>
      </c>
      <c r="J701" s="8" t="str">
        <f>_xlfn.XLOOKUP($A701,'RAWDATA Cars Buyers DB'!$A:$A,'RAWDATA Cars Buyers DB'!J:J)</f>
        <v>Bremen</v>
      </c>
      <c r="K701" s="8">
        <f>_xlfn.XLOOKUP($A701,'RAWDATA Cars Buyers DB'!$A:$A,'RAWDATA Cars Buyers DB'!K:K)</f>
        <v>36</v>
      </c>
      <c r="L701" s="10" t="str">
        <f>IF(_xlfn.XLOOKUP($A701,'RAWDATA Cars Buyers DB'!$A:$A,'RAWDATA Cars Buyers DB'!K:K)&gt;54,"Old ",IF(_xlfn.XLOOKUP($A701,'RAWDATA Cars Buyers DB'!$A:$A,'RAWDATA Cars Buyers DB'!K:K)&gt;=31,"Middle Age ",IF(_xlfn.XLOOKUP($A701,'RAWDATA Cars Buyers DB'!$A:$A,'RAWDATA Cars Buyers DB'!K:K)&lt;31,"Adolescent","Invalid")))</f>
        <v xml:space="preserve">Middle Age </v>
      </c>
      <c r="M701" s="8" t="str">
        <f>_xlfn.XLOOKUP($A701,'RAWDATA Cars Buyers DB'!$A:$A,'RAWDATA Cars Buyers DB'!L:L)</f>
        <v>Yes</v>
      </c>
    </row>
    <row r="702" spans="1:13">
      <c r="A702" s="6">
        <v>66570</v>
      </c>
      <c r="B702" s="10" t="str">
        <f>IF(_xlfn.XLOOKUP($A702,'RAWDATA Cars Buyers DB'!$A:$A,'RAWDATA Cars Buyers DB'!B:B)="S","Single","Married")</f>
        <v>Married</v>
      </c>
      <c r="C702" s="10" t="str">
        <f>IF(_xlfn.XLOOKUP($A702,'RAWDATA Cars Buyers DB'!$A:$A,'RAWDATA Cars Buyers DB'!C:C)="F","Female","Male")</f>
        <v>Male</v>
      </c>
      <c r="D702" s="7">
        <f>_xlfn.XLOOKUP($A702,'RAWDATA Cars Buyers DB'!$A:$A,'RAWDATA Cars Buyers DB'!D:D)</f>
        <v>75835</v>
      </c>
      <c r="E702" s="8">
        <f>_xlfn.XLOOKUP($A702,'RAWDATA Cars Buyers DB'!$A:$A,'RAWDATA Cars Buyers DB'!E:E)</f>
        <v>2</v>
      </c>
      <c r="F702" s="8" t="str">
        <f>_xlfn.XLOOKUP($A702,'RAWDATA Cars Buyers DB'!$A:$A,'RAWDATA Cars Buyers DB'!F:F)</f>
        <v>Partial College</v>
      </c>
      <c r="G702" s="8" t="str">
        <f>_xlfn.XLOOKUP($A702,'RAWDATA Cars Buyers DB'!$A:$A,'RAWDATA Cars Buyers DB'!G:G)</f>
        <v>Professional</v>
      </c>
      <c r="H702" s="8" t="str">
        <f>_xlfn.XLOOKUP($A702,'RAWDATA Cars Buyers DB'!$A:$A,'RAWDATA Cars Buyers DB'!H:H)</f>
        <v>Yes</v>
      </c>
      <c r="I702" s="8" t="str">
        <f>_xlfn.XLOOKUP($A702,'RAWDATA Cars Buyers DB'!$A:$A,'RAWDATA Cars Buyers DB'!I:I)</f>
        <v>2–4 Kilometre</v>
      </c>
      <c r="J702" s="8" t="str">
        <f>_xlfn.XLOOKUP($A702,'RAWDATA Cars Buyers DB'!$A:$A,'RAWDATA Cars Buyers DB'!J:J)</f>
        <v>Berlin</v>
      </c>
      <c r="K702" s="8">
        <f>_xlfn.XLOOKUP($A702,'RAWDATA Cars Buyers DB'!$A:$A,'RAWDATA Cars Buyers DB'!K:K)</f>
        <v>53</v>
      </c>
      <c r="L702" s="10" t="str">
        <f>IF(_xlfn.XLOOKUP($A702,'RAWDATA Cars Buyers DB'!$A:$A,'RAWDATA Cars Buyers DB'!K:K)&gt;54,"Old ",IF(_xlfn.XLOOKUP($A702,'RAWDATA Cars Buyers DB'!$A:$A,'RAWDATA Cars Buyers DB'!K:K)&gt;=31,"Middle Age ",IF(_xlfn.XLOOKUP($A702,'RAWDATA Cars Buyers DB'!$A:$A,'RAWDATA Cars Buyers DB'!K:K)&lt;31,"Adolescent","Invalid")))</f>
        <v xml:space="preserve">Middle Age </v>
      </c>
      <c r="M702" s="8" t="str">
        <f>_xlfn.XLOOKUP($A702,'RAWDATA Cars Buyers DB'!$A:$A,'RAWDATA Cars Buyers DB'!L:L)</f>
        <v>Yes</v>
      </c>
    </row>
    <row r="703" spans="1:13">
      <c r="A703" s="6">
        <v>47892</v>
      </c>
      <c r="B703" s="10" t="str">
        <f>IF(_xlfn.XLOOKUP($A703,'RAWDATA Cars Buyers DB'!$A:$A,'RAWDATA Cars Buyers DB'!B:B)="S","Single","Married")</f>
        <v>Married</v>
      </c>
      <c r="C703" s="10" t="str">
        <f>IF(_xlfn.XLOOKUP($A703,'RAWDATA Cars Buyers DB'!$A:$A,'RAWDATA Cars Buyers DB'!C:C)="F","Female","Male")</f>
        <v>Male</v>
      </c>
      <c r="D703" s="7">
        <f>_xlfn.XLOOKUP($A703,'RAWDATA Cars Buyers DB'!$A:$A,'RAWDATA Cars Buyers DB'!D:D)</f>
        <v>69429</v>
      </c>
      <c r="E703" s="8">
        <f>_xlfn.XLOOKUP($A703,'RAWDATA Cars Buyers DB'!$A:$A,'RAWDATA Cars Buyers DB'!E:E)</f>
        <v>4</v>
      </c>
      <c r="F703" s="8" t="str">
        <f>_xlfn.XLOOKUP($A703,'RAWDATA Cars Buyers DB'!$A:$A,'RAWDATA Cars Buyers DB'!F:F)</f>
        <v>Partial College</v>
      </c>
      <c r="G703" s="8" t="str">
        <f>_xlfn.XLOOKUP($A703,'RAWDATA Cars Buyers DB'!$A:$A,'RAWDATA Cars Buyers DB'!G:G)</f>
        <v>Clerical</v>
      </c>
      <c r="H703" s="8" t="str">
        <f>_xlfn.XLOOKUP($A703,'RAWDATA Cars Buyers DB'!$A:$A,'RAWDATA Cars Buyers DB'!H:H)</f>
        <v>Yes</v>
      </c>
      <c r="I703" s="8" t="str">
        <f>_xlfn.XLOOKUP($A703,'RAWDATA Cars Buyers DB'!$A:$A,'RAWDATA Cars Buyers DB'!I:I)</f>
        <v>4–6 Kilometre</v>
      </c>
      <c r="J703" s="8" t="str">
        <f>_xlfn.XLOOKUP($A703,'RAWDATA Cars Buyers DB'!$A:$A,'RAWDATA Cars Buyers DB'!J:J)</f>
        <v>Berlin</v>
      </c>
      <c r="K703" s="8">
        <f>_xlfn.XLOOKUP($A703,'RAWDATA Cars Buyers DB'!$A:$A,'RAWDATA Cars Buyers DB'!K:K)</f>
        <v>65</v>
      </c>
      <c r="L703" s="10" t="str">
        <f>IF(_xlfn.XLOOKUP($A703,'RAWDATA Cars Buyers DB'!$A:$A,'RAWDATA Cars Buyers DB'!K:K)&gt;54,"Old ",IF(_xlfn.XLOOKUP($A703,'RAWDATA Cars Buyers DB'!$A:$A,'RAWDATA Cars Buyers DB'!K:K)&gt;=31,"Middle Age ",IF(_xlfn.XLOOKUP($A703,'RAWDATA Cars Buyers DB'!$A:$A,'RAWDATA Cars Buyers DB'!K:K)&lt;31,"Adolescent","Invalid")))</f>
        <v xml:space="preserve">Old </v>
      </c>
      <c r="M703" s="8" t="str">
        <f>_xlfn.XLOOKUP($A703,'RAWDATA Cars Buyers DB'!$A:$A,'RAWDATA Cars Buyers DB'!L:L)</f>
        <v>No</v>
      </c>
    </row>
    <row r="704" spans="1:13">
      <c r="A704" s="6">
        <v>11015</v>
      </c>
      <c r="B704" s="10" t="str">
        <f>IF(_xlfn.XLOOKUP($A704,'RAWDATA Cars Buyers DB'!$A:$A,'RAWDATA Cars Buyers DB'!B:B)="S","Single","Married")</f>
        <v>Married</v>
      </c>
      <c r="C704" s="10" t="str">
        <f>IF(_xlfn.XLOOKUP($A704,'RAWDATA Cars Buyers DB'!$A:$A,'RAWDATA Cars Buyers DB'!C:C)="F","Female","Male")</f>
        <v>Male</v>
      </c>
      <c r="D704" s="7">
        <f>_xlfn.XLOOKUP($A704,'RAWDATA Cars Buyers DB'!$A:$A,'RAWDATA Cars Buyers DB'!D:D)</f>
        <v>102152</v>
      </c>
      <c r="E704" s="8">
        <f>_xlfn.XLOOKUP($A704,'RAWDATA Cars Buyers DB'!$A:$A,'RAWDATA Cars Buyers DB'!E:E)</f>
        <v>4</v>
      </c>
      <c r="F704" s="8" t="str">
        <f>_xlfn.XLOOKUP($A704,'RAWDATA Cars Buyers DB'!$A:$A,'RAWDATA Cars Buyers DB'!F:F)</f>
        <v>Bachelors</v>
      </c>
      <c r="G704" s="8" t="str">
        <f>_xlfn.XLOOKUP($A704,'RAWDATA Cars Buyers DB'!$A:$A,'RAWDATA Cars Buyers DB'!G:G)</f>
        <v>Clerical</v>
      </c>
      <c r="H704" s="8" t="str">
        <f>_xlfn.XLOOKUP($A704,'RAWDATA Cars Buyers DB'!$A:$A,'RAWDATA Cars Buyers DB'!H:H)</f>
        <v>No</v>
      </c>
      <c r="I704" s="8" t="str">
        <f>_xlfn.XLOOKUP($A704,'RAWDATA Cars Buyers DB'!$A:$A,'RAWDATA Cars Buyers DB'!I:I)</f>
        <v>2–4 Kilometre</v>
      </c>
      <c r="J704" s="8" t="str">
        <f>_xlfn.XLOOKUP($A704,'RAWDATA Cars Buyers DB'!$A:$A,'RAWDATA Cars Buyers DB'!J:J)</f>
        <v>Schleswig-Holstein</v>
      </c>
      <c r="K704" s="8">
        <f>_xlfn.XLOOKUP($A704,'RAWDATA Cars Buyers DB'!$A:$A,'RAWDATA Cars Buyers DB'!K:K)</f>
        <v>22</v>
      </c>
      <c r="L704" s="10" t="str">
        <f>IF(_xlfn.XLOOKUP($A704,'RAWDATA Cars Buyers DB'!$A:$A,'RAWDATA Cars Buyers DB'!K:K)&gt;54,"Old ",IF(_xlfn.XLOOKUP($A704,'RAWDATA Cars Buyers DB'!$A:$A,'RAWDATA Cars Buyers DB'!K:K)&gt;=31,"Middle Age ",IF(_xlfn.XLOOKUP($A704,'RAWDATA Cars Buyers DB'!$A:$A,'RAWDATA Cars Buyers DB'!K:K)&lt;31,"Adolescent","Invalid")))</f>
        <v>Adolescent</v>
      </c>
      <c r="M704" s="8" t="str">
        <f>_xlfn.XLOOKUP($A704,'RAWDATA Cars Buyers DB'!$A:$A,'RAWDATA Cars Buyers DB'!L:L)</f>
        <v>No</v>
      </c>
    </row>
    <row r="705" spans="1:13">
      <c r="A705" s="6">
        <v>71813</v>
      </c>
      <c r="B705" s="10" t="str">
        <f>IF(_xlfn.XLOOKUP($A705,'RAWDATA Cars Buyers DB'!$A:$A,'RAWDATA Cars Buyers DB'!B:B)="S","Single","Married")</f>
        <v>Single</v>
      </c>
      <c r="C705" s="10" t="str">
        <f>IF(_xlfn.XLOOKUP($A705,'RAWDATA Cars Buyers DB'!$A:$A,'RAWDATA Cars Buyers DB'!C:C)="F","Female","Male")</f>
        <v>Male</v>
      </c>
      <c r="D705" s="7">
        <f>_xlfn.XLOOKUP($A705,'RAWDATA Cars Buyers DB'!$A:$A,'RAWDATA Cars Buyers DB'!D:D)</f>
        <v>58458</v>
      </c>
      <c r="E705" s="8">
        <f>_xlfn.XLOOKUP($A705,'RAWDATA Cars Buyers DB'!$A:$A,'RAWDATA Cars Buyers DB'!E:E)</f>
        <v>0</v>
      </c>
      <c r="F705" s="8" t="str">
        <f>_xlfn.XLOOKUP($A705,'RAWDATA Cars Buyers DB'!$A:$A,'RAWDATA Cars Buyers DB'!F:F)</f>
        <v>High School</v>
      </c>
      <c r="G705" s="8" t="str">
        <f>_xlfn.XLOOKUP($A705,'RAWDATA Cars Buyers DB'!$A:$A,'RAWDATA Cars Buyers DB'!G:G)</f>
        <v>Skilled Manual</v>
      </c>
      <c r="H705" s="8" t="str">
        <f>_xlfn.XLOOKUP($A705,'RAWDATA Cars Buyers DB'!$A:$A,'RAWDATA Cars Buyers DB'!H:H)</f>
        <v>No</v>
      </c>
      <c r="I705" s="8" t="str">
        <f>_xlfn.XLOOKUP($A705,'RAWDATA Cars Buyers DB'!$A:$A,'RAWDATA Cars Buyers DB'!I:I)</f>
        <v>2–4 Kilometre</v>
      </c>
      <c r="J705" s="8" t="str">
        <f>_xlfn.XLOOKUP($A705,'RAWDATA Cars Buyers DB'!$A:$A,'RAWDATA Cars Buyers DB'!J:J)</f>
        <v>Brandenburg</v>
      </c>
      <c r="K705" s="8">
        <f>_xlfn.XLOOKUP($A705,'RAWDATA Cars Buyers DB'!$A:$A,'RAWDATA Cars Buyers DB'!K:K)</f>
        <v>24</v>
      </c>
      <c r="L705" s="10" t="str">
        <f>IF(_xlfn.XLOOKUP($A705,'RAWDATA Cars Buyers DB'!$A:$A,'RAWDATA Cars Buyers DB'!K:K)&gt;54,"Old ",IF(_xlfn.XLOOKUP($A705,'RAWDATA Cars Buyers DB'!$A:$A,'RAWDATA Cars Buyers DB'!K:K)&gt;=31,"Middle Age ",IF(_xlfn.XLOOKUP($A705,'RAWDATA Cars Buyers DB'!$A:$A,'RAWDATA Cars Buyers DB'!K:K)&lt;31,"Adolescent","Invalid")))</f>
        <v>Adolescent</v>
      </c>
      <c r="M705" s="8" t="str">
        <f>_xlfn.XLOOKUP($A705,'RAWDATA Cars Buyers DB'!$A:$A,'RAWDATA Cars Buyers DB'!L:L)</f>
        <v>No</v>
      </c>
    </row>
    <row r="706" spans="1:13">
      <c r="A706" s="6">
        <v>37712</v>
      </c>
      <c r="B706" s="10" t="str">
        <f>IF(_xlfn.XLOOKUP($A706,'RAWDATA Cars Buyers DB'!$A:$A,'RAWDATA Cars Buyers DB'!B:B)="S","Single","Married")</f>
        <v>Single</v>
      </c>
      <c r="C706" s="10" t="str">
        <f>IF(_xlfn.XLOOKUP($A706,'RAWDATA Cars Buyers DB'!$A:$A,'RAWDATA Cars Buyers DB'!C:C)="F","Female","Male")</f>
        <v>Male</v>
      </c>
      <c r="D706" s="7">
        <f>_xlfn.XLOOKUP($A706,'RAWDATA Cars Buyers DB'!$A:$A,'RAWDATA Cars Buyers DB'!D:D)</f>
        <v>66169</v>
      </c>
      <c r="E706" s="8">
        <f>_xlfn.XLOOKUP($A706,'RAWDATA Cars Buyers DB'!$A:$A,'RAWDATA Cars Buyers DB'!E:E)</f>
        <v>2</v>
      </c>
      <c r="F706" s="8" t="str">
        <f>_xlfn.XLOOKUP($A706,'RAWDATA Cars Buyers DB'!$A:$A,'RAWDATA Cars Buyers DB'!F:F)</f>
        <v>Graduate Degree</v>
      </c>
      <c r="G706" s="8" t="str">
        <f>_xlfn.XLOOKUP($A706,'RAWDATA Cars Buyers DB'!$A:$A,'RAWDATA Cars Buyers DB'!G:G)</f>
        <v>Skilled Manual</v>
      </c>
      <c r="H706" s="8" t="str">
        <f>_xlfn.XLOOKUP($A706,'RAWDATA Cars Buyers DB'!$A:$A,'RAWDATA Cars Buyers DB'!H:H)</f>
        <v>No</v>
      </c>
      <c r="I706" s="8" t="str">
        <f>_xlfn.XLOOKUP($A706,'RAWDATA Cars Buyers DB'!$A:$A,'RAWDATA Cars Buyers DB'!I:I)</f>
        <v>6+ Kilometre</v>
      </c>
      <c r="J706" s="8" t="str">
        <f>_xlfn.XLOOKUP($A706,'RAWDATA Cars Buyers DB'!$A:$A,'RAWDATA Cars Buyers DB'!J:J)</f>
        <v>Bremen</v>
      </c>
      <c r="K706" s="8">
        <f>_xlfn.XLOOKUP($A706,'RAWDATA Cars Buyers DB'!$A:$A,'RAWDATA Cars Buyers DB'!K:K)</f>
        <v>33</v>
      </c>
      <c r="L706" s="10" t="str">
        <f>IF(_xlfn.XLOOKUP($A706,'RAWDATA Cars Buyers DB'!$A:$A,'RAWDATA Cars Buyers DB'!K:K)&gt;54,"Old ",IF(_xlfn.XLOOKUP($A706,'RAWDATA Cars Buyers DB'!$A:$A,'RAWDATA Cars Buyers DB'!K:K)&gt;=31,"Middle Age ",IF(_xlfn.XLOOKUP($A706,'RAWDATA Cars Buyers DB'!$A:$A,'RAWDATA Cars Buyers DB'!K:K)&lt;31,"Adolescent","Invalid")))</f>
        <v xml:space="preserve">Middle Age </v>
      </c>
      <c r="M706" s="8" t="str">
        <f>_xlfn.XLOOKUP($A706,'RAWDATA Cars Buyers DB'!$A:$A,'RAWDATA Cars Buyers DB'!L:L)</f>
        <v>No</v>
      </c>
    </row>
    <row r="707" spans="1:13">
      <c r="A707" s="6">
        <v>18415</v>
      </c>
      <c r="B707" s="10" t="str">
        <f>IF(_xlfn.XLOOKUP($A707,'RAWDATA Cars Buyers DB'!$A:$A,'RAWDATA Cars Buyers DB'!B:B)="S","Single","Married")</f>
        <v>Single</v>
      </c>
      <c r="C707" s="10" t="str">
        <f>IF(_xlfn.XLOOKUP($A707,'RAWDATA Cars Buyers DB'!$A:$A,'RAWDATA Cars Buyers DB'!C:C)="F","Female","Male")</f>
        <v>Female</v>
      </c>
      <c r="D707" s="7">
        <f>_xlfn.XLOOKUP($A707,'RAWDATA Cars Buyers DB'!$A:$A,'RAWDATA Cars Buyers DB'!D:D)</f>
        <v>27659</v>
      </c>
      <c r="E707" s="8">
        <f>_xlfn.XLOOKUP($A707,'RAWDATA Cars Buyers DB'!$A:$A,'RAWDATA Cars Buyers DB'!E:E)</f>
        <v>3</v>
      </c>
      <c r="F707" s="8" t="str">
        <f>_xlfn.XLOOKUP($A707,'RAWDATA Cars Buyers DB'!$A:$A,'RAWDATA Cars Buyers DB'!F:F)</f>
        <v>Graduate Degree</v>
      </c>
      <c r="G707" s="8" t="str">
        <f>_xlfn.XLOOKUP($A707,'RAWDATA Cars Buyers DB'!$A:$A,'RAWDATA Cars Buyers DB'!G:G)</f>
        <v>Clerical</v>
      </c>
      <c r="H707" s="8" t="str">
        <f>_xlfn.XLOOKUP($A707,'RAWDATA Cars Buyers DB'!$A:$A,'RAWDATA Cars Buyers DB'!H:H)</f>
        <v>No</v>
      </c>
      <c r="I707" s="8" t="str">
        <f>_xlfn.XLOOKUP($A707,'RAWDATA Cars Buyers DB'!$A:$A,'RAWDATA Cars Buyers DB'!I:I)</f>
        <v>1–2 Kilometre</v>
      </c>
      <c r="J707" s="8" t="str">
        <f>_xlfn.XLOOKUP($A707,'RAWDATA Cars Buyers DB'!$A:$A,'RAWDATA Cars Buyers DB'!J:J)</f>
        <v>Schleswig-Holstein</v>
      </c>
      <c r="K707" s="8">
        <f>_xlfn.XLOOKUP($A707,'RAWDATA Cars Buyers DB'!$A:$A,'RAWDATA Cars Buyers DB'!K:K)</f>
        <v>22</v>
      </c>
      <c r="L707" s="10" t="str">
        <f>IF(_xlfn.XLOOKUP($A707,'RAWDATA Cars Buyers DB'!$A:$A,'RAWDATA Cars Buyers DB'!K:K)&gt;54,"Old ",IF(_xlfn.XLOOKUP($A707,'RAWDATA Cars Buyers DB'!$A:$A,'RAWDATA Cars Buyers DB'!K:K)&gt;=31,"Middle Age ",IF(_xlfn.XLOOKUP($A707,'RAWDATA Cars Buyers DB'!$A:$A,'RAWDATA Cars Buyers DB'!K:K)&lt;31,"Adolescent","Invalid")))</f>
        <v>Adolescent</v>
      </c>
      <c r="M707" s="8" t="str">
        <f>_xlfn.XLOOKUP($A707,'RAWDATA Cars Buyers DB'!$A:$A,'RAWDATA Cars Buyers DB'!L:L)</f>
        <v>Yes</v>
      </c>
    </row>
    <row r="708" spans="1:13">
      <c r="A708" s="6">
        <v>72292</v>
      </c>
      <c r="B708" s="10" t="str">
        <f>IF(_xlfn.XLOOKUP($A708,'RAWDATA Cars Buyers DB'!$A:$A,'RAWDATA Cars Buyers DB'!B:B)="S","Single","Married")</f>
        <v>Married</v>
      </c>
      <c r="C708" s="10" t="str">
        <f>IF(_xlfn.XLOOKUP($A708,'RAWDATA Cars Buyers DB'!$A:$A,'RAWDATA Cars Buyers DB'!C:C)="F","Female","Male")</f>
        <v>Male</v>
      </c>
      <c r="D708" s="7">
        <f>_xlfn.XLOOKUP($A708,'RAWDATA Cars Buyers DB'!$A:$A,'RAWDATA Cars Buyers DB'!D:D)</f>
        <v>80614</v>
      </c>
      <c r="E708" s="8">
        <f>_xlfn.XLOOKUP($A708,'RAWDATA Cars Buyers DB'!$A:$A,'RAWDATA Cars Buyers DB'!E:E)</f>
        <v>2</v>
      </c>
      <c r="F708" s="8" t="str">
        <f>_xlfn.XLOOKUP($A708,'RAWDATA Cars Buyers DB'!$A:$A,'RAWDATA Cars Buyers DB'!F:F)</f>
        <v>High School</v>
      </c>
      <c r="G708" s="8" t="str">
        <f>_xlfn.XLOOKUP($A708,'RAWDATA Cars Buyers DB'!$A:$A,'RAWDATA Cars Buyers DB'!G:G)</f>
        <v>Professional</v>
      </c>
      <c r="H708" s="8" t="str">
        <f>_xlfn.XLOOKUP($A708,'RAWDATA Cars Buyers DB'!$A:$A,'RAWDATA Cars Buyers DB'!H:H)</f>
        <v>Yes</v>
      </c>
      <c r="I708" s="8" t="str">
        <f>_xlfn.XLOOKUP($A708,'RAWDATA Cars Buyers DB'!$A:$A,'RAWDATA Cars Buyers DB'!I:I)</f>
        <v>1–2 Kilometre</v>
      </c>
      <c r="J708" s="8" t="str">
        <f>_xlfn.XLOOKUP($A708,'RAWDATA Cars Buyers DB'!$A:$A,'RAWDATA Cars Buyers DB'!J:J)</f>
        <v>Baden-Württemberg</v>
      </c>
      <c r="K708" s="8">
        <f>_xlfn.XLOOKUP($A708,'RAWDATA Cars Buyers DB'!$A:$A,'RAWDATA Cars Buyers DB'!K:K)</f>
        <v>42</v>
      </c>
      <c r="L708" s="10" t="str">
        <f>IF(_xlfn.XLOOKUP($A708,'RAWDATA Cars Buyers DB'!$A:$A,'RAWDATA Cars Buyers DB'!K:K)&gt;54,"Old ",IF(_xlfn.XLOOKUP($A708,'RAWDATA Cars Buyers DB'!$A:$A,'RAWDATA Cars Buyers DB'!K:K)&gt;=31,"Middle Age ",IF(_xlfn.XLOOKUP($A708,'RAWDATA Cars Buyers DB'!$A:$A,'RAWDATA Cars Buyers DB'!K:K)&lt;31,"Adolescent","Invalid")))</f>
        <v xml:space="preserve">Middle Age </v>
      </c>
      <c r="M708" s="8" t="str">
        <f>_xlfn.XLOOKUP($A708,'RAWDATA Cars Buyers DB'!$A:$A,'RAWDATA Cars Buyers DB'!L:L)</f>
        <v>No</v>
      </c>
    </row>
    <row r="709" spans="1:13">
      <c r="A709" s="6">
        <v>33833</v>
      </c>
      <c r="B709" s="10" t="str">
        <f>IF(_xlfn.XLOOKUP($A709,'RAWDATA Cars Buyers DB'!$A:$A,'RAWDATA Cars Buyers DB'!B:B)="S","Single","Married")</f>
        <v>Single</v>
      </c>
      <c r="C709" s="10" t="str">
        <f>IF(_xlfn.XLOOKUP($A709,'RAWDATA Cars Buyers DB'!$A:$A,'RAWDATA Cars Buyers DB'!C:C)="F","Female","Male")</f>
        <v>Female</v>
      </c>
      <c r="D709" s="7">
        <f>_xlfn.XLOOKUP($A709,'RAWDATA Cars Buyers DB'!$A:$A,'RAWDATA Cars Buyers DB'!D:D)</f>
        <v>97240</v>
      </c>
      <c r="E709" s="8">
        <f>_xlfn.XLOOKUP($A709,'RAWDATA Cars Buyers DB'!$A:$A,'RAWDATA Cars Buyers DB'!E:E)</f>
        <v>2</v>
      </c>
      <c r="F709" s="8" t="str">
        <f>_xlfn.XLOOKUP($A709,'RAWDATA Cars Buyers DB'!$A:$A,'RAWDATA Cars Buyers DB'!F:F)</f>
        <v>High School</v>
      </c>
      <c r="G709" s="8" t="str">
        <f>_xlfn.XLOOKUP($A709,'RAWDATA Cars Buyers DB'!$A:$A,'RAWDATA Cars Buyers DB'!G:G)</f>
        <v>Skilled Manual</v>
      </c>
      <c r="H709" s="8" t="str">
        <f>_xlfn.XLOOKUP($A709,'RAWDATA Cars Buyers DB'!$A:$A,'RAWDATA Cars Buyers DB'!H:H)</f>
        <v>Yes</v>
      </c>
      <c r="I709" s="8" t="str">
        <f>_xlfn.XLOOKUP($A709,'RAWDATA Cars Buyers DB'!$A:$A,'RAWDATA Cars Buyers DB'!I:I)</f>
        <v>2–4 Kilometre</v>
      </c>
      <c r="J709" s="8" t="str">
        <f>_xlfn.XLOOKUP($A709,'RAWDATA Cars Buyers DB'!$A:$A,'RAWDATA Cars Buyers DB'!J:J)</f>
        <v>Rhineland-Palatinate</v>
      </c>
      <c r="K709" s="8">
        <f>_xlfn.XLOOKUP($A709,'RAWDATA Cars Buyers DB'!$A:$A,'RAWDATA Cars Buyers DB'!K:K)</f>
        <v>58</v>
      </c>
      <c r="L709" s="10" t="str">
        <f>IF(_xlfn.XLOOKUP($A709,'RAWDATA Cars Buyers DB'!$A:$A,'RAWDATA Cars Buyers DB'!K:K)&gt;54,"Old ",IF(_xlfn.XLOOKUP($A709,'RAWDATA Cars Buyers DB'!$A:$A,'RAWDATA Cars Buyers DB'!K:K)&gt;=31,"Middle Age ",IF(_xlfn.XLOOKUP($A709,'RAWDATA Cars Buyers DB'!$A:$A,'RAWDATA Cars Buyers DB'!K:K)&lt;31,"Adolescent","Invalid")))</f>
        <v xml:space="preserve">Old </v>
      </c>
      <c r="M709" s="8" t="str">
        <f>_xlfn.XLOOKUP($A709,'RAWDATA Cars Buyers DB'!$A:$A,'RAWDATA Cars Buyers DB'!L:L)</f>
        <v>No</v>
      </c>
    </row>
    <row r="710" spans="1:13">
      <c r="A710" s="6">
        <v>14158</v>
      </c>
      <c r="B710" s="10" t="str">
        <f>IF(_xlfn.XLOOKUP($A710,'RAWDATA Cars Buyers DB'!$A:$A,'RAWDATA Cars Buyers DB'!B:B)="S","Single","Married")</f>
        <v>Single</v>
      </c>
      <c r="C710" s="10" t="str">
        <f>IF(_xlfn.XLOOKUP($A710,'RAWDATA Cars Buyers DB'!$A:$A,'RAWDATA Cars Buyers DB'!C:C)="F","Female","Male")</f>
        <v>Female</v>
      </c>
      <c r="D710" s="7">
        <f>_xlfn.XLOOKUP($A710,'RAWDATA Cars Buyers DB'!$A:$A,'RAWDATA Cars Buyers DB'!D:D)</f>
        <v>52793</v>
      </c>
      <c r="E710" s="8">
        <f>_xlfn.XLOOKUP($A710,'RAWDATA Cars Buyers DB'!$A:$A,'RAWDATA Cars Buyers DB'!E:E)</f>
        <v>4</v>
      </c>
      <c r="F710" s="8" t="str">
        <f>_xlfn.XLOOKUP($A710,'RAWDATA Cars Buyers DB'!$A:$A,'RAWDATA Cars Buyers DB'!F:F)</f>
        <v>High School</v>
      </c>
      <c r="G710" s="8" t="str">
        <f>_xlfn.XLOOKUP($A710,'RAWDATA Cars Buyers DB'!$A:$A,'RAWDATA Cars Buyers DB'!G:G)</f>
        <v>Skilled Manual</v>
      </c>
      <c r="H710" s="8" t="str">
        <f>_xlfn.XLOOKUP($A710,'RAWDATA Cars Buyers DB'!$A:$A,'RAWDATA Cars Buyers DB'!H:H)</f>
        <v>Yes</v>
      </c>
      <c r="I710" s="8" t="str">
        <f>_xlfn.XLOOKUP($A710,'RAWDATA Cars Buyers DB'!$A:$A,'RAWDATA Cars Buyers DB'!I:I)</f>
        <v>1–2 Kilometre</v>
      </c>
      <c r="J710" s="8" t="str">
        <f>_xlfn.XLOOKUP($A710,'RAWDATA Cars Buyers DB'!$A:$A,'RAWDATA Cars Buyers DB'!J:J)</f>
        <v>Saarland</v>
      </c>
      <c r="K710" s="8">
        <f>_xlfn.XLOOKUP($A710,'RAWDATA Cars Buyers DB'!$A:$A,'RAWDATA Cars Buyers DB'!K:K)</f>
        <v>49</v>
      </c>
      <c r="L710" s="10" t="str">
        <f>IF(_xlfn.XLOOKUP($A710,'RAWDATA Cars Buyers DB'!$A:$A,'RAWDATA Cars Buyers DB'!K:K)&gt;54,"Old ",IF(_xlfn.XLOOKUP($A710,'RAWDATA Cars Buyers DB'!$A:$A,'RAWDATA Cars Buyers DB'!K:K)&gt;=31,"Middle Age ",IF(_xlfn.XLOOKUP($A710,'RAWDATA Cars Buyers DB'!$A:$A,'RAWDATA Cars Buyers DB'!K:K)&lt;31,"Adolescent","Invalid")))</f>
        <v xml:space="preserve">Middle Age </v>
      </c>
      <c r="M710" s="8" t="str">
        <f>_xlfn.XLOOKUP($A710,'RAWDATA Cars Buyers DB'!$A:$A,'RAWDATA Cars Buyers DB'!L:L)</f>
        <v>Yes</v>
      </c>
    </row>
    <row r="711" spans="1:13">
      <c r="A711" s="6">
        <v>72680</v>
      </c>
      <c r="B711" s="10" t="str">
        <f>IF(_xlfn.XLOOKUP($A711,'RAWDATA Cars Buyers DB'!$A:$A,'RAWDATA Cars Buyers DB'!B:B)="S","Single","Married")</f>
        <v>Single</v>
      </c>
      <c r="C711" s="10" t="str">
        <f>IF(_xlfn.XLOOKUP($A711,'RAWDATA Cars Buyers DB'!$A:$A,'RAWDATA Cars Buyers DB'!C:C)="F","Female","Male")</f>
        <v>Female</v>
      </c>
      <c r="D711" s="7">
        <f>_xlfn.XLOOKUP($A711,'RAWDATA Cars Buyers DB'!$A:$A,'RAWDATA Cars Buyers DB'!D:D)</f>
        <v>66473</v>
      </c>
      <c r="E711" s="8">
        <f>_xlfn.XLOOKUP($A711,'RAWDATA Cars Buyers DB'!$A:$A,'RAWDATA Cars Buyers DB'!E:E)</f>
        <v>2</v>
      </c>
      <c r="F711" s="8" t="str">
        <f>_xlfn.XLOOKUP($A711,'RAWDATA Cars Buyers DB'!$A:$A,'RAWDATA Cars Buyers DB'!F:F)</f>
        <v>Bachelors</v>
      </c>
      <c r="G711" s="8" t="str">
        <f>_xlfn.XLOOKUP($A711,'RAWDATA Cars Buyers DB'!$A:$A,'RAWDATA Cars Buyers DB'!G:G)</f>
        <v>Management</v>
      </c>
      <c r="H711" s="8" t="str">
        <f>_xlfn.XLOOKUP($A711,'RAWDATA Cars Buyers DB'!$A:$A,'RAWDATA Cars Buyers DB'!H:H)</f>
        <v>No</v>
      </c>
      <c r="I711" s="8" t="str">
        <f>_xlfn.XLOOKUP($A711,'RAWDATA Cars Buyers DB'!$A:$A,'RAWDATA Cars Buyers DB'!I:I)</f>
        <v>0–1 Kilometre</v>
      </c>
      <c r="J711" s="8" t="str">
        <f>_xlfn.XLOOKUP($A711,'RAWDATA Cars Buyers DB'!$A:$A,'RAWDATA Cars Buyers DB'!J:J)</f>
        <v>Saarland</v>
      </c>
      <c r="K711" s="8">
        <f>_xlfn.XLOOKUP($A711,'RAWDATA Cars Buyers DB'!$A:$A,'RAWDATA Cars Buyers DB'!K:K)</f>
        <v>69</v>
      </c>
      <c r="L711" s="10" t="str">
        <f>IF(_xlfn.XLOOKUP($A711,'RAWDATA Cars Buyers DB'!$A:$A,'RAWDATA Cars Buyers DB'!K:K)&gt;54,"Old ",IF(_xlfn.XLOOKUP($A711,'RAWDATA Cars Buyers DB'!$A:$A,'RAWDATA Cars Buyers DB'!K:K)&gt;=31,"Middle Age ",IF(_xlfn.XLOOKUP($A711,'RAWDATA Cars Buyers DB'!$A:$A,'RAWDATA Cars Buyers DB'!K:K)&lt;31,"Adolescent","Invalid")))</f>
        <v xml:space="preserve">Old </v>
      </c>
      <c r="M711" s="8" t="str">
        <f>_xlfn.XLOOKUP($A711,'RAWDATA Cars Buyers DB'!$A:$A,'RAWDATA Cars Buyers DB'!L:L)</f>
        <v>No</v>
      </c>
    </row>
    <row r="712" spans="1:13">
      <c r="A712" s="6">
        <v>30309</v>
      </c>
      <c r="B712" s="10" t="str">
        <f>IF(_xlfn.XLOOKUP($A712,'RAWDATA Cars Buyers DB'!$A:$A,'RAWDATA Cars Buyers DB'!B:B)="S","Single","Married")</f>
        <v>Single</v>
      </c>
      <c r="C712" s="10" t="str">
        <f>IF(_xlfn.XLOOKUP($A712,'RAWDATA Cars Buyers DB'!$A:$A,'RAWDATA Cars Buyers DB'!C:C)="F","Female","Male")</f>
        <v>Female</v>
      </c>
      <c r="D712" s="7">
        <f>_xlfn.XLOOKUP($A712,'RAWDATA Cars Buyers DB'!$A:$A,'RAWDATA Cars Buyers DB'!D:D)</f>
        <v>116762</v>
      </c>
      <c r="E712" s="8">
        <f>_xlfn.XLOOKUP($A712,'RAWDATA Cars Buyers DB'!$A:$A,'RAWDATA Cars Buyers DB'!E:E)</f>
        <v>5</v>
      </c>
      <c r="F712" s="8" t="str">
        <f>_xlfn.XLOOKUP($A712,'RAWDATA Cars Buyers DB'!$A:$A,'RAWDATA Cars Buyers DB'!F:F)</f>
        <v>Bachelors</v>
      </c>
      <c r="G712" s="8" t="str">
        <f>_xlfn.XLOOKUP($A712,'RAWDATA Cars Buyers DB'!$A:$A,'RAWDATA Cars Buyers DB'!G:G)</f>
        <v>Professional</v>
      </c>
      <c r="H712" s="8" t="str">
        <f>_xlfn.XLOOKUP($A712,'RAWDATA Cars Buyers DB'!$A:$A,'RAWDATA Cars Buyers DB'!H:H)</f>
        <v>Yes</v>
      </c>
      <c r="I712" s="8" t="str">
        <f>_xlfn.XLOOKUP($A712,'RAWDATA Cars Buyers DB'!$A:$A,'RAWDATA Cars Buyers DB'!I:I)</f>
        <v>2–4 Kilometre</v>
      </c>
      <c r="J712" s="8" t="str">
        <f>_xlfn.XLOOKUP($A712,'RAWDATA Cars Buyers DB'!$A:$A,'RAWDATA Cars Buyers DB'!J:J)</f>
        <v>North Rhine-Westphalia</v>
      </c>
      <c r="K712" s="8">
        <f>_xlfn.XLOOKUP($A712,'RAWDATA Cars Buyers DB'!$A:$A,'RAWDATA Cars Buyers DB'!K:K)</f>
        <v>64</v>
      </c>
      <c r="L712" s="10" t="str">
        <f>IF(_xlfn.XLOOKUP($A712,'RAWDATA Cars Buyers DB'!$A:$A,'RAWDATA Cars Buyers DB'!K:K)&gt;54,"Old ",IF(_xlfn.XLOOKUP($A712,'RAWDATA Cars Buyers DB'!$A:$A,'RAWDATA Cars Buyers DB'!K:K)&gt;=31,"Middle Age ",IF(_xlfn.XLOOKUP($A712,'RAWDATA Cars Buyers DB'!$A:$A,'RAWDATA Cars Buyers DB'!K:K)&lt;31,"Adolescent","Invalid")))</f>
        <v xml:space="preserve">Old </v>
      </c>
      <c r="M712" s="8" t="str">
        <f>_xlfn.XLOOKUP($A712,'RAWDATA Cars Buyers DB'!$A:$A,'RAWDATA Cars Buyers DB'!L:L)</f>
        <v>No</v>
      </c>
    </row>
    <row r="713" spans="1:13">
      <c r="A713" s="6">
        <v>16970</v>
      </c>
      <c r="B713" s="10" t="str">
        <f>IF(_xlfn.XLOOKUP($A713,'RAWDATA Cars Buyers DB'!$A:$A,'RAWDATA Cars Buyers DB'!B:B)="S","Single","Married")</f>
        <v>Single</v>
      </c>
      <c r="C713" s="10" t="str">
        <f>IF(_xlfn.XLOOKUP($A713,'RAWDATA Cars Buyers DB'!$A:$A,'RAWDATA Cars Buyers DB'!C:C)="F","Female","Male")</f>
        <v>Female</v>
      </c>
      <c r="D713" s="7">
        <f>_xlfn.XLOOKUP($A713,'RAWDATA Cars Buyers DB'!$A:$A,'RAWDATA Cars Buyers DB'!D:D)</f>
        <v>109388</v>
      </c>
      <c r="E713" s="8">
        <f>_xlfn.XLOOKUP($A713,'RAWDATA Cars Buyers DB'!$A:$A,'RAWDATA Cars Buyers DB'!E:E)</f>
        <v>2</v>
      </c>
      <c r="F713" s="8" t="str">
        <f>_xlfn.XLOOKUP($A713,'RAWDATA Cars Buyers DB'!$A:$A,'RAWDATA Cars Buyers DB'!F:F)</f>
        <v>Graduate Degree</v>
      </c>
      <c r="G713" s="8" t="str">
        <f>_xlfn.XLOOKUP($A713,'RAWDATA Cars Buyers DB'!$A:$A,'RAWDATA Cars Buyers DB'!G:G)</f>
        <v>Professional</v>
      </c>
      <c r="H713" s="8" t="str">
        <f>_xlfn.XLOOKUP($A713,'RAWDATA Cars Buyers DB'!$A:$A,'RAWDATA Cars Buyers DB'!H:H)</f>
        <v>No</v>
      </c>
      <c r="I713" s="8" t="str">
        <f>_xlfn.XLOOKUP($A713,'RAWDATA Cars Buyers DB'!$A:$A,'RAWDATA Cars Buyers DB'!I:I)</f>
        <v>1–2 Kilometre</v>
      </c>
      <c r="J713" s="8" t="str">
        <f>_xlfn.XLOOKUP($A713,'RAWDATA Cars Buyers DB'!$A:$A,'RAWDATA Cars Buyers DB'!J:J)</f>
        <v>Berlin</v>
      </c>
      <c r="K713" s="8">
        <f>_xlfn.XLOOKUP($A713,'RAWDATA Cars Buyers DB'!$A:$A,'RAWDATA Cars Buyers DB'!K:K)</f>
        <v>42</v>
      </c>
      <c r="L713" s="10" t="str">
        <f>IF(_xlfn.XLOOKUP($A713,'RAWDATA Cars Buyers DB'!$A:$A,'RAWDATA Cars Buyers DB'!K:K)&gt;54,"Old ",IF(_xlfn.XLOOKUP($A713,'RAWDATA Cars Buyers DB'!$A:$A,'RAWDATA Cars Buyers DB'!K:K)&gt;=31,"Middle Age ",IF(_xlfn.XLOOKUP($A713,'RAWDATA Cars Buyers DB'!$A:$A,'RAWDATA Cars Buyers DB'!K:K)&lt;31,"Adolescent","Invalid")))</f>
        <v xml:space="preserve">Middle Age </v>
      </c>
      <c r="M713" s="8" t="str">
        <f>_xlfn.XLOOKUP($A713,'RAWDATA Cars Buyers DB'!$A:$A,'RAWDATA Cars Buyers DB'!L:L)</f>
        <v>No</v>
      </c>
    </row>
    <row r="714" spans="1:13">
      <c r="A714" s="6">
        <v>82474</v>
      </c>
      <c r="B714" s="10" t="str">
        <f>IF(_xlfn.XLOOKUP($A714,'RAWDATA Cars Buyers DB'!$A:$A,'RAWDATA Cars Buyers DB'!B:B)="S","Single","Married")</f>
        <v>Single</v>
      </c>
      <c r="C714" s="10" t="str">
        <f>IF(_xlfn.XLOOKUP($A714,'RAWDATA Cars Buyers DB'!$A:$A,'RAWDATA Cars Buyers DB'!C:C)="F","Female","Male")</f>
        <v>Male</v>
      </c>
      <c r="D714" s="7">
        <f>_xlfn.XLOOKUP($A714,'RAWDATA Cars Buyers DB'!$A:$A,'RAWDATA Cars Buyers DB'!D:D)</f>
        <v>117618</v>
      </c>
      <c r="E714" s="8">
        <f>_xlfn.XLOOKUP($A714,'RAWDATA Cars Buyers DB'!$A:$A,'RAWDATA Cars Buyers DB'!E:E)</f>
        <v>5</v>
      </c>
      <c r="F714" s="8" t="str">
        <f>_xlfn.XLOOKUP($A714,'RAWDATA Cars Buyers DB'!$A:$A,'RAWDATA Cars Buyers DB'!F:F)</f>
        <v>Bachelors</v>
      </c>
      <c r="G714" s="8" t="str">
        <f>_xlfn.XLOOKUP($A714,'RAWDATA Cars Buyers DB'!$A:$A,'RAWDATA Cars Buyers DB'!G:G)</f>
        <v>Clerical</v>
      </c>
      <c r="H714" s="8" t="str">
        <f>_xlfn.XLOOKUP($A714,'RAWDATA Cars Buyers DB'!$A:$A,'RAWDATA Cars Buyers DB'!H:H)</f>
        <v>No</v>
      </c>
      <c r="I714" s="8" t="str">
        <f>_xlfn.XLOOKUP($A714,'RAWDATA Cars Buyers DB'!$A:$A,'RAWDATA Cars Buyers DB'!I:I)</f>
        <v>0–1 Kilometre</v>
      </c>
      <c r="J714" s="8" t="str">
        <f>_xlfn.XLOOKUP($A714,'RAWDATA Cars Buyers DB'!$A:$A,'RAWDATA Cars Buyers DB'!J:J)</f>
        <v>Thuringia</v>
      </c>
      <c r="K714" s="8">
        <f>_xlfn.XLOOKUP($A714,'RAWDATA Cars Buyers DB'!$A:$A,'RAWDATA Cars Buyers DB'!K:K)</f>
        <v>46</v>
      </c>
      <c r="L714" s="10" t="str">
        <f>IF(_xlfn.XLOOKUP($A714,'RAWDATA Cars Buyers DB'!$A:$A,'RAWDATA Cars Buyers DB'!K:K)&gt;54,"Old ",IF(_xlfn.XLOOKUP($A714,'RAWDATA Cars Buyers DB'!$A:$A,'RAWDATA Cars Buyers DB'!K:K)&gt;=31,"Middle Age ",IF(_xlfn.XLOOKUP($A714,'RAWDATA Cars Buyers DB'!$A:$A,'RAWDATA Cars Buyers DB'!K:K)&lt;31,"Adolescent","Invalid")))</f>
        <v xml:space="preserve">Middle Age </v>
      </c>
      <c r="M714" s="8" t="str">
        <f>_xlfn.XLOOKUP($A714,'RAWDATA Cars Buyers DB'!$A:$A,'RAWDATA Cars Buyers DB'!L:L)</f>
        <v>Yes</v>
      </c>
    </row>
    <row r="715" spans="1:13">
      <c r="A715" s="6">
        <v>96704</v>
      </c>
      <c r="B715" s="10" t="str">
        <f>IF(_xlfn.XLOOKUP($A715,'RAWDATA Cars Buyers DB'!$A:$A,'RAWDATA Cars Buyers DB'!B:B)="S","Single","Married")</f>
        <v>Single</v>
      </c>
      <c r="C715" s="10" t="str">
        <f>IF(_xlfn.XLOOKUP($A715,'RAWDATA Cars Buyers DB'!$A:$A,'RAWDATA Cars Buyers DB'!C:C)="F","Female","Male")</f>
        <v>Male</v>
      </c>
      <c r="D715" s="7">
        <f>_xlfn.XLOOKUP($A715,'RAWDATA Cars Buyers DB'!$A:$A,'RAWDATA Cars Buyers DB'!D:D)</f>
        <v>108330</v>
      </c>
      <c r="E715" s="8">
        <f>_xlfn.XLOOKUP($A715,'RAWDATA Cars Buyers DB'!$A:$A,'RAWDATA Cars Buyers DB'!E:E)</f>
        <v>3</v>
      </c>
      <c r="F715" s="8" t="str">
        <f>_xlfn.XLOOKUP($A715,'RAWDATA Cars Buyers DB'!$A:$A,'RAWDATA Cars Buyers DB'!F:F)</f>
        <v>Partial College</v>
      </c>
      <c r="G715" s="8" t="str">
        <f>_xlfn.XLOOKUP($A715,'RAWDATA Cars Buyers DB'!$A:$A,'RAWDATA Cars Buyers DB'!G:G)</f>
        <v>Professional</v>
      </c>
      <c r="H715" s="8" t="str">
        <f>_xlfn.XLOOKUP($A715,'RAWDATA Cars Buyers DB'!$A:$A,'RAWDATA Cars Buyers DB'!H:H)</f>
        <v>No</v>
      </c>
      <c r="I715" s="8" t="str">
        <f>_xlfn.XLOOKUP($A715,'RAWDATA Cars Buyers DB'!$A:$A,'RAWDATA Cars Buyers DB'!I:I)</f>
        <v>6+ Kilometre</v>
      </c>
      <c r="J715" s="8" t="str">
        <f>_xlfn.XLOOKUP($A715,'RAWDATA Cars Buyers DB'!$A:$A,'RAWDATA Cars Buyers DB'!J:J)</f>
        <v>Baden-Württemberg</v>
      </c>
      <c r="K715" s="8">
        <f>_xlfn.XLOOKUP($A715,'RAWDATA Cars Buyers DB'!$A:$A,'RAWDATA Cars Buyers DB'!K:K)</f>
        <v>29</v>
      </c>
      <c r="L715" s="10" t="str">
        <f>IF(_xlfn.XLOOKUP($A715,'RAWDATA Cars Buyers DB'!$A:$A,'RAWDATA Cars Buyers DB'!K:K)&gt;54,"Old ",IF(_xlfn.XLOOKUP($A715,'RAWDATA Cars Buyers DB'!$A:$A,'RAWDATA Cars Buyers DB'!K:K)&gt;=31,"Middle Age ",IF(_xlfn.XLOOKUP($A715,'RAWDATA Cars Buyers DB'!$A:$A,'RAWDATA Cars Buyers DB'!K:K)&lt;31,"Adolescent","Invalid")))</f>
        <v>Adolescent</v>
      </c>
      <c r="M715" s="8" t="str">
        <f>_xlfn.XLOOKUP($A715,'RAWDATA Cars Buyers DB'!$A:$A,'RAWDATA Cars Buyers DB'!L:L)</f>
        <v>No</v>
      </c>
    </row>
    <row r="716" spans="1:13">
      <c r="A716" s="6">
        <v>56540</v>
      </c>
      <c r="B716" s="10" t="str">
        <f>IF(_xlfn.XLOOKUP($A716,'RAWDATA Cars Buyers DB'!$A:$A,'RAWDATA Cars Buyers DB'!B:B)="S","Single","Married")</f>
        <v>Married</v>
      </c>
      <c r="C716" s="10" t="str">
        <f>IF(_xlfn.XLOOKUP($A716,'RAWDATA Cars Buyers DB'!$A:$A,'RAWDATA Cars Buyers DB'!C:C)="F","Female","Male")</f>
        <v>Male</v>
      </c>
      <c r="D716" s="7">
        <f>_xlfn.XLOOKUP($A716,'RAWDATA Cars Buyers DB'!$A:$A,'RAWDATA Cars Buyers DB'!D:D)</f>
        <v>75751</v>
      </c>
      <c r="E716" s="8">
        <f>_xlfn.XLOOKUP($A716,'RAWDATA Cars Buyers DB'!$A:$A,'RAWDATA Cars Buyers DB'!E:E)</f>
        <v>4</v>
      </c>
      <c r="F716" s="8" t="str">
        <f>_xlfn.XLOOKUP($A716,'RAWDATA Cars Buyers DB'!$A:$A,'RAWDATA Cars Buyers DB'!F:F)</f>
        <v>Graduate Degree</v>
      </c>
      <c r="G716" s="8" t="str">
        <f>_xlfn.XLOOKUP($A716,'RAWDATA Cars Buyers DB'!$A:$A,'RAWDATA Cars Buyers DB'!G:G)</f>
        <v>Clerical</v>
      </c>
      <c r="H716" s="8" t="str">
        <f>_xlfn.XLOOKUP($A716,'RAWDATA Cars Buyers DB'!$A:$A,'RAWDATA Cars Buyers DB'!H:H)</f>
        <v>No</v>
      </c>
      <c r="I716" s="8" t="str">
        <f>_xlfn.XLOOKUP($A716,'RAWDATA Cars Buyers DB'!$A:$A,'RAWDATA Cars Buyers DB'!I:I)</f>
        <v>1–2 Kilometre</v>
      </c>
      <c r="J716" s="8" t="str">
        <f>_xlfn.XLOOKUP($A716,'RAWDATA Cars Buyers DB'!$A:$A,'RAWDATA Cars Buyers DB'!J:J)</f>
        <v>Rhineland-Palatinate</v>
      </c>
      <c r="K716" s="8">
        <f>_xlfn.XLOOKUP($A716,'RAWDATA Cars Buyers DB'!$A:$A,'RAWDATA Cars Buyers DB'!K:K)</f>
        <v>44</v>
      </c>
      <c r="L716" s="10" t="str">
        <f>IF(_xlfn.XLOOKUP($A716,'RAWDATA Cars Buyers DB'!$A:$A,'RAWDATA Cars Buyers DB'!K:K)&gt;54,"Old ",IF(_xlfn.XLOOKUP($A716,'RAWDATA Cars Buyers DB'!$A:$A,'RAWDATA Cars Buyers DB'!K:K)&gt;=31,"Middle Age ",IF(_xlfn.XLOOKUP($A716,'RAWDATA Cars Buyers DB'!$A:$A,'RAWDATA Cars Buyers DB'!K:K)&lt;31,"Adolescent","Invalid")))</f>
        <v xml:space="preserve">Middle Age </v>
      </c>
      <c r="M716" s="8" t="str">
        <f>_xlfn.XLOOKUP($A716,'RAWDATA Cars Buyers DB'!$A:$A,'RAWDATA Cars Buyers DB'!L:L)</f>
        <v>No</v>
      </c>
    </row>
    <row r="717" spans="1:13">
      <c r="A717" s="6">
        <v>30384</v>
      </c>
      <c r="B717" s="10" t="str">
        <f>IF(_xlfn.XLOOKUP($A717,'RAWDATA Cars Buyers DB'!$A:$A,'RAWDATA Cars Buyers DB'!B:B)="S","Single","Married")</f>
        <v>Married</v>
      </c>
      <c r="C717" s="10" t="str">
        <f>IF(_xlfn.XLOOKUP($A717,'RAWDATA Cars Buyers DB'!$A:$A,'RAWDATA Cars Buyers DB'!C:C)="F","Female","Male")</f>
        <v>Female</v>
      </c>
      <c r="D717" s="7">
        <f>_xlfn.XLOOKUP($A717,'RAWDATA Cars Buyers DB'!$A:$A,'RAWDATA Cars Buyers DB'!D:D)</f>
        <v>98915</v>
      </c>
      <c r="E717" s="8">
        <f>_xlfn.XLOOKUP($A717,'RAWDATA Cars Buyers DB'!$A:$A,'RAWDATA Cars Buyers DB'!E:E)</f>
        <v>2</v>
      </c>
      <c r="F717" s="8" t="str">
        <f>_xlfn.XLOOKUP($A717,'RAWDATA Cars Buyers DB'!$A:$A,'RAWDATA Cars Buyers DB'!F:F)</f>
        <v>Bachelors</v>
      </c>
      <c r="G717" s="8" t="str">
        <f>_xlfn.XLOOKUP($A717,'RAWDATA Cars Buyers DB'!$A:$A,'RAWDATA Cars Buyers DB'!G:G)</f>
        <v>Management</v>
      </c>
      <c r="H717" s="8" t="str">
        <f>_xlfn.XLOOKUP($A717,'RAWDATA Cars Buyers DB'!$A:$A,'RAWDATA Cars Buyers DB'!H:H)</f>
        <v>No</v>
      </c>
      <c r="I717" s="8" t="str">
        <f>_xlfn.XLOOKUP($A717,'RAWDATA Cars Buyers DB'!$A:$A,'RAWDATA Cars Buyers DB'!I:I)</f>
        <v>0–1 Kilometre</v>
      </c>
      <c r="J717" s="8" t="str">
        <f>_xlfn.XLOOKUP($A717,'RAWDATA Cars Buyers DB'!$A:$A,'RAWDATA Cars Buyers DB'!J:J)</f>
        <v>North Rhine-Westphalia</v>
      </c>
      <c r="K717" s="8">
        <f>_xlfn.XLOOKUP($A717,'RAWDATA Cars Buyers DB'!$A:$A,'RAWDATA Cars Buyers DB'!K:K)</f>
        <v>32</v>
      </c>
      <c r="L717" s="10" t="str">
        <f>IF(_xlfn.XLOOKUP($A717,'RAWDATA Cars Buyers DB'!$A:$A,'RAWDATA Cars Buyers DB'!K:K)&gt;54,"Old ",IF(_xlfn.XLOOKUP($A717,'RAWDATA Cars Buyers DB'!$A:$A,'RAWDATA Cars Buyers DB'!K:K)&gt;=31,"Middle Age ",IF(_xlfn.XLOOKUP($A717,'RAWDATA Cars Buyers DB'!$A:$A,'RAWDATA Cars Buyers DB'!K:K)&lt;31,"Adolescent","Invalid")))</f>
        <v xml:space="preserve">Middle Age </v>
      </c>
      <c r="M717" s="8" t="str">
        <f>_xlfn.XLOOKUP($A717,'RAWDATA Cars Buyers DB'!$A:$A,'RAWDATA Cars Buyers DB'!L:L)</f>
        <v>Yes</v>
      </c>
    </row>
    <row r="718" spans="1:13">
      <c r="A718" s="6">
        <v>28017</v>
      </c>
      <c r="B718" s="10" t="str">
        <f>IF(_xlfn.XLOOKUP($A718,'RAWDATA Cars Buyers DB'!$A:$A,'RAWDATA Cars Buyers DB'!B:B)="S","Single","Married")</f>
        <v>Single</v>
      </c>
      <c r="C718" s="10" t="str">
        <f>IF(_xlfn.XLOOKUP($A718,'RAWDATA Cars Buyers DB'!$A:$A,'RAWDATA Cars Buyers DB'!C:C)="F","Female","Male")</f>
        <v>Male</v>
      </c>
      <c r="D718" s="7">
        <f>_xlfn.XLOOKUP($A718,'RAWDATA Cars Buyers DB'!$A:$A,'RAWDATA Cars Buyers DB'!D:D)</f>
        <v>74254</v>
      </c>
      <c r="E718" s="8">
        <f>_xlfn.XLOOKUP($A718,'RAWDATA Cars Buyers DB'!$A:$A,'RAWDATA Cars Buyers DB'!E:E)</f>
        <v>5</v>
      </c>
      <c r="F718" s="8" t="str">
        <f>_xlfn.XLOOKUP($A718,'RAWDATA Cars Buyers DB'!$A:$A,'RAWDATA Cars Buyers DB'!F:F)</f>
        <v>High School</v>
      </c>
      <c r="G718" s="8" t="str">
        <f>_xlfn.XLOOKUP($A718,'RAWDATA Cars Buyers DB'!$A:$A,'RAWDATA Cars Buyers DB'!G:G)</f>
        <v>Professional</v>
      </c>
      <c r="H718" s="8" t="str">
        <f>_xlfn.XLOOKUP($A718,'RAWDATA Cars Buyers DB'!$A:$A,'RAWDATA Cars Buyers DB'!H:H)</f>
        <v>Yes</v>
      </c>
      <c r="I718" s="8" t="str">
        <f>_xlfn.XLOOKUP($A718,'RAWDATA Cars Buyers DB'!$A:$A,'RAWDATA Cars Buyers DB'!I:I)</f>
        <v>4–6 Kilometre</v>
      </c>
      <c r="J718" s="8" t="str">
        <f>_xlfn.XLOOKUP($A718,'RAWDATA Cars Buyers DB'!$A:$A,'RAWDATA Cars Buyers DB'!J:J)</f>
        <v>Mecklenburg-Vorpommern</v>
      </c>
      <c r="K718" s="8">
        <f>_xlfn.XLOOKUP($A718,'RAWDATA Cars Buyers DB'!$A:$A,'RAWDATA Cars Buyers DB'!K:K)</f>
        <v>35</v>
      </c>
      <c r="L718" s="10" t="str">
        <f>IF(_xlfn.XLOOKUP($A718,'RAWDATA Cars Buyers DB'!$A:$A,'RAWDATA Cars Buyers DB'!K:K)&gt;54,"Old ",IF(_xlfn.XLOOKUP($A718,'RAWDATA Cars Buyers DB'!$A:$A,'RAWDATA Cars Buyers DB'!K:K)&gt;=31,"Middle Age ",IF(_xlfn.XLOOKUP($A718,'RAWDATA Cars Buyers DB'!$A:$A,'RAWDATA Cars Buyers DB'!K:K)&lt;31,"Adolescent","Invalid")))</f>
        <v xml:space="preserve">Middle Age </v>
      </c>
      <c r="M718" s="8" t="str">
        <f>_xlfn.XLOOKUP($A718,'RAWDATA Cars Buyers DB'!$A:$A,'RAWDATA Cars Buyers DB'!L:L)</f>
        <v>Yes</v>
      </c>
    </row>
    <row r="719" spans="1:13">
      <c r="A719" s="6">
        <v>85880</v>
      </c>
      <c r="B719" s="10" t="str">
        <f>IF(_xlfn.XLOOKUP($A719,'RAWDATA Cars Buyers DB'!$A:$A,'RAWDATA Cars Buyers DB'!B:B)="S","Single","Married")</f>
        <v>Married</v>
      </c>
      <c r="C719" s="10" t="str">
        <f>IF(_xlfn.XLOOKUP($A719,'RAWDATA Cars Buyers DB'!$A:$A,'RAWDATA Cars Buyers DB'!C:C)="F","Female","Male")</f>
        <v>Male</v>
      </c>
      <c r="D719" s="7">
        <f>_xlfn.XLOOKUP($A719,'RAWDATA Cars Buyers DB'!$A:$A,'RAWDATA Cars Buyers DB'!D:D)</f>
        <v>27006</v>
      </c>
      <c r="E719" s="8">
        <f>_xlfn.XLOOKUP($A719,'RAWDATA Cars Buyers DB'!$A:$A,'RAWDATA Cars Buyers DB'!E:E)</f>
        <v>5</v>
      </c>
      <c r="F719" s="8" t="str">
        <f>_xlfn.XLOOKUP($A719,'RAWDATA Cars Buyers DB'!$A:$A,'RAWDATA Cars Buyers DB'!F:F)</f>
        <v>Partial College</v>
      </c>
      <c r="G719" s="8" t="str">
        <f>_xlfn.XLOOKUP($A719,'RAWDATA Cars Buyers DB'!$A:$A,'RAWDATA Cars Buyers DB'!G:G)</f>
        <v>Skilled Manual</v>
      </c>
      <c r="H719" s="8" t="str">
        <f>_xlfn.XLOOKUP($A719,'RAWDATA Cars Buyers DB'!$A:$A,'RAWDATA Cars Buyers DB'!H:H)</f>
        <v>No</v>
      </c>
      <c r="I719" s="8" t="str">
        <f>_xlfn.XLOOKUP($A719,'RAWDATA Cars Buyers DB'!$A:$A,'RAWDATA Cars Buyers DB'!I:I)</f>
        <v>4–6 Kilometre</v>
      </c>
      <c r="J719" s="8" t="str">
        <f>_xlfn.XLOOKUP($A719,'RAWDATA Cars Buyers DB'!$A:$A,'RAWDATA Cars Buyers DB'!J:J)</f>
        <v>Bremen</v>
      </c>
      <c r="K719" s="8">
        <f>_xlfn.XLOOKUP($A719,'RAWDATA Cars Buyers DB'!$A:$A,'RAWDATA Cars Buyers DB'!K:K)</f>
        <v>60</v>
      </c>
      <c r="L719" s="10" t="str">
        <f>IF(_xlfn.XLOOKUP($A719,'RAWDATA Cars Buyers DB'!$A:$A,'RAWDATA Cars Buyers DB'!K:K)&gt;54,"Old ",IF(_xlfn.XLOOKUP($A719,'RAWDATA Cars Buyers DB'!$A:$A,'RAWDATA Cars Buyers DB'!K:K)&gt;=31,"Middle Age ",IF(_xlfn.XLOOKUP($A719,'RAWDATA Cars Buyers DB'!$A:$A,'RAWDATA Cars Buyers DB'!K:K)&lt;31,"Adolescent","Invalid")))</f>
        <v xml:space="preserve">Old </v>
      </c>
      <c r="M719" s="8" t="str">
        <f>_xlfn.XLOOKUP($A719,'RAWDATA Cars Buyers DB'!$A:$A,'RAWDATA Cars Buyers DB'!L:L)</f>
        <v>Yes</v>
      </c>
    </row>
    <row r="720" spans="1:13">
      <c r="A720" s="6">
        <v>18702</v>
      </c>
      <c r="B720" s="10" t="str">
        <f>IF(_xlfn.XLOOKUP($A720,'RAWDATA Cars Buyers DB'!$A:$A,'RAWDATA Cars Buyers DB'!B:B)="S","Single","Married")</f>
        <v>Single</v>
      </c>
      <c r="C720" s="10" t="str">
        <f>IF(_xlfn.XLOOKUP($A720,'RAWDATA Cars Buyers DB'!$A:$A,'RAWDATA Cars Buyers DB'!C:C)="F","Female","Male")</f>
        <v>Male</v>
      </c>
      <c r="D720" s="7">
        <f>_xlfn.XLOOKUP($A720,'RAWDATA Cars Buyers DB'!$A:$A,'RAWDATA Cars Buyers DB'!D:D)</f>
        <v>94218</v>
      </c>
      <c r="E720" s="8">
        <f>_xlfn.XLOOKUP($A720,'RAWDATA Cars Buyers DB'!$A:$A,'RAWDATA Cars Buyers DB'!E:E)</f>
        <v>5</v>
      </c>
      <c r="F720" s="8" t="str">
        <f>_xlfn.XLOOKUP($A720,'RAWDATA Cars Buyers DB'!$A:$A,'RAWDATA Cars Buyers DB'!F:F)</f>
        <v>High School</v>
      </c>
      <c r="G720" s="8" t="str">
        <f>_xlfn.XLOOKUP($A720,'RAWDATA Cars Buyers DB'!$A:$A,'RAWDATA Cars Buyers DB'!G:G)</f>
        <v>Management</v>
      </c>
      <c r="H720" s="8" t="str">
        <f>_xlfn.XLOOKUP($A720,'RAWDATA Cars Buyers DB'!$A:$A,'RAWDATA Cars Buyers DB'!H:H)</f>
        <v>No</v>
      </c>
      <c r="I720" s="8" t="str">
        <f>_xlfn.XLOOKUP($A720,'RAWDATA Cars Buyers DB'!$A:$A,'RAWDATA Cars Buyers DB'!I:I)</f>
        <v>0–1 Kilometre</v>
      </c>
      <c r="J720" s="8" t="str">
        <f>_xlfn.XLOOKUP($A720,'RAWDATA Cars Buyers DB'!$A:$A,'RAWDATA Cars Buyers DB'!J:J)</f>
        <v>Rhineland-Palatinate</v>
      </c>
      <c r="K720" s="8">
        <f>_xlfn.XLOOKUP($A720,'RAWDATA Cars Buyers DB'!$A:$A,'RAWDATA Cars Buyers DB'!K:K)</f>
        <v>53</v>
      </c>
      <c r="L720" s="10" t="str">
        <f>IF(_xlfn.XLOOKUP($A720,'RAWDATA Cars Buyers DB'!$A:$A,'RAWDATA Cars Buyers DB'!K:K)&gt;54,"Old ",IF(_xlfn.XLOOKUP($A720,'RAWDATA Cars Buyers DB'!$A:$A,'RAWDATA Cars Buyers DB'!K:K)&gt;=31,"Middle Age ",IF(_xlfn.XLOOKUP($A720,'RAWDATA Cars Buyers DB'!$A:$A,'RAWDATA Cars Buyers DB'!K:K)&lt;31,"Adolescent","Invalid")))</f>
        <v xml:space="preserve">Middle Age </v>
      </c>
      <c r="M720" s="8" t="str">
        <f>_xlfn.XLOOKUP($A720,'RAWDATA Cars Buyers DB'!$A:$A,'RAWDATA Cars Buyers DB'!L:L)</f>
        <v>No</v>
      </c>
    </row>
    <row r="721" spans="1:13">
      <c r="A721" s="6">
        <v>10384</v>
      </c>
      <c r="B721" s="10" t="str">
        <f>IF(_xlfn.XLOOKUP($A721,'RAWDATA Cars Buyers DB'!$A:$A,'RAWDATA Cars Buyers DB'!B:B)="S","Single","Married")</f>
        <v>Single</v>
      </c>
      <c r="C721" s="10" t="str">
        <f>IF(_xlfn.XLOOKUP($A721,'RAWDATA Cars Buyers DB'!$A:$A,'RAWDATA Cars Buyers DB'!C:C)="F","Female","Male")</f>
        <v>Male</v>
      </c>
      <c r="D721" s="7">
        <f>_xlfn.XLOOKUP($A721,'RAWDATA Cars Buyers DB'!$A:$A,'RAWDATA Cars Buyers DB'!D:D)</f>
        <v>85344</v>
      </c>
      <c r="E721" s="8">
        <f>_xlfn.XLOOKUP($A721,'RAWDATA Cars Buyers DB'!$A:$A,'RAWDATA Cars Buyers DB'!E:E)</f>
        <v>1</v>
      </c>
      <c r="F721" s="8" t="str">
        <f>_xlfn.XLOOKUP($A721,'RAWDATA Cars Buyers DB'!$A:$A,'RAWDATA Cars Buyers DB'!F:F)</f>
        <v>Graduate Degree</v>
      </c>
      <c r="G721" s="8" t="str">
        <f>_xlfn.XLOOKUP($A721,'RAWDATA Cars Buyers DB'!$A:$A,'RAWDATA Cars Buyers DB'!G:G)</f>
        <v>Clerical</v>
      </c>
      <c r="H721" s="8" t="str">
        <f>_xlfn.XLOOKUP($A721,'RAWDATA Cars Buyers DB'!$A:$A,'RAWDATA Cars Buyers DB'!H:H)</f>
        <v>Yes</v>
      </c>
      <c r="I721" s="8" t="str">
        <f>_xlfn.XLOOKUP($A721,'RAWDATA Cars Buyers DB'!$A:$A,'RAWDATA Cars Buyers DB'!I:I)</f>
        <v>2–4 Kilometre</v>
      </c>
      <c r="J721" s="8" t="str">
        <f>_xlfn.XLOOKUP($A721,'RAWDATA Cars Buyers DB'!$A:$A,'RAWDATA Cars Buyers DB'!J:J)</f>
        <v>Rhineland-Palatinate</v>
      </c>
      <c r="K721" s="8">
        <f>_xlfn.XLOOKUP($A721,'RAWDATA Cars Buyers DB'!$A:$A,'RAWDATA Cars Buyers DB'!K:K)</f>
        <v>56</v>
      </c>
      <c r="L721" s="10" t="str">
        <f>IF(_xlfn.XLOOKUP($A721,'RAWDATA Cars Buyers DB'!$A:$A,'RAWDATA Cars Buyers DB'!K:K)&gt;54,"Old ",IF(_xlfn.XLOOKUP($A721,'RAWDATA Cars Buyers DB'!$A:$A,'RAWDATA Cars Buyers DB'!K:K)&gt;=31,"Middle Age ",IF(_xlfn.XLOOKUP($A721,'RAWDATA Cars Buyers DB'!$A:$A,'RAWDATA Cars Buyers DB'!K:K)&lt;31,"Adolescent","Invalid")))</f>
        <v xml:space="preserve">Old </v>
      </c>
      <c r="M721" s="8" t="str">
        <f>_xlfn.XLOOKUP($A721,'RAWDATA Cars Buyers DB'!$A:$A,'RAWDATA Cars Buyers DB'!L:L)</f>
        <v>No</v>
      </c>
    </row>
    <row r="722" spans="1:13">
      <c r="A722" s="6">
        <v>10404</v>
      </c>
      <c r="B722" s="10" t="str">
        <f>IF(_xlfn.XLOOKUP($A722,'RAWDATA Cars Buyers DB'!$A:$A,'RAWDATA Cars Buyers DB'!B:B)="S","Single","Married")</f>
        <v>Single</v>
      </c>
      <c r="C722" s="10" t="str">
        <f>IF(_xlfn.XLOOKUP($A722,'RAWDATA Cars Buyers DB'!$A:$A,'RAWDATA Cars Buyers DB'!C:C)="F","Female","Male")</f>
        <v>Male</v>
      </c>
      <c r="D722" s="7">
        <f>_xlfn.XLOOKUP($A722,'RAWDATA Cars Buyers DB'!$A:$A,'RAWDATA Cars Buyers DB'!D:D)</f>
        <v>53840</v>
      </c>
      <c r="E722" s="8">
        <f>_xlfn.XLOOKUP($A722,'RAWDATA Cars Buyers DB'!$A:$A,'RAWDATA Cars Buyers DB'!E:E)</f>
        <v>0</v>
      </c>
      <c r="F722" s="8" t="str">
        <f>_xlfn.XLOOKUP($A722,'RAWDATA Cars Buyers DB'!$A:$A,'RAWDATA Cars Buyers DB'!F:F)</f>
        <v>High School</v>
      </c>
      <c r="G722" s="8" t="str">
        <f>_xlfn.XLOOKUP($A722,'RAWDATA Cars Buyers DB'!$A:$A,'RAWDATA Cars Buyers DB'!G:G)</f>
        <v>Management</v>
      </c>
      <c r="H722" s="8" t="str">
        <f>_xlfn.XLOOKUP($A722,'RAWDATA Cars Buyers DB'!$A:$A,'RAWDATA Cars Buyers DB'!H:H)</f>
        <v>No</v>
      </c>
      <c r="I722" s="8" t="str">
        <f>_xlfn.XLOOKUP($A722,'RAWDATA Cars Buyers DB'!$A:$A,'RAWDATA Cars Buyers DB'!I:I)</f>
        <v>2–4 Kilometre</v>
      </c>
      <c r="J722" s="8" t="str">
        <f>_xlfn.XLOOKUP($A722,'RAWDATA Cars Buyers DB'!$A:$A,'RAWDATA Cars Buyers DB'!J:J)</f>
        <v>Schleswig-Holstein</v>
      </c>
      <c r="K722" s="8">
        <f>_xlfn.XLOOKUP($A722,'RAWDATA Cars Buyers DB'!$A:$A,'RAWDATA Cars Buyers DB'!K:K)</f>
        <v>41</v>
      </c>
      <c r="L722" s="10" t="str">
        <f>IF(_xlfn.XLOOKUP($A722,'RAWDATA Cars Buyers DB'!$A:$A,'RAWDATA Cars Buyers DB'!K:K)&gt;54,"Old ",IF(_xlfn.XLOOKUP($A722,'RAWDATA Cars Buyers DB'!$A:$A,'RAWDATA Cars Buyers DB'!K:K)&gt;=31,"Middle Age ",IF(_xlfn.XLOOKUP($A722,'RAWDATA Cars Buyers DB'!$A:$A,'RAWDATA Cars Buyers DB'!K:K)&lt;31,"Adolescent","Invalid")))</f>
        <v xml:space="preserve">Middle Age </v>
      </c>
      <c r="M722" s="8" t="str">
        <f>_xlfn.XLOOKUP($A722,'RAWDATA Cars Buyers DB'!$A:$A,'RAWDATA Cars Buyers DB'!L:L)</f>
        <v>Yes</v>
      </c>
    </row>
    <row r="723" spans="1:13">
      <c r="A723" s="6">
        <v>50943</v>
      </c>
      <c r="B723" s="10" t="str">
        <f>IF(_xlfn.XLOOKUP($A723,'RAWDATA Cars Buyers DB'!$A:$A,'RAWDATA Cars Buyers DB'!B:B)="S","Single","Married")</f>
        <v>Married</v>
      </c>
      <c r="C723" s="10" t="str">
        <f>IF(_xlfn.XLOOKUP($A723,'RAWDATA Cars Buyers DB'!$A:$A,'RAWDATA Cars Buyers DB'!C:C)="F","Female","Male")</f>
        <v>Female</v>
      </c>
      <c r="D723" s="7">
        <f>_xlfn.XLOOKUP($A723,'RAWDATA Cars Buyers DB'!$A:$A,'RAWDATA Cars Buyers DB'!D:D)</f>
        <v>52430</v>
      </c>
      <c r="E723" s="8">
        <f>_xlfn.XLOOKUP($A723,'RAWDATA Cars Buyers DB'!$A:$A,'RAWDATA Cars Buyers DB'!E:E)</f>
        <v>3</v>
      </c>
      <c r="F723" s="8" t="str">
        <f>_xlfn.XLOOKUP($A723,'RAWDATA Cars Buyers DB'!$A:$A,'RAWDATA Cars Buyers DB'!F:F)</f>
        <v>Bachelors</v>
      </c>
      <c r="G723" s="8" t="str">
        <f>_xlfn.XLOOKUP($A723,'RAWDATA Cars Buyers DB'!$A:$A,'RAWDATA Cars Buyers DB'!G:G)</f>
        <v>Clerical</v>
      </c>
      <c r="H723" s="8" t="str">
        <f>_xlfn.XLOOKUP($A723,'RAWDATA Cars Buyers DB'!$A:$A,'RAWDATA Cars Buyers DB'!H:H)</f>
        <v>No</v>
      </c>
      <c r="I723" s="8" t="str">
        <f>_xlfn.XLOOKUP($A723,'RAWDATA Cars Buyers DB'!$A:$A,'RAWDATA Cars Buyers DB'!I:I)</f>
        <v>1–2 Kilometre</v>
      </c>
      <c r="J723" s="8" t="str">
        <f>_xlfn.XLOOKUP($A723,'RAWDATA Cars Buyers DB'!$A:$A,'RAWDATA Cars Buyers DB'!J:J)</f>
        <v>Saarland</v>
      </c>
      <c r="K723" s="8">
        <f>_xlfn.XLOOKUP($A723,'RAWDATA Cars Buyers DB'!$A:$A,'RAWDATA Cars Buyers DB'!K:K)</f>
        <v>36</v>
      </c>
      <c r="L723" s="10" t="str">
        <f>IF(_xlfn.XLOOKUP($A723,'RAWDATA Cars Buyers DB'!$A:$A,'RAWDATA Cars Buyers DB'!K:K)&gt;54,"Old ",IF(_xlfn.XLOOKUP($A723,'RAWDATA Cars Buyers DB'!$A:$A,'RAWDATA Cars Buyers DB'!K:K)&gt;=31,"Middle Age ",IF(_xlfn.XLOOKUP($A723,'RAWDATA Cars Buyers DB'!$A:$A,'RAWDATA Cars Buyers DB'!K:K)&lt;31,"Adolescent","Invalid")))</f>
        <v xml:space="preserve">Middle Age </v>
      </c>
      <c r="M723" s="8" t="str">
        <f>_xlfn.XLOOKUP($A723,'RAWDATA Cars Buyers DB'!$A:$A,'RAWDATA Cars Buyers DB'!L:L)</f>
        <v>Yes</v>
      </c>
    </row>
    <row r="724" spans="1:13">
      <c r="A724" s="6">
        <v>57926</v>
      </c>
      <c r="B724" s="10" t="str">
        <f>IF(_xlfn.XLOOKUP($A724,'RAWDATA Cars Buyers DB'!$A:$A,'RAWDATA Cars Buyers DB'!B:B)="S","Single","Married")</f>
        <v>Married</v>
      </c>
      <c r="C724" s="10" t="str">
        <f>IF(_xlfn.XLOOKUP($A724,'RAWDATA Cars Buyers DB'!$A:$A,'RAWDATA Cars Buyers DB'!C:C)="F","Female","Male")</f>
        <v>Male</v>
      </c>
      <c r="D724" s="7">
        <f>_xlfn.XLOOKUP($A724,'RAWDATA Cars Buyers DB'!$A:$A,'RAWDATA Cars Buyers DB'!D:D)</f>
        <v>43091</v>
      </c>
      <c r="E724" s="8">
        <f>_xlfn.XLOOKUP($A724,'RAWDATA Cars Buyers DB'!$A:$A,'RAWDATA Cars Buyers DB'!E:E)</f>
        <v>2</v>
      </c>
      <c r="F724" s="8" t="str">
        <f>_xlfn.XLOOKUP($A724,'RAWDATA Cars Buyers DB'!$A:$A,'RAWDATA Cars Buyers DB'!F:F)</f>
        <v>Bachelors</v>
      </c>
      <c r="G724" s="8" t="str">
        <f>_xlfn.XLOOKUP($A724,'RAWDATA Cars Buyers DB'!$A:$A,'RAWDATA Cars Buyers DB'!G:G)</f>
        <v>Management</v>
      </c>
      <c r="H724" s="8" t="str">
        <f>_xlfn.XLOOKUP($A724,'RAWDATA Cars Buyers DB'!$A:$A,'RAWDATA Cars Buyers DB'!H:H)</f>
        <v>Yes</v>
      </c>
      <c r="I724" s="8" t="str">
        <f>_xlfn.XLOOKUP($A724,'RAWDATA Cars Buyers DB'!$A:$A,'RAWDATA Cars Buyers DB'!I:I)</f>
        <v>4–6 Kilometre</v>
      </c>
      <c r="J724" s="8" t="str">
        <f>_xlfn.XLOOKUP($A724,'RAWDATA Cars Buyers DB'!$A:$A,'RAWDATA Cars Buyers DB'!J:J)</f>
        <v>Schleswig-Holstein</v>
      </c>
      <c r="K724" s="8">
        <f>_xlfn.XLOOKUP($A724,'RAWDATA Cars Buyers DB'!$A:$A,'RAWDATA Cars Buyers DB'!K:K)</f>
        <v>42</v>
      </c>
      <c r="L724" s="10" t="str">
        <f>IF(_xlfn.XLOOKUP($A724,'RAWDATA Cars Buyers DB'!$A:$A,'RAWDATA Cars Buyers DB'!K:K)&gt;54,"Old ",IF(_xlfn.XLOOKUP($A724,'RAWDATA Cars Buyers DB'!$A:$A,'RAWDATA Cars Buyers DB'!K:K)&gt;=31,"Middle Age ",IF(_xlfn.XLOOKUP($A724,'RAWDATA Cars Buyers DB'!$A:$A,'RAWDATA Cars Buyers DB'!K:K)&lt;31,"Adolescent","Invalid")))</f>
        <v xml:space="preserve">Middle Age </v>
      </c>
      <c r="M724" s="8" t="str">
        <f>_xlfn.XLOOKUP($A724,'RAWDATA Cars Buyers DB'!$A:$A,'RAWDATA Cars Buyers DB'!L:L)</f>
        <v>Yes</v>
      </c>
    </row>
    <row r="725" spans="1:13">
      <c r="A725" s="6">
        <v>39189</v>
      </c>
      <c r="B725" s="10" t="str">
        <f>IF(_xlfn.XLOOKUP($A725,'RAWDATA Cars Buyers DB'!$A:$A,'RAWDATA Cars Buyers DB'!B:B)="S","Single","Married")</f>
        <v>Married</v>
      </c>
      <c r="C725" s="10" t="str">
        <f>IF(_xlfn.XLOOKUP($A725,'RAWDATA Cars Buyers DB'!$A:$A,'RAWDATA Cars Buyers DB'!C:C)="F","Female","Male")</f>
        <v>Female</v>
      </c>
      <c r="D725" s="7">
        <f>_xlfn.XLOOKUP($A725,'RAWDATA Cars Buyers DB'!$A:$A,'RAWDATA Cars Buyers DB'!D:D)</f>
        <v>52983</v>
      </c>
      <c r="E725" s="8">
        <f>_xlfn.XLOOKUP($A725,'RAWDATA Cars Buyers DB'!$A:$A,'RAWDATA Cars Buyers DB'!E:E)</f>
        <v>1</v>
      </c>
      <c r="F725" s="8" t="str">
        <f>_xlfn.XLOOKUP($A725,'RAWDATA Cars Buyers DB'!$A:$A,'RAWDATA Cars Buyers DB'!F:F)</f>
        <v>Graduate Degree</v>
      </c>
      <c r="G725" s="8" t="str">
        <f>_xlfn.XLOOKUP($A725,'RAWDATA Cars Buyers DB'!$A:$A,'RAWDATA Cars Buyers DB'!G:G)</f>
        <v>Clerical</v>
      </c>
      <c r="H725" s="8" t="str">
        <f>_xlfn.XLOOKUP($A725,'RAWDATA Cars Buyers DB'!$A:$A,'RAWDATA Cars Buyers DB'!H:H)</f>
        <v>Yes</v>
      </c>
      <c r="I725" s="8" t="str">
        <f>_xlfn.XLOOKUP($A725,'RAWDATA Cars Buyers DB'!$A:$A,'RAWDATA Cars Buyers DB'!I:I)</f>
        <v>2–4 Kilometre</v>
      </c>
      <c r="J725" s="8" t="str">
        <f>_xlfn.XLOOKUP($A725,'RAWDATA Cars Buyers DB'!$A:$A,'RAWDATA Cars Buyers DB'!J:J)</f>
        <v>Lower Saxony</v>
      </c>
      <c r="K725" s="8">
        <f>_xlfn.XLOOKUP($A725,'RAWDATA Cars Buyers DB'!$A:$A,'RAWDATA Cars Buyers DB'!K:K)</f>
        <v>55</v>
      </c>
      <c r="L725" s="10" t="str">
        <f>IF(_xlfn.XLOOKUP($A725,'RAWDATA Cars Buyers DB'!$A:$A,'RAWDATA Cars Buyers DB'!K:K)&gt;54,"Old ",IF(_xlfn.XLOOKUP($A725,'RAWDATA Cars Buyers DB'!$A:$A,'RAWDATA Cars Buyers DB'!K:K)&gt;=31,"Middle Age ",IF(_xlfn.XLOOKUP($A725,'RAWDATA Cars Buyers DB'!$A:$A,'RAWDATA Cars Buyers DB'!K:K)&lt;31,"Adolescent","Invalid")))</f>
        <v xml:space="preserve">Old </v>
      </c>
      <c r="M725" s="8" t="str">
        <f>_xlfn.XLOOKUP($A725,'RAWDATA Cars Buyers DB'!$A:$A,'RAWDATA Cars Buyers DB'!L:L)</f>
        <v>No</v>
      </c>
    </row>
    <row r="726" spans="1:13">
      <c r="A726" s="6">
        <v>22763</v>
      </c>
      <c r="B726" s="10" t="str">
        <f>IF(_xlfn.XLOOKUP($A726,'RAWDATA Cars Buyers DB'!$A:$A,'RAWDATA Cars Buyers DB'!B:B)="S","Single","Married")</f>
        <v>Single</v>
      </c>
      <c r="C726" s="10" t="str">
        <f>IF(_xlfn.XLOOKUP($A726,'RAWDATA Cars Buyers DB'!$A:$A,'RAWDATA Cars Buyers DB'!C:C)="F","Female","Male")</f>
        <v>Female</v>
      </c>
      <c r="D726" s="7">
        <f>_xlfn.XLOOKUP($A726,'RAWDATA Cars Buyers DB'!$A:$A,'RAWDATA Cars Buyers DB'!D:D)</f>
        <v>43989</v>
      </c>
      <c r="E726" s="8">
        <f>_xlfn.XLOOKUP($A726,'RAWDATA Cars Buyers DB'!$A:$A,'RAWDATA Cars Buyers DB'!E:E)</f>
        <v>2</v>
      </c>
      <c r="F726" s="8" t="str">
        <f>_xlfn.XLOOKUP($A726,'RAWDATA Cars Buyers DB'!$A:$A,'RAWDATA Cars Buyers DB'!F:F)</f>
        <v>High School</v>
      </c>
      <c r="G726" s="8" t="str">
        <f>_xlfn.XLOOKUP($A726,'RAWDATA Cars Buyers DB'!$A:$A,'RAWDATA Cars Buyers DB'!G:G)</f>
        <v>Professional</v>
      </c>
      <c r="H726" s="8" t="str">
        <f>_xlfn.XLOOKUP($A726,'RAWDATA Cars Buyers DB'!$A:$A,'RAWDATA Cars Buyers DB'!H:H)</f>
        <v>Yes</v>
      </c>
      <c r="I726" s="8" t="str">
        <f>_xlfn.XLOOKUP($A726,'RAWDATA Cars Buyers DB'!$A:$A,'RAWDATA Cars Buyers DB'!I:I)</f>
        <v>2–4 Kilometre</v>
      </c>
      <c r="J726" s="8" t="str">
        <f>_xlfn.XLOOKUP($A726,'RAWDATA Cars Buyers DB'!$A:$A,'RAWDATA Cars Buyers DB'!J:J)</f>
        <v>Saarland</v>
      </c>
      <c r="K726" s="8">
        <f>_xlfn.XLOOKUP($A726,'RAWDATA Cars Buyers DB'!$A:$A,'RAWDATA Cars Buyers DB'!K:K)</f>
        <v>68</v>
      </c>
      <c r="L726" s="10" t="str">
        <f>IF(_xlfn.XLOOKUP($A726,'RAWDATA Cars Buyers DB'!$A:$A,'RAWDATA Cars Buyers DB'!K:K)&gt;54,"Old ",IF(_xlfn.XLOOKUP($A726,'RAWDATA Cars Buyers DB'!$A:$A,'RAWDATA Cars Buyers DB'!K:K)&gt;=31,"Middle Age ",IF(_xlfn.XLOOKUP($A726,'RAWDATA Cars Buyers DB'!$A:$A,'RAWDATA Cars Buyers DB'!K:K)&lt;31,"Adolescent","Invalid")))</f>
        <v xml:space="preserve">Old </v>
      </c>
      <c r="M726" s="8" t="str">
        <f>_xlfn.XLOOKUP($A726,'RAWDATA Cars Buyers DB'!$A:$A,'RAWDATA Cars Buyers DB'!L:L)</f>
        <v>Yes</v>
      </c>
    </row>
    <row r="727" spans="1:13">
      <c r="A727" s="6">
        <v>28384</v>
      </c>
      <c r="B727" s="10" t="str">
        <f>IF(_xlfn.XLOOKUP($A727,'RAWDATA Cars Buyers DB'!$A:$A,'RAWDATA Cars Buyers DB'!B:B)="S","Single","Married")</f>
        <v>Single</v>
      </c>
      <c r="C727" s="10" t="str">
        <f>IF(_xlfn.XLOOKUP($A727,'RAWDATA Cars Buyers DB'!$A:$A,'RAWDATA Cars Buyers DB'!C:C)="F","Female","Male")</f>
        <v>Female</v>
      </c>
      <c r="D727" s="7">
        <f>_xlfn.XLOOKUP($A727,'RAWDATA Cars Buyers DB'!$A:$A,'RAWDATA Cars Buyers DB'!D:D)</f>
        <v>95451</v>
      </c>
      <c r="E727" s="8">
        <f>_xlfn.XLOOKUP($A727,'RAWDATA Cars Buyers DB'!$A:$A,'RAWDATA Cars Buyers DB'!E:E)</f>
        <v>2</v>
      </c>
      <c r="F727" s="8" t="str">
        <f>_xlfn.XLOOKUP($A727,'RAWDATA Cars Buyers DB'!$A:$A,'RAWDATA Cars Buyers DB'!F:F)</f>
        <v>Graduate Degree</v>
      </c>
      <c r="G727" s="8" t="str">
        <f>_xlfn.XLOOKUP($A727,'RAWDATA Cars Buyers DB'!$A:$A,'RAWDATA Cars Buyers DB'!G:G)</f>
        <v>Skilled Manual</v>
      </c>
      <c r="H727" s="8" t="str">
        <f>_xlfn.XLOOKUP($A727,'RAWDATA Cars Buyers DB'!$A:$A,'RAWDATA Cars Buyers DB'!H:H)</f>
        <v>No</v>
      </c>
      <c r="I727" s="8" t="str">
        <f>_xlfn.XLOOKUP($A727,'RAWDATA Cars Buyers DB'!$A:$A,'RAWDATA Cars Buyers DB'!I:I)</f>
        <v>4–6 Kilometre</v>
      </c>
      <c r="J727" s="8" t="str">
        <f>_xlfn.XLOOKUP($A727,'RAWDATA Cars Buyers DB'!$A:$A,'RAWDATA Cars Buyers DB'!J:J)</f>
        <v>Lower Saxony</v>
      </c>
      <c r="K727" s="8">
        <f>_xlfn.XLOOKUP($A727,'RAWDATA Cars Buyers DB'!$A:$A,'RAWDATA Cars Buyers DB'!K:K)</f>
        <v>28</v>
      </c>
      <c r="L727" s="10" t="str">
        <f>IF(_xlfn.XLOOKUP($A727,'RAWDATA Cars Buyers DB'!$A:$A,'RAWDATA Cars Buyers DB'!K:K)&gt;54,"Old ",IF(_xlfn.XLOOKUP($A727,'RAWDATA Cars Buyers DB'!$A:$A,'RAWDATA Cars Buyers DB'!K:K)&gt;=31,"Middle Age ",IF(_xlfn.XLOOKUP($A727,'RAWDATA Cars Buyers DB'!$A:$A,'RAWDATA Cars Buyers DB'!K:K)&lt;31,"Adolescent","Invalid")))</f>
        <v>Adolescent</v>
      </c>
      <c r="M727" s="8" t="str">
        <f>_xlfn.XLOOKUP($A727,'RAWDATA Cars Buyers DB'!$A:$A,'RAWDATA Cars Buyers DB'!L:L)</f>
        <v>No</v>
      </c>
    </row>
    <row r="728" spans="1:13">
      <c r="A728" s="6">
        <v>70100</v>
      </c>
      <c r="B728" s="10" t="str">
        <f>IF(_xlfn.XLOOKUP($A728,'RAWDATA Cars Buyers DB'!$A:$A,'RAWDATA Cars Buyers DB'!B:B)="S","Single","Married")</f>
        <v>Single</v>
      </c>
      <c r="C728" s="10" t="str">
        <f>IF(_xlfn.XLOOKUP($A728,'RAWDATA Cars Buyers DB'!$A:$A,'RAWDATA Cars Buyers DB'!C:C)="F","Female","Male")</f>
        <v>Female</v>
      </c>
      <c r="D728" s="7">
        <f>_xlfn.XLOOKUP($A728,'RAWDATA Cars Buyers DB'!$A:$A,'RAWDATA Cars Buyers DB'!D:D)</f>
        <v>38990</v>
      </c>
      <c r="E728" s="8">
        <f>_xlfn.XLOOKUP($A728,'RAWDATA Cars Buyers DB'!$A:$A,'RAWDATA Cars Buyers DB'!E:E)</f>
        <v>4</v>
      </c>
      <c r="F728" s="8" t="str">
        <f>_xlfn.XLOOKUP($A728,'RAWDATA Cars Buyers DB'!$A:$A,'RAWDATA Cars Buyers DB'!F:F)</f>
        <v>High School</v>
      </c>
      <c r="G728" s="8" t="str">
        <f>_xlfn.XLOOKUP($A728,'RAWDATA Cars Buyers DB'!$A:$A,'RAWDATA Cars Buyers DB'!G:G)</f>
        <v>Clerical</v>
      </c>
      <c r="H728" s="8" t="str">
        <f>_xlfn.XLOOKUP($A728,'RAWDATA Cars Buyers DB'!$A:$A,'RAWDATA Cars Buyers DB'!H:H)</f>
        <v>Yes</v>
      </c>
      <c r="I728" s="8" t="str">
        <f>_xlfn.XLOOKUP($A728,'RAWDATA Cars Buyers DB'!$A:$A,'RAWDATA Cars Buyers DB'!I:I)</f>
        <v>6+ Kilometre</v>
      </c>
      <c r="J728" s="8" t="str">
        <f>_xlfn.XLOOKUP($A728,'RAWDATA Cars Buyers DB'!$A:$A,'RAWDATA Cars Buyers DB'!J:J)</f>
        <v>Mecklenburg-Vorpommern</v>
      </c>
      <c r="K728" s="8">
        <f>_xlfn.XLOOKUP($A728,'RAWDATA Cars Buyers DB'!$A:$A,'RAWDATA Cars Buyers DB'!K:K)</f>
        <v>21</v>
      </c>
      <c r="L728" s="10" t="str">
        <f>IF(_xlfn.XLOOKUP($A728,'RAWDATA Cars Buyers DB'!$A:$A,'RAWDATA Cars Buyers DB'!K:K)&gt;54,"Old ",IF(_xlfn.XLOOKUP($A728,'RAWDATA Cars Buyers DB'!$A:$A,'RAWDATA Cars Buyers DB'!K:K)&gt;=31,"Middle Age ",IF(_xlfn.XLOOKUP($A728,'RAWDATA Cars Buyers DB'!$A:$A,'RAWDATA Cars Buyers DB'!K:K)&lt;31,"Adolescent","Invalid")))</f>
        <v>Adolescent</v>
      </c>
      <c r="M728" s="8" t="str">
        <f>_xlfn.XLOOKUP($A728,'RAWDATA Cars Buyers DB'!$A:$A,'RAWDATA Cars Buyers DB'!L:L)</f>
        <v>No</v>
      </c>
    </row>
    <row r="729" spans="1:13">
      <c r="A729" s="6">
        <v>19860</v>
      </c>
      <c r="B729" s="10" t="str">
        <f>IF(_xlfn.XLOOKUP($A729,'RAWDATA Cars Buyers DB'!$A:$A,'RAWDATA Cars Buyers DB'!B:B)="S","Single","Married")</f>
        <v>Married</v>
      </c>
      <c r="C729" s="10" t="str">
        <f>IF(_xlfn.XLOOKUP($A729,'RAWDATA Cars Buyers DB'!$A:$A,'RAWDATA Cars Buyers DB'!C:C)="F","Female","Male")</f>
        <v>Female</v>
      </c>
      <c r="D729" s="7">
        <f>_xlfn.XLOOKUP($A729,'RAWDATA Cars Buyers DB'!$A:$A,'RAWDATA Cars Buyers DB'!D:D)</f>
        <v>110270</v>
      </c>
      <c r="E729" s="8">
        <f>_xlfn.XLOOKUP($A729,'RAWDATA Cars Buyers DB'!$A:$A,'RAWDATA Cars Buyers DB'!E:E)</f>
        <v>4</v>
      </c>
      <c r="F729" s="8" t="str">
        <f>_xlfn.XLOOKUP($A729,'RAWDATA Cars Buyers DB'!$A:$A,'RAWDATA Cars Buyers DB'!F:F)</f>
        <v>Partial College</v>
      </c>
      <c r="G729" s="8" t="str">
        <f>_xlfn.XLOOKUP($A729,'RAWDATA Cars Buyers DB'!$A:$A,'RAWDATA Cars Buyers DB'!G:G)</f>
        <v>Management</v>
      </c>
      <c r="H729" s="8" t="str">
        <f>_xlfn.XLOOKUP($A729,'RAWDATA Cars Buyers DB'!$A:$A,'RAWDATA Cars Buyers DB'!H:H)</f>
        <v>Yes</v>
      </c>
      <c r="I729" s="8" t="str">
        <f>_xlfn.XLOOKUP($A729,'RAWDATA Cars Buyers DB'!$A:$A,'RAWDATA Cars Buyers DB'!I:I)</f>
        <v>2–4 Kilometre</v>
      </c>
      <c r="J729" s="8" t="str">
        <f>_xlfn.XLOOKUP($A729,'RAWDATA Cars Buyers DB'!$A:$A,'RAWDATA Cars Buyers DB'!J:J)</f>
        <v>Rhineland-Palatinate</v>
      </c>
      <c r="K729" s="8">
        <f>_xlfn.XLOOKUP($A729,'RAWDATA Cars Buyers DB'!$A:$A,'RAWDATA Cars Buyers DB'!K:K)</f>
        <v>51</v>
      </c>
      <c r="L729" s="10" t="str">
        <f>IF(_xlfn.XLOOKUP($A729,'RAWDATA Cars Buyers DB'!$A:$A,'RAWDATA Cars Buyers DB'!K:K)&gt;54,"Old ",IF(_xlfn.XLOOKUP($A729,'RAWDATA Cars Buyers DB'!$A:$A,'RAWDATA Cars Buyers DB'!K:K)&gt;=31,"Middle Age ",IF(_xlfn.XLOOKUP($A729,'RAWDATA Cars Buyers DB'!$A:$A,'RAWDATA Cars Buyers DB'!K:K)&lt;31,"Adolescent","Invalid")))</f>
        <v xml:space="preserve">Middle Age </v>
      </c>
      <c r="M729" s="8" t="str">
        <f>_xlfn.XLOOKUP($A729,'RAWDATA Cars Buyers DB'!$A:$A,'RAWDATA Cars Buyers DB'!L:L)</f>
        <v>No</v>
      </c>
    </row>
    <row r="730" spans="1:13">
      <c r="A730" s="6">
        <v>90642</v>
      </c>
      <c r="B730" s="10" t="str">
        <f>IF(_xlfn.XLOOKUP($A730,'RAWDATA Cars Buyers DB'!$A:$A,'RAWDATA Cars Buyers DB'!B:B)="S","Single","Married")</f>
        <v>Single</v>
      </c>
      <c r="C730" s="10" t="str">
        <f>IF(_xlfn.XLOOKUP($A730,'RAWDATA Cars Buyers DB'!$A:$A,'RAWDATA Cars Buyers DB'!C:C)="F","Female","Male")</f>
        <v>Male</v>
      </c>
      <c r="D730" s="7">
        <f>_xlfn.XLOOKUP($A730,'RAWDATA Cars Buyers DB'!$A:$A,'RAWDATA Cars Buyers DB'!D:D)</f>
        <v>100360</v>
      </c>
      <c r="E730" s="8">
        <f>_xlfn.XLOOKUP($A730,'RAWDATA Cars Buyers DB'!$A:$A,'RAWDATA Cars Buyers DB'!E:E)</f>
        <v>4</v>
      </c>
      <c r="F730" s="8" t="str">
        <f>_xlfn.XLOOKUP($A730,'RAWDATA Cars Buyers DB'!$A:$A,'RAWDATA Cars Buyers DB'!F:F)</f>
        <v>Bachelors</v>
      </c>
      <c r="G730" s="8" t="str">
        <f>_xlfn.XLOOKUP($A730,'RAWDATA Cars Buyers DB'!$A:$A,'RAWDATA Cars Buyers DB'!G:G)</f>
        <v>Clerical</v>
      </c>
      <c r="H730" s="8" t="str">
        <f>_xlfn.XLOOKUP($A730,'RAWDATA Cars Buyers DB'!$A:$A,'RAWDATA Cars Buyers DB'!H:H)</f>
        <v>Yes</v>
      </c>
      <c r="I730" s="8" t="str">
        <f>_xlfn.XLOOKUP($A730,'RAWDATA Cars Buyers DB'!$A:$A,'RAWDATA Cars Buyers DB'!I:I)</f>
        <v>0–1 Kilometre</v>
      </c>
      <c r="J730" s="8" t="str">
        <f>_xlfn.XLOOKUP($A730,'RAWDATA Cars Buyers DB'!$A:$A,'RAWDATA Cars Buyers DB'!J:J)</f>
        <v>Hamburg</v>
      </c>
      <c r="K730" s="8">
        <f>_xlfn.XLOOKUP($A730,'RAWDATA Cars Buyers DB'!$A:$A,'RAWDATA Cars Buyers DB'!K:K)</f>
        <v>69</v>
      </c>
      <c r="L730" s="10" t="str">
        <f>IF(_xlfn.XLOOKUP($A730,'RAWDATA Cars Buyers DB'!$A:$A,'RAWDATA Cars Buyers DB'!K:K)&gt;54,"Old ",IF(_xlfn.XLOOKUP($A730,'RAWDATA Cars Buyers DB'!$A:$A,'RAWDATA Cars Buyers DB'!K:K)&gt;=31,"Middle Age ",IF(_xlfn.XLOOKUP($A730,'RAWDATA Cars Buyers DB'!$A:$A,'RAWDATA Cars Buyers DB'!K:K)&lt;31,"Adolescent","Invalid")))</f>
        <v xml:space="preserve">Old </v>
      </c>
      <c r="M730" s="8" t="str">
        <f>_xlfn.XLOOKUP($A730,'RAWDATA Cars Buyers DB'!$A:$A,'RAWDATA Cars Buyers DB'!L:L)</f>
        <v>Yes</v>
      </c>
    </row>
    <row r="731" spans="1:13">
      <c r="A731" s="6">
        <v>60612</v>
      </c>
      <c r="B731" s="10" t="str">
        <f>IF(_xlfn.XLOOKUP($A731,'RAWDATA Cars Buyers DB'!$A:$A,'RAWDATA Cars Buyers DB'!B:B)="S","Single","Married")</f>
        <v>Single</v>
      </c>
      <c r="C731" s="10" t="str">
        <f>IF(_xlfn.XLOOKUP($A731,'RAWDATA Cars Buyers DB'!$A:$A,'RAWDATA Cars Buyers DB'!C:C)="F","Female","Male")</f>
        <v>Male</v>
      </c>
      <c r="D731" s="7">
        <f>_xlfn.XLOOKUP($A731,'RAWDATA Cars Buyers DB'!$A:$A,'RAWDATA Cars Buyers DB'!D:D)</f>
        <v>56081</v>
      </c>
      <c r="E731" s="8">
        <f>_xlfn.XLOOKUP($A731,'RAWDATA Cars Buyers DB'!$A:$A,'RAWDATA Cars Buyers DB'!E:E)</f>
        <v>1</v>
      </c>
      <c r="F731" s="8" t="str">
        <f>_xlfn.XLOOKUP($A731,'RAWDATA Cars Buyers DB'!$A:$A,'RAWDATA Cars Buyers DB'!F:F)</f>
        <v>Graduate Degree</v>
      </c>
      <c r="G731" s="8" t="str">
        <f>_xlfn.XLOOKUP($A731,'RAWDATA Cars Buyers DB'!$A:$A,'RAWDATA Cars Buyers DB'!G:G)</f>
        <v>Clerical</v>
      </c>
      <c r="H731" s="8" t="str">
        <f>_xlfn.XLOOKUP($A731,'RAWDATA Cars Buyers DB'!$A:$A,'RAWDATA Cars Buyers DB'!H:H)</f>
        <v>No</v>
      </c>
      <c r="I731" s="8" t="str">
        <f>_xlfn.XLOOKUP($A731,'RAWDATA Cars Buyers DB'!$A:$A,'RAWDATA Cars Buyers DB'!I:I)</f>
        <v>1–2 Kilometre</v>
      </c>
      <c r="J731" s="8" t="str">
        <f>_xlfn.XLOOKUP($A731,'RAWDATA Cars Buyers DB'!$A:$A,'RAWDATA Cars Buyers DB'!J:J)</f>
        <v>North Rhine-Westphalia</v>
      </c>
      <c r="K731" s="8">
        <f>_xlfn.XLOOKUP($A731,'RAWDATA Cars Buyers DB'!$A:$A,'RAWDATA Cars Buyers DB'!K:K)</f>
        <v>41</v>
      </c>
      <c r="L731" s="10" t="str">
        <f>IF(_xlfn.XLOOKUP($A731,'RAWDATA Cars Buyers DB'!$A:$A,'RAWDATA Cars Buyers DB'!K:K)&gt;54,"Old ",IF(_xlfn.XLOOKUP($A731,'RAWDATA Cars Buyers DB'!$A:$A,'RAWDATA Cars Buyers DB'!K:K)&gt;=31,"Middle Age ",IF(_xlfn.XLOOKUP($A731,'RAWDATA Cars Buyers DB'!$A:$A,'RAWDATA Cars Buyers DB'!K:K)&lt;31,"Adolescent","Invalid")))</f>
        <v xml:space="preserve">Middle Age </v>
      </c>
      <c r="M731" s="8" t="str">
        <f>_xlfn.XLOOKUP($A731,'RAWDATA Cars Buyers DB'!$A:$A,'RAWDATA Cars Buyers DB'!L:L)</f>
        <v>Yes</v>
      </c>
    </row>
    <row r="732" spans="1:13">
      <c r="A732" s="6">
        <v>33574</v>
      </c>
      <c r="B732" s="10" t="str">
        <f>IF(_xlfn.XLOOKUP($A732,'RAWDATA Cars Buyers DB'!$A:$A,'RAWDATA Cars Buyers DB'!B:B)="S","Single","Married")</f>
        <v>Married</v>
      </c>
      <c r="C732" s="10" t="str">
        <f>IF(_xlfn.XLOOKUP($A732,'RAWDATA Cars Buyers DB'!$A:$A,'RAWDATA Cars Buyers DB'!C:C)="F","Female","Male")</f>
        <v>Male</v>
      </c>
      <c r="D732" s="7">
        <f>_xlfn.XLOOKUP($A732,'RAWDATA Cars Buyers DB'!$A:$A,'RAWDATA Cars Buyers DB'!D:D)</f>
        <v>31033</v>
      </c>
      <c r="E732" s="8">
        <f>_xlfn.XLOOKUP($A732,'RAWDATA Cars Buyers DB'!$A:$A,'RAWDATA Cars Buyers DB'!E:E)</f>
        <v>2</v>
      </c>
      <c r="F732" s="8" t="str">
        <f>_xlfn.XLOOKUP($A732,'RAWDATA Cars Buyers DB'!$A:$A,'RAWDATA Cars Buyers DB'!F:F)</f>
        <v>Partial College</v>
      </c>
      <c r="G732" s="8" t="str">
        <f>_xlfn.XLOOKUP($A732,'RAWDATA Cars Buyers DB'!$A:$A,'RAWDATA Cars Buyers DB'!G:G)</f>
        <v>Clerical</v>
      </c>
      <c r="H732" s="8" t="str">
        <f>_xlfn.XLOOKUP($A732,'RAWDATA Cars Buyers DB'!$A:$A,'RAWDATA Cars Buyers DB'!H:H)</f>
        <v>Yes</v>
      </c>
      <c r="I732" s="8" t="str">
        <f>_xlfn.XLOOKUP($A732,'RAWDATA Cars Buyers DB'!$A:$A,'RAWDATA Cars Buyers DB'!I:I)</f>
        <v>2–4 Kilometre</v>
      </c>
      <c r="J732" s="8" t="str">
        <f>_xlfn.XLOOKUP($A732,'RAWDATA Cars Buyers DB'!$A:$A,'RAWDATA Cars Buyers DB'!J:J)</f>
        <v>Berlin</v>
      </c>
      <c r="K732" s="8">
        <f>_xlfn.XLOOKUP($A732,'RAWDATA Cars Buyers DB'!$A:$A,'RAWDATA Cars Buyers DB'!K:K)</f>
        <v>62</v>
      </c>
      <c r="L732" s="10" t="str">
        <f>IF(_xlfn.XLOOKUP($A732,'RAWDATA Cars Buyers DB'!$A:$A,'RAWDATA Cars Buyers DB'!K:K)&gt;54,"Old ",IF(_xlfn.XLOOKUP($A732,'RAWDATA Cars Buyers DB'!$A:$A,'RAWDATA Cars Buyers DB'!K:K)&gt;=31,"Middle Age ",IF(_xlfn.XLOOKUP($A732,'RAWDATA Cars Buyers DB'!$A:$A,'RAWDATA Cars Buyers DB'!K:K)&lt;31,"Adolescent","Invalid")))</f>
        <v xml:space="preserve">Old </v>
      </c>
      <c r="M732" s="8" t="str">
        <f>_xlfn.XLOOKUP($A732,'RAWDATA Cars Buyers DB'!$A:$A,'RAWDATA Cars Buyers DB'!L:L)</f>
        <v>No</v>
      </c>
    </row>
    <row r="733" spans="1:13">
      <c r="A733" s="6">
        <v>33524</v>
      </c>
      <c r="B733" s="10" t="str">
        <f>IF(_xlfn.XLOOKUP($A733,'RAWDATA Cars Buyers DB'!$A:$A,'RAWDATA Cars Buyers DB'!B:B)="S","Single","Married")</f>
        <v>Single</v>
      </c>
      <c r="C733" s="10" t="str">
        <f>IF(_xlfn.XLOOKUP($A733,'RAWDATA Cars Buyers DB'!$A:$A,'RAWDATA Cars Buyers DB'!C:C)="F","Female","Male")</f>
        <v>Female</v>
      </c>
      <c r="D733" s="7">
        <f>_xlfn.XLOOKUP($A733,'RAWDATA Cars Buyers DB'!$A:$A,'RAWDATA Cars Buyers DB'!D:D)</f>
        <v>36241</v>
      </c>
      <c r="E733" s="8">
        <f>_xlfn.XLOOKUP($A733,'RAWDATA Cars Buyers DB'!$A:$A,'RAWDATA Cars Buyers DB'!E:E)</f>
        <v>0</v>
      </c>
      <c r="F733" s="8" t="str">
        <f>_xlfn.XLOOKUP($A733,'RAWDATA Cars Buyers DB'!$A:$A,'RAWDATA Cars Buyers DB'!F:F)</f>
        <v>Partial College</v>
      </c>
      <c r="G733" s="8" t="str">
        <f>_xlfn.XLOOKUP($A733,'RAWDATA Cars Buyers DB'!$A:$A,'RAWDATA Cars Buyers DB'!G:G)</f>
        <v>Management</v>
      </c>
      <c r="H733" s="8" t="str">
        <f>_xlfn.XLOOKUP($A733,'RAWDATA Cars Buyers DB'!$A:$A,'RAWDATA Cars Buyers DB'!H:H)</f>
        <v>No</v>
      </c>
      <c r="I733" s="8" t="str">
        <f>_xlfn.XLOOKUP($A733,'RAWDATA Cars Buyers DB'!$A:$A,'RAWDATA Cars Buyers DB'!I:I)</f>
        <v>2–4 Kilometre</v>
      </c>
      <c r="J733" s="8" t="str">
        <f>_xlfn.XLOOKUP($A733,'RAWDATA Cars Buyers DB'!$A:$A,'RAWDATA Cars Buyers DB'!J:J)</f>
        <v>Bremen</v>
      </c>
      <c r="K733" s="8">
        <f>_xlfn.XLOOKUP($A733,'RAWDATA Cars Buyers DB'!$A:$A,'RAWDATA Cars Buyers DB'!K:K)</f>
        <v>32</v>
      </c>
      <c r="L733" s="10" t="str">
        <f>IF(_xlfn.XLOOKUP($A733,'RAWDATA Cars Buyers DB'!$A:$A,'RAWDATA Cars Buyers DB'!K:K)&gt;54,"Old ",IF(_xlfn.XLOOKUP($A733,'RAWDATA Cars Buyers DB'!$A:$A,'RAWDATA Cars Buyers DB'!K:K)&gt;=31,"Middle Age ",IF(_xlfn.XLOOKUP($A733,'RAWDATA Cars Buyers DB'!$A:$A,'RAWDATA Cars Buyers DB'!K:K)&lt;31,"Adolescent","Invalid")))</f>
        <v xml:space="preserve">Middle Age </v>
      </c>
      <c r="M733" s="8" t="str">
        <f>_xlfn.XLOOKUP($A733,'RAWDATA Cars Buyers DB'!$A:$A,'RAWDATA Cars Buyers DB'!L:L)</f>
        <v>Yes</v>
      </c>
    </row>
    <row r="734" spans="1:13">
      <c r="A734" s="6">
        <v>79172</v>
      </c>
      <c r="B734" s="10" t="str">
        <f>IF(_xlfn.XLOOKUP($A734,'RAWDATA Cars Buyers DB'!$A:$A,'RAWDATA Cars Buyers DB'!B:B)="S","Single","Married")</f>
        <v>Married</v>
      </c>
      <c r="C734" s="10" t="str">
        <f>IF(_xlfn.XLOOKUP($A734,'RAWDATA Cars Buyers DB'!$A:$A,'RAWDATA Cars Buyers DB'!C:C)="F","Female","Male")</f>
        <v>Male</v>
      </c>
      <c r="D734" s="7">
        <f>_xlfn.XLOOKUP($A734,'RAWDATA Cars Buyers DB'!$A:$A,'RAWDATA Cars Buyers DB'!D:D)</f>
        <v>25939</v>
      </c>
      <c r="E734" s="8">
        <f>_xlfn.XLOOKUP($A734,'RAWDATA Cars Buyers DB'!$A:$A,'RAWDATA Cars Buyers DB'!E:E)</f>
        <v>3</v>
      </c>
      <c r="F734" s="8" t="str">
        <f>_xlfn.XLOOKUP($A734,'RAWDATA Cars Buyers DB'!$A:$A,'RAWDATA Cars Buyers DB'!F:F)</f>
        <v>Graduate Degree</v>
      </c>
      <c r="G734" s="8" t="str">
        <f>_xlfn.XLOOKUP($A734,'RAWDATA Cars Buyers DB'!$A:$A,'RAWDATA Cars Buyers DB'!G:G)</f>
        <v>Skilled Manual</v>
      </c>
      <c r="H734" s="8" t="str">
        <f>_xlfn.XLOOKUP($A734,'RAWDATA Cars Buyers DB'!$A:$A,'RAWDATA Cars Buyers DB'!H:H)</f>
        <v>No</v>
      </c>
      <c r="I734" s="8" t="str">
        <f>_xlfn.XLOOKUP($A734,'RAWDATA Cars Buyers DB'!$A:$A,'RAWDATA Cars Buyers DB'!I:I)</f>
        <v>6+ Kilometre</v>
      </c>
      <c r="J734" s="8" t="str">
        <f>_xlfn.XLOOKUP($A734,'RAWDATA Cars Buyers DB'!$A:$A,'RAWDATA Cars Buyers DB'!J:J)</f>
        <v>Rhineland-Palatinate</v>
      </c>
      <c r="K734" s="8">
        <f>_xlfn.XLOOKUP($A734,'RAWDATA Cars Buyers DB'!$A:$A,'RAWDATA Cars Buyers DB'!K:K)</f>
        <v>27</v>
      </c>
      <c r="L734" s="10" t="str">
        <f>IF(_xlfn.XLOOKUP($A734,'RAWDATA Cars Buyers DB'!$A:$A,'RAWDATA Cars Buyers DB'!K:K)&gt;54,"Old ",IF(_xlfn.XLOOKUP($A734,'RAWDATA Cars Buyers DB'!$A:$A,'RAWDATA Cars Buyers DB'!K:K)&gt;=31,"Middle Age ",IF(_xlfn.XLOOKUP($A734,'RAWDATA Cars Buyers DB'!$A:$A,'RAWDATA Cars Buyers DB'!K:K)&lt;31,"Adolescent","Invalid")))</f>
        <v>Adolescent</v>
      </c>
      <c r="M734" s="8" t="str">
        <f>_xlfn.XLOOKUP($A734,'RAWDATA Cars Buyers DB'!$A:$A,'RAWDATA Cars Buyers DB'!L:L)</f>
        <v>Yes</v>
      </c>
    </row>
    <row r="735" spans="1:13">
      <c r="A735" s="6">
        <v>20916</v>
      </c>
      <c r="B735" s="10" t="str">
        <f>IF(_xlfn.XLOOKUP($A735,'RAWDATA Cars Buyers DB'!$A:$A,'RAWDATA Cars Buyers DB'!B:B)="S","Single","Married")</f>
        <v>Married</v>
      </c>
      <c r="C735" s="10" t="str">
        <f>IF(_xlfn.XLOOKUP($A735,'RAWDATA Cars Buyers DB'!$A:$A,'RAWDATA Cars Buyers DB'!C:C)="F","Female","Male")</f>
        <v>Male</v>
      </c>
      <c r="D735" s="7">
        <f>_xlfn.XLOOKUP($A735,'RAWDATA Cars Buyers DB'!$A:$A,'RAWDATA Cars Buyers DB'!D:D)</f>
        <v>67562</v>
      </c>
      <c r="E735" s="8">
        <f>_xlfn.XLOOKUP($A735,'RAWDATA Cars Buyers DB'!$A:$A,'RAWDATA Cars Buyers DB'!E:E)</f>
        <v>4</v>
      </c>
      <c r="F735" s="8" t="str">
        <f>_xlfn.XLOOKUP($A735,'RAWDATA Cars Buyers DB'!$A:$A,'RAWDATA Cars Buyers DB'!F:F)</f>
        <v>Graduate Degree</v>
      </c>
      <c r="G735" s="8" t="str">
        <f>_xlfn.XLOOKUP($A735,'RAWDATA Cars Buyers DB'!$A:$A,'RAWDATA Cars Buyers DB'!G:G)</f>
        <v>Professional</v>
      </c>
      <c r="H735" s="8" t="str">
        <f>_xlfn.XLOOKUP($A735,'RAWDATA Cars Buyers DB'!$A:$A,'RAWDATA Cars Buyers DB'!H:H)</f>
        <v>Yes</v>
      </c>
      <c r="I735" s="8" t="str">
        <f>_xlfn.XLOOKUP($A735,'RAWDATA Cars Buyers DB'!$A:$A,'RAWDATA Cars Buyers DB'!I:I)</f>
        <v>0–1 Kilometre</v>
      </c>
      <c r="J735" s="8" t="str">
        <f>_xlfn.XLOOKUP($A735,'RAWDATA Cars Buyers DB'!$A:$A,'RAWDATA Cars Buyers DB'!J:J)</f>
        <v>Rhineland-Palatinate</v>
      </c>
      <c r="K735" s="8">
        <f>_xlfn.XLOOKUP($A735,'RAWDATA Cars Buyers DB'!$A:$A,'RAWDATA Cars Buyers DB'!K:K)</f>
        <v>20</v>
      </c>
      <c r="L735" s="10" t="str">
        <f>IF(_xlfn.XLOOKUP($A735,'RAWDATA Cars Buyers DB'!$A:$A,'RAWDATA Cars Buyers DB'!K:K)&gt;54,"Old ",IF(_xlfn.XLOOKUP($A735,'RAWDATA Cars Buyers DB'!$A:$A,'RAWDATA Cars Buyers DB'!K:K)&gt;=31,"Middle Age ",IF(_xlfn.XLOOKUP($A735,'RAWDATA Cars Buyers DB'!$A:$A,'RAWDATA Cars Buyers DB'!K:K)&lt;31,"Adolescent","Invalid")))</f>
        <v>Adolescent</v>
      </c>
      <c r="M735" s="8" t="str">
        <f>_xlfn.XLOOKUP($A735,'RAWDATA Cars Buyers DB'!$A:$A,'RAWDATA Cars Buyers DB'!L:L)</f>
        <v>No</v>
      </c>
    </row>
    <row r="736" spans="1:13">
      <c r="A736" s="6">
        <v>14809</v>
      </c>
      <c r="B736" s="10" t="str">
        <f>IF(_xlfn.XLOOKUP($A736,'RAWDATA Cars Buyers DB'!$A:$A,'RAWDATA Cars Buyers DB'!B:B)="S","Single","Married")</f>
        <v>Single</v>
      </c>
      <c r="C736" s="10" t="str">
        <f>IF(_xlfn.XLOOKUP($A736,'RAWDATA Cars Buyers DB'!$A:$A,'RAWDATA Cars Buyers DB'!C:C)="F","Female","Male")</f>
        <v>Female</v>
      </c>
      <c r="D736" s="7">
        <f>_xlfn.XLOOKUP($A736,'RAWDATA Cars Buyers DB'!$A:$A,'RAWDATA Cars Buyers DB'!D:D)</f>
        <v>55063</v>
      </c>
      <c r="E736" s="8">
        <f>_xlfn.XLOOKUP($A736,'RAWDATA Cars Buyers DB'!$A:$A,'RAWDATA Cars Buyers DB'!E:E)</f>
        <v>4</v>
      </c>
      <c r="F736" s="8" t="str">
        <f>_xlfn.XLOOKUP($A736,'RAWDATA Cars Buyers DB'!$A:$A,'RAWDATA Cars Buyers DB'!F:F)</f>
        <v>Partial College</v>
      </c>
      <c r="G736" s="8" t="str">
        <f>_xlfn.XLOOKUP($A736,'RAWDATA Cars Buyers DB'!$A:$A,'RAWDATA Cars Buyers DB'!G:G)</f>
        <v>Skilled Manual</v>
      </c>
      <c r="H736" s="8" t="str">
        <f>_xlfn.XLOOKUP($A736,'RAWDATA Cars Buyers DB'!$A:$A,'RAWDATA Cars Buyers DB'!H:H)</f>
        <v>No</v>
      </c>
      <c r="I736" s="8" t="str">
        <f>_xlfn.XLOOKUP($A736,'RAWDATA Cars Buyers DB'!$A:$A,'RAWDATA Cars Buyers DB'!I:I)</f>
        <v>1–2 Kilometre</v>
      </c>
      <c r="J736" s="8" t="str">
        <f>_xlfn.XLOOKUP($A736,'RAWDATA Cars Buyers DB'!$A:$A,'RAWDATA Cars Buyers DB'!J:J)</f>
        <v>Berlin</v>
      </c>
      <c r="K736" s="8">
        <f>_xlfn.XLOOKUP($A736,'RAWDATA Cars Buyers DB'!$A:$A,'RAWDATA Cars Buyers DB'!K:K)</f>
        <v>36</v>
      </c>
      <c r="L736" s="10" t="str">
        <f>IF(_xlfn.XLOOKUP($A736,'RAWDATA Cars Buyers DB'!$A:$A,'RAWDATA Cars Buyers DB'!K:K)&gt;54,"Old ",IF(_xlfn.XLOOKUP($A736,'RAWDATA Cars Buyers DB'!$A:$A,'RAWDATA Cars Buyers DB'!K:K)&gt;=31,"Middle Age ",IF(_xlfn.XLOOKUP($A736,'RAWDATA Cars Buyers DB'!$A:$A,'RAWDATA Cars Buyers DB'!K:K)&lt;31,"Adolescent","Invalid")))</f>
        <v xml:space="preserve">Middle Age </v>
      </c>
      <c r="M736" s="8" t="str">
        <f>_xlfn.XLOOKUP($A736,'RAWDATA Cars Buyers DB'!$A:$A,'RAWDATA Cars Buyers DB'!L:L)</f>
        <v>Yes</v>
      </c>
    </row>
    <row r="737" spans="1:13">
      <c r="A737" s="6">
        <v>42201</v>
      </c>
      <c r="B737" s="10" t="str">
        <f>IF(_xlfn.XLOOKUP($A737,'RAWDATA Cars Buyers DB'!$A:$A,'RAWDATA Cars Buyers DB'!B:B)="S","Single","Married")</f>
        <v>Married</v>
      </c>
      <c r="C737" s="10" t="str">
        <f>IF(_xlfn.XLOOKUP($A737,'RAWDATA Cars Buyers DB'!$A:$A,'RAWDATA Cars Buyers DB'!C:C)="F","Female","Male")</f>
        <v>Female</v>
      </c>
      <c r="D737" s="7">
        <f>_xlfn.XLOOKUP($A737,'RAWDATA Cars Buyers DB'!$A:$A,'RAWDATA Cars Buyers DB'!D:D)</f>
        <v>96721</v>
      </c>
      <c r="E737" s="8">
        <f>_xlfn.XLOOKUP($A737,'RAWDATA Cars Buyers DB'!$A:$A,'RAWDATA Cars Buyers DB'!E:E)</f>
        <v>2</v>
      </c>
      <c r="F737" s="8" t="str">
        <f>_xlfn.XLOOKUP($A737,'RAWDATA Cars Buyers DB'!$A:$A,'RAWDATA Cars Buyers DB'!F:F)</f>
        <v>High School</v>
      </c>
      <c r="G737" s="8" t="str">
        <f>_xlfn.XLOOKUP($A737,'RAWDATA Cars Buyers DB'!$A:$A,'RAWDATA Cars Buyers DB'!G:G)</f>
        <v>Clerical</v>
      </c>
      <c r="H737" s="8" t="str">
        <f>_xlfn.XLOOKUP($A737,'RAWDATA Cars Buyers DB'!$A:$A,'RAWDATA Cars Buyers DB'!H:H)</f>
        <v>No</v>
      </c>
      <c r="I737" s="8" t="str">
        <f>_xlfn.XLOOKUP($A737,'RAWDATA Cars Buyers DB'!$A:$A,'RAWDATA Cars Buyers DB'!I:I)</f>
        <v>2–4 Kilometre</v>
      </c>
      <c r="J737" s="8" t="str">
        <f>_xlfn.XLOOKUP($A737,'RAWDATA Cars Buyers DB'!$A:$A,'RAWDATA Cars Buyers DB'!J:J)</f>
        <v>Lower Saxony</v>
      </c>
      <c r="K737" s="8">
        <f>_xlfn.XLOOKUP($A737,'RAWDATA Cars Buyers DB'!$A:$A,'RAWDATA Cars Buyers DB'!K:K)</f>
        <v>31</v>
      </c>
      <c r="L737" s="10" t="str">
        <f>IF(_xlfn.XLOOKUP($A737,'RAWDATA Cars Buyers DB'!$A:$A,'RAWDATA Cars Buyers DB'!K:K)&gt;54,"Old ",IF(_xlfn.XLOOKUP($A737,'RAWDATA Cars Buyers DB'!$A:$A,'RAWDATA Cars Buyers DB'!K:K)&gt;=31,"Middle Age ",IF(_xlfn.XLOOKUP($A737,'RAWDATA Cars Buyers DB'!$A:$A,'RAWDATA Cars Buyers DB'!K:K)&lt;31,"Adolescent","Invalid")))</f>
        <v xml:space="preserve">Middle Age </v>
      </c>
      <c r="M737" s="8" t="str">
        <f>_xlfn.XLOOKUP($A737,'RAWDATA Cars Buyers DB'!$A:$A,'RAWDATA Cars Buyers DB'!L:L)</f>
        <v>Yes</v>
      </c>
    </row>
    <row r="738" spans="1:13">
      <c r="A738" s="6">
        <v>63330</v>
      </c>
      <c r="B738" s="10" t="str">
        <f>IF(_xlfn.XLOOKUP($A738,'RAWDATA Cars Buyers DB'!$A:$A,'RAWDATA Cars Buyers DB'!B:B)="S","Single","Married")</f>
        <v>Single</v>
      </c>
      <c r="C738" s="10" t="str">
        <f>IF(_xlfn.XLOOKUP($A738,'RAWDATA Cars Buyers DB'!$A:$A,'RAWDATA Cars Buyers DB'!C:C)="F","Female","Male")</f>
        <v>Female</v>
      </c>
      <c r="D738" s="7">
        <f>_xlfn.XLOOKUP($A738,'RAWDATA Cars Buyers DB'!$A:$A,'RAWDATA Cars Buyers DB'!D:D)</f>
        <v>47045</v>
      </c>
      <c r="E738" s="8">
        <f>_xlfn.XLOOKUP($A738,'RAWDATA Cars Buyers DB'!$A:$A,'RAWDATA Cars Buyers DB'!E:E)</f>
        <v>2</v>
      </c>
      <c r="F738" s="8" t="str">
        <f>_xlfn.XLOOKUP($A738,'RAWDATA Cars Buyers DB'!$A:$A,'RAWDATA Cars Buyers DB'!F:F)</f>
        <v>Partial College</v>
      </c>
      <c r="G738" s="8" t="str">
        <f>_xlfn.XLOOKUP($A738,'RAWDATA Cars Buyers DB'!$A:$A,'RAWDATA Cars Buyers DB'!G:G)</f>
        <v>Management</v>
      </c>
      <c r="H738" s="8" t="str">
        <f>_xlfn.XLOOKUP($A738,'RAWDATA Cars Buyers DB'!$A:$A,'RAWDATA Cars Buyers DB'!H:H)</f>
        <v>Yes</v>
      </c>
      <c r="I738" s="8" t="str">
        <f>_xlfn.XLOOKUP($A738,'RAWDATA Cars Buyers DB'!$A:$A,'RAWDATA Cars Buyers DB'!I:I)</f>
        <v>1–2 Kilometre</v>
      </c>
      <c r="J738" s="8" t="str">
        <f>_xlfn.XLOOKUP($A738,'RAWDATA Cars Buyers DB'!$A:$A,'RAWDATA Cars Buyers DB'!J:J)</f>
        <v>Hamburg</v>
      </c>
      <c r="K738" s="8">
        <f>_xlfn.XLOOKUP($A738,'RAWDATA Cars Buyers DB'!$A:$A,'RAWDATA Cars Buyers DB'!K:K)</f>
        <v>23</v>
      </c>
      <c r="L738" s="10" t="str">
        <f>IF(_xlfn.XLOOKUP($A738,'RAWDATA Cars Buyers DB'!$A:$A,'RAWDATA Cars Buyers DB'!K:K)&gt;54,"Old ",IF(_xlfn.XLOOKUP($A738,'RAWDATA Cars Buyers DB'!$A:$A,'RAWDATA Cars Buyers DB'!K:K)&gt;=31,"Middle Age ",IF(_xlfn.XLOOKUP($A738,'RAWDATA Cars Buyers DB'!$A:$A,'RAWDATA Cars Buyers DB'!K:K)&lt;31,"Adolescent","Invalid")))</f>
        <v>Adolescent</v>
      </c>
      <c r="M738" s="8" t="str">
        <f>_xlfn.XLOOKUP($A738,'RAWDATA Cars Buyers DB'!$A:$A,'RAWDATA Cars Buyers DB'!L:L)</f>
        <v>Yes</v>
      </c>
    </row>
    <row r="739" spans="1:13">
      <c r="A739" s="6">
        <v>23456</v>
      </c>
      <c r="B739" s="10" t="str">
        <f>IF(_xlfn.XLOOKUP($A739,'RAWDATA Cars Buyers DB'!$A:$A,'RAWDATA Cars Buyers DB'!B:B)="S","Single","Married")</f>
        <v>Single</v>
      </c>
      <c r="C739" s="10" t="str">
        <f>IF(_xlfn.XLOOKUP($A739,'RAWDATA Cars Buyers DB'!$A:$A,'RAWDATA Cars Buyers DB'!C:C)="F","Female","Male")</f>
        <v>Female</v>
      </c>
      <c r="D739" s="7">
        <f>_xlfn.XLOOKUP($A739,'RAWDATA Cars Buyers DB'!$A:$A,'RAWDATA Cars Buyers DB'!D:D)</f>
        <v>64769</v>
      </c>
      <c r="E739" s="8">
        <f>_xlfn.XLOOKUP($A739,'RAWDATA Cars Buyers DB'!$A:$A,'RAWDATA Cars Buyers DB'!E:E)</f>
        <v>1</v>
      </c>
      <c r="F739" s="8" t="str">
        <f>_xlfn.XLOOKUP($A739,'RAWDATA Cars Buyers DB'!$A:$A,'RAWDATA Cars Buyers DB'!F:F)</f>
        <v>Graduate Degree</v>
      </c>
      <c r="G739" s="8" t="str">
        <f>_xlfn.XLOOKUP($A739,'RAWDATA Cars Buyers DB'!$A:$A,'RAWDATA Cars Buyers DB'!G:G)</f>
        <v>Skilled Manual</v>
      </c>
      <c r="H739" s="8" t="str">
        <f>_xlfn.XLOOKUP($A739,'RAWDATA Cars Buyers DB'!$A:$A,'RAWDATA Cars Buyers DB'!H:H)</f>
        <v>No</v>
      </c>
      <c r="I739" s="8" t="str">
        <f>_xlfn.XLOOKUP($A739,'RAWDATA Cars Buyers DB'!$A:$A,'RAWDATA Cars Buyers DB'!I:I)</f>
        <v>4–6 Kilometre</v>
      </c>
      <c r="J739" s="8" t="str">
        <f>_xlfn.XLOOKUP($A739,'RAWDATA Cars Buyers DB'!$A:$A,'RAWDATA Cars Buyers DB'!J:J)</f>
        <v>North Rhine-Westphalia</v>
      </c>
      <c r="K739" s="8">
        <f>_xlfn.XLOOKUP($A739,'RAWDATA Cars Buyers DB'!$A:$A,'RAWDATA Cars Buyers DB'!K:K)</f>
        <v>32</v>
      </c>
      <c r="L739" s="10" t="str">
        <f>IF(_xlfn.XLOOKUP($A739,'RAWDATA Cars Buyers DB'!$A:$A,'RAWDATA Cars Buyers DB'!K:K)&gt;54,"Old ",IF(_xlfn.XLOOKUP($A739,'RAWDATA Cars Buyers DB'!$A:$A,'RAWDATA Cars Buyers DB'!K:K)&gt;=31,"Middle Age ",IF(_xlfn.XLOOKUP($A739,'RAWDATA Cars Buyers DB'!$A:$A,'RAWDATA Cars Buyers DB'!K:K)&lt;31,"Adolescent","Invalid")))</f>
        <v xml:space="preserve">Middle Age </v>
      </c>
      <c r="M739" s="8" t="str">
        <f>_xlfn.XLOOKUP($A739,'RAWDATA Cars Buyers DB'!$A:$A,'RAWDATA Cars Buyers DB'!L:L)</f>
        <v>Yes</v>
      </c>
    </row>
    <row r="740" spans="1:13">
      <c r="A740" s="6">
        <v>66397</v>
      </c>
      <c r="B740" s="10" t="str">
        <f>IF(_xlfn.XLOOKUP($A740,'RAWDATA Cars Buyers DB'!$A:$A,'RAWDATA Cars Buyers DB'!B:B)="S","Single","Married")</f>
        <v>Single</v>
      </c>
      <c r="C740" s="10" t="str">
        <f>IF(_xlfn.XLOOKUP($A740,'RAWDATA Cars Buyers DB'!$A:$A,'RAWDATA Cars Buyers DB'!C:C)="F","Female","Male")</f>
        <v>Male</v>
      </c>
      <c r="D740" s="7">
        <f>_xlfn.XLOOKUP($A740,'RAWDATA Cars Buyers DB'!$A:$A,'RAWDATA Cars Buyers DB'!D:D)</f>
        <v>67118</v>
      </c>
      <c r="E740" s="8">
        <f>_xlfn.XLOOKUP($A740,'RAWDATA Cars Buyers DB'!$A:$A,'RAWDATA Cars Buyers DB'!E:E)</f>
        <v>1</v>
      </c>
      <c r="F740" s="8" t="str">
        <f>_xlfn.XLOOKUP($A740,'RAWDATA Cars Buyers DB'!$A:$A,'RAWDATA Cars Buyers DB'!F:F)</f>
        <v>Partial College</v>
      </c>
      <c r="G740" s="8" t="str">
        <f>_xlfn.XLOOKUP($A740,'RAWDATA Cars Buyers DB'!$A:$A,'RAWDATA Cars Buyers DB'!G:G)</f>
        <v>Clerical</v>
      </c>
      <c r="H740" s="8" t="str">
        <f>_xlfn.XLOOKUP($A740,'RAWDATA Cars Buyers DB'!$A:$A,'RAWDATA Cars Buyers DB'!H:H)</f>
        <v>Yes</v>
      </c>
      <c r="I740" s="8" t="str">
        <f>_xlfn.XLOOKUP($A740,'RAWDATA Cars Buyers DB'!$A:$A,'RAWDATA Cars Buyers DB'!I:I)</f>
        <v>2–4 Kilometre</v>
      </c>
      <c r="J740" s="8" t="str">
        <f>_xlfn.XLOOKUP($A740,'RAWDATA Cars Buyers DB'!$A:$A,'RAWDATA Cars Buyers DB'!J:J)</f>
        <v>Thuringia</v>
      </c>
      <c r="K740" s="8">
        <f>_xlfn.XLOOKUP($A740,'RAWDATA Cars Buyers DB'!$A:$A,'RAWDATA Cars Buyers DB'!K:K)</f>
        <v>50</v>
      </c>
      <c r="L740" s="10" t="str">
        <f>IF(_xlfn.XLOOKUP($A740,'RAWDATA Cars Buyers DB'!$A:$A,'RAWDATA Cars Buyers DB'!K:K)&gt;54,"Old ",IF(_xlfn.XLOOKUP($A740,'RAWDATA Cars Buyers DB'!$A:$A,'RAWDATA Cars Buyers DB'!K:K)&gt;=31,"Middle Age ",IF(_xlfn.XLOOKUP($A740,'RAWDATA Cars Buyers DB'!$A:$A,'RAWDATA Cars Buyers DB'!K:K)&lt;31,"Adolescent","Invalid")))</f>
        <v xml:space="preserve">Middle Age </v>
      </c>
      <c r="M740" s="8" t="str">
        <f>_xlfn.XLOOKUP($A740,'RAWDATA Cars Buyers DB'!$A:$A,'RAWDATA Cars Buyers DB'!L:L)</f>
        <v>No</v>
      </c>
    </row>
    <row r="741" spans="1:13">
      <c r="A741" s="6">
        <v>48765</v>
      </c>
      <c r="B741" s="10" t="str">
        <f>IF(_xlfn.XLOOKUP($A741,'RAWDATA Cars Buyers DB'!$A:$A,'RAWDATA Cars Buyers DB'!B:B)="S","Single","Married")</f>
        <v>Married</v>
      </c>
      <c r="C741" s="10" t="str">
        <f>IF(_xlfn.XLOOKUP($A741,'RAWDATA Cars Buyers DB'!$A:$A,'RAWDATA Cars Buyers DB'!C:C)="F","Female","Male")</f>
        <v>Female</v>
      </c>
      <c r="D741" s="7">
        <f>_xlfn.XLOOKUP($A741,'RAWDATA Cars Buyers DB'!$A:$A,'RAWDATA Cars Buyers DB'!D:D)</f>
        <v>104703</v>
      </c>
      <c r="E741" s="8">
        <f>_xlfn.XLOOKUP($A741,'RAWDATA Cars Buyers DB'!$A:$A,'RAWDATA Cars Buyers DB'!E:E)</f>
        <v>4</v>
      </c>
      <c r="F741" s="8" t="str">
        <f>_xlfn.XLOOKUP($A741,'RAWDATA Cars Buyers DB'!$A:$A,'RAWDATA Cars Buyers DB'!F:F)</f>
        <v>High School</v>
      </c>
      <c r="G741" s="8" t="str">
        <f>_xlfn.XLOOKUP($A741,'RAWDATA Cars Buyers DB'!$A:$A,'RAWDATA Cars Buyers DB'!G:G)</f>
        <v>Professional</v>
      </c>
      <c r="H741" s="8" t="str">
        <f>_xlfn.XLOOKUP($A741,'RAWDATA Cars Buyers DB'!$A:$A,'RAWDATA Cars Buyers DB'!H:H)</f>
        <v>No</v>
      </c>
      <c r="I741" s="8" t="str">
        <f>_xlfn.XLOOKUP($A741,'RAWDATA Cars Buyers DB'!$A:$A,'RAWDATA Cars Buyers DB'!I:I)</f>
        <v>2–4 Kilometre</v>
      </c>
      <c r="J741" s="8" t="str">
        <f>_xlfn.XLOOKUP($A741,'RAWDATA Cars Buyers DB'!$A:$A,'RAWDATA Cars Buyers DB'!J:J)</f>
        <v>Brandenburg</v>
      </c>
      <c r="K741" s="8">
        <f>_xlfn.XLOOKUP($A741,'RAWDATA Cars Buyers DB'!$A:$A,'RAWDATA Cars Buyers DB'!K:K)</f>
        <v>60</v>
      </c>
      <c r="L741" s="10" t="str">
        <f>IF(_xlfn.XLOOKUP($A741,'RAWDATA Cars Buyers DB'!$A:$A,'RAWDATA Cars Buyers DB'!K:K)&gt;54,"Old ",IF(_xlfn.XLOOKUP($A741,'RAWDATA Cars Buyers DB'!$A:$A,'RAWDATA Cars Buyers DB'!K:K)&gt;=31,"Middle Age ",IF(_xlfn.XLOOKUP($A741,'RAWDATA Cars Buyers DB'!$A:$A,'RAWDATA Cars Buyers DB'!K:K)&lt;31,"Adolescent","Invalid")))</f>
        <v xml:space="preserve">Old </v>
      </c>
      <c r="M741" s="8" t="str">
        <f>_xlfn.XLOOKUP($A741,'RAWDATA Cars Buyers DB'!$A:$A,'RAWDATA Cars Buyers DB'!L:L)</f>
        <v>Yes</v>
      </c>
    </row>
    <row r="742" spans="1:13">
      <c r="A742" s="6">
        <v>44816</v>
      </c>
      <c r="B742" s="10" t="str">
        <f>IF(_xlfn.XLOOKUP($A742,'RAWDATA Cars Buyers DB'!$A:$A,'RAWDATA Cars Buyers DB'!B:B)="S","Single","Married")</f>
        <v>Married</v>
      </c>
      <c r="C742" s="10" t="str">
        <f>IF(_xlfn.XLOOKUP($A742,'RAWDATA Cars Buyers DB'!$A:$A,'RAWDATA Cars Buyers DB'!C:C)="F","Female","Male")</f>
        <v>Female</v>
      </c>
      <c r="D742" s="7">
        <f>_xlfn.XLOOKUP($A742,'RAWDATA Cars Buyers DB'!$A:$A,'RAWDATA Cars Buyers DB'!D:D)</f>
        <v>41625</v>
      </c>
      <c r="E742" s="8">
        <f>_xlfn.XLOOKUP($A742,'RAWDATA Cars Buyers DB'!$A:$A,'RAWDATA Cars Buyers DB'!E:E)</f>
        <v>2</v>
      </c>
      <c r="F742" s="8" t="str">
        <f>_xlfn.XLOOKUP($A742,'RAWDATA Cars Buyers DB'!$A:$A,'RAWDATA Cars Buyers DB'!F:F)</f>
        <v>Bachelors</v>
      </c>
      <c r="G742" s="8" t="str">
        <f>_xlfn.XLOOKUP($A742,'RAWDATA Cars Buyers DB'!$A:$A,'RAWDATA Cars Buyers DB'!G:G)</f>
        <v>Professional</v>
      </c>
      <c r="H742" s="8" t="str">
        <f>_xlfn.XLOOKUP($A742,'RAWDATA Cars Buyers DB'!$A:$A,'RAWDATA Cars Buyers DB'!H:H)</f>
        <v>No</v>
      </c>
      <c r="I742" s="8" t="str">
        <f>_xlfn.XLOOKUP($A742,'RAWDATA Cars Buyers DB'!$A:$A,'RAWDATA Cars Buyers DB'!I:I)</f>
        <v>4–6 Kilometre</v>
      </c>
      <c r="J742" s="8" t="str">
        <f>_xlfn.XLOOKUP($A742,'RAWDATA Cars Buyers DB'!$A:$A,'RAWDATA Cars Buyers DB'!J:J)</f>
        <v>Brandenburg</v>
      </c>
      <c r="K742" s="8">
        <f>_xlfn.XLOOKUP($A742,'RAWDATA Cars Buyers DB'!$A:$A,'RAWDATA Cars Buyers DB'!K:K)</f>
        <v>26</v>
      </c>
      <c r="L742" s="10" t="str">
        <f>IF(_xlfn.XLOOKUP($A742,'RAWDATA Cars Buyers DB'!$A:$A,'RAWDATA Cars Buyers DB'!K:K)&gt;54,"Old ",IF(_xlfn.XLOOKUP($A742,'RAWDATA Cars Buyers DB'!$A:$A,'RAWDATA Cars Buyers DB'!K:K)&gt;=31,"Middle Age ",IF(_xlfn.XLOOKUP($A742,'RAWDATA Cars Buyers DB'!$A:$A,'RAWDATA Cars Buyers DB'!K:K)&lt;31,"Adolescent","Invalid")))</f>
        <v>Adolescent</v>
      </c>
      <c r="M742" s="8" t="str">
        <f>_xlfn.XLOOKUP($A742,'RAWDATA Cars Buyers DB'!$A:$A,'RAWDATA Cars Buyers DB'!L:L)</f>
        <v>Yes</v>
      </c>
    </row>
    <row r="743" spans="1:13">
      <c r="A743" s="6">
        <v>55106</v>
      </c>
      <c r="B743" s="10" t="str">
        <f>IF(_xlfn.XLOOKUP($A743,'RAWDATA Cars Buyers DB'!$A:$A,'RAWDATA Cars Buyers DB'!B:B)="S","Single","Married")</f>
        <v>Single</v>
      </c>
      <c r="C743" s="10" t="str">
        <f>IF(_xlfn.XLOOKUP($A743,'RAWDATA Cars Buyers DB'!$A:$A,'RAWDATA Cars Buyers DB'!C:C)="F","Female","Male")</f>
        <v>Male</v>
      </c>
      <c r="D743" s="7">
        <f>_xlfn.XLOOKUP($A743,'RAWDATA Cars Buyers DB'!$A:$A,'RAWDATA Cars Buyers DB'!D:D)</f>
        <v>47076</v>
      </c>
      <c r="E743" s="8">
        <f>_xlfn.XLOOKUP($A743,'RAWDATA Cars Buyers DB'!$A:$A,'RAWDATA Cars Buyers DB'!E:E)</f>
        <v>0</v>
      </c>
      <c r="F743" s="8" t="str">
        <f>_xlfn.XLOOKUP($A743,'RAWDATA Cars Buyers DB'!$A:$A,'RAWDATA Cars Buyers DB'!F:F)</f>
        <v>Bachelors</v>
      </c>
      <c r="G743" s="8" t="str">
        <f>_xlfn.XLOOKUP($A743,'RAWDATA Cars Buyers DB'!$A:$A,'RAWDATA Cars Buyers DB'!G:G)</f>
        <v>Professional</v>
      </c>
      <c r="H743" s="8" t="str">
        <f>_xlfn.XLOOKUP($A743,'RAWDATA Cars Buyers DB'!$A:$A,'RAWDATA Cars Buyers DB'!H:H)</f>
        <v>Yes</v>
      </c>
      <c r="I743" s="8" t="str">
        <f>_xlfn.XLOOKUP($A743,'RAWDATA Cars Buyers DB'!$A:$A,'RAWDATA Cars Buyers DB'!I:I)</f>
        <v>6+ Kilometre</v>
      </c>
      <c r="J743" s="8" t="str">
        <f>_xlfn.XLOOKUP($A743,'RAWDATA Cars Buyers DB'!$A:$A,'RAWDATA Cars Buyers DB'!J:J)</f>
        <v>Lower Saxony</v>
      </c>
      <c r="K743" s="8">
        <f>_xlfn.XLOOKUP($A743,'RAWDATA Cars Buyers DB'!$A:$A,'RAWDATA Cars Buyers DB'!K:K)</f>
        <v>42</v>
      </c>
      <c r="L743" s="10" t="str">
        <f>IF(_xlfn.XLOOKUP($A743,'RAWDATA Cars Buyers DB'!$A:$A,'RAWDATA Cars Buyers DB'!K:K)&gt;54,"Old ",IF(_xlfn.XLOOKUP($A743,'RAWDATA Cars Buyers DB'!$A:$A,'RAWDATA Cars Buyers DB'!K:K)&gt;=31,"Middle Age ",IF(_xlfn.XLOOKUP($A743,'RAWDATA Cars Buyers DB'!$A:$A,'RAWDATA Cars Buyers DB'!K:K)&lt;31,"Adolescent","Invalid")))</f>
        <v xml:space="preserve">Middle Age </v>
      </c>
      <c r="M743" s="8" t="str">
        <f>_xlfn.XLOOKUP($A743,'RAWDATA Cars Buyers DB'!$A:$A,'RAWDATA Cars Buyers DB'!L:L)</f>
        <v>No</v>
      </c>
    </row>
    <row r="744" spans="1:13">
      <c r="A744" s="6">
        <v>63932</v>
      </c>
      <c r="B744" s="10" t="str">
        <f>IF(_xlfn.XLOOKUP($A744,'RAWDATA Cars Buyers DB'!$A:$A,'RAWDATA Cars Buyers DB'!B:B)="S","Single","Married")</f>
        <v>Married</v>
      </c>
      <c r="C744" s="10" t="str">
        <f>IF(_xlfn.XLOOKUP($A744,'RAWDATA Cars Buyers DB'!$A:$A,'RAWDATA Cars Buyers DB'!C:C)="F","Female","Male")</f>
        <v>Male</v>
      </c>
      <c r="D744" s="7">
        <f>_xlfn.XLOOKUP($A744,'RAWDATA Cars Buyers DB'!$A:$A,'RAWDATA Cars Buyers DB'!D:D)</f>
        <v>84805</v>
      </c>
      <c r="E744" s="8">
        <f>_xlfn.XLOOKUP($A744,'RAWDATA Cars Buyers DB'!$A:$A,'RAWDATA Cars Buyers DB'!E:E)</f>
        <v>3</v>
      </c>
      <c r="F744" s="8" t="str">
        <f>_xlfn.XLOOKUP($A744,'RAWDATA Cars Buyers DB'!$A:$A,'RAWDATA Cars Buyers DB'!F:F)</f>
        <v>Partial College</v>
      </c>
      <c r="G744" s="8" t="str">
        <f>_xlfn.XLOOKUP($A744,'RAWDATA Cars Buyers DB'!$A:$A,'RAWDATA Cars Buyers DB'!G:G)</f>
        <v>Clerical</v>
      </c>
      <c r="H744" s="8" t="str">
        <f>_xlfn.XLOOKUP($A744,'RAWDATA Cars Buyers DB'!$A:$A,'RAWDATA Cars Buyers DB'!H:H)</f>
        <v>Yes</v>
      </c>
      <c r="I744" s="8" t="str">
        <f>_xlfn.XLOOKUP($A744,'RAWDATA Cars Buyers DB'!$A:$A,'RAWDATA Cars Buyers DB'!I:I)</f>
        <v>2–4 Kilometre</v>
      </c>
      <c r="J744" s="8" t="str">
        <f>_xlfn.XLOOKUP($A744,'RAWDATA Cars Buyers DB'!$A:$A,'RAWDATA Cars Buyers DB'!J:J)</f>
        <v>Lower Saxony</v>
      </c>
      <c r="K744" s="8">
        <f>_xlfn.XLOOKUP($A744,'RAWDATA Cars Buyers DB'!$A:$A,'RAWDATA Cars Buyers DB'!K:K)</f>
        <v>43</v>
      </c>
      <c r="L744" s="10" t="str">
        <f>IF(_xlfn.XLOOKUP($A744,'RAWDATA Cars Buyers DB'!$A:$A,'RAWDATA Cars Buyers DB'!K:K)&gt;54,"Old ",IF(_xlfn.XLOOKUP($A744,'RAWDATA Cars Buyers DB'!$A:$A,'RAWDATA Cars Buyers DB'!K:K)&gt;=31,"Middle Age ",IF(_xlfn.XLOOKUP($A744,'RAWDATA Cars Buyers DB'!$A:$A,'RAWDATA Cars Buyers DB'!K:K)&lt;31,"Adolescent","Invalid")))</f>
        <v xml:space="preserve">Middle Age </v>
      </c>
      <c r="M744" s="8" t="str">
        <f>_xlfn.XLOOKUP($A744,'RAWDATA Cars Buyers DB'!$A:$A,'RAWDATA Cars Buyers DB'!L:L)</f>
        <v>Yes</v>
      </c>
    </row>
    <row r="745" spans="1:13">
      <c r="A745" s="6">
        <v>27100</v>
      </c>
      <c r="B745" s="10" t="str">
        <f>IF(_xlfn.XLOOKUP($A745,'RAWDATA Cars Buyers DB'!$A:$A,'RAWDATA Cars Buyers DB'!B:B)="S","Single","Married")</f>
        <v>Married</v>
      </c>
      <c r="C745" s="10" t="str">
        <f>IF(_xlfn.XLOOKUP($A745,'RAWDATA Cars Buyers DB'!$A:$A,'RAWDATA Cars Buyers DB'!C:C)="F","Female","Male")</f>
        <v>Female</v>
      </c>
      <c r="D745" s="7">
        <f>_xlfn.XLOOKUP($A745,'RAWDATA Cars Buyers DB'!$A:$A,'RAWDATA Cars Buyers DB'!D:D)</f>
        <v>64605</v>
      </c>
      <c r="E745" s="8">
        <f>_xlfn.XLOOKUP($A745,'RAWDATA Cars Buyers DB'!$A:$A,'RAWDATA Cars Buyers DB'!E:E)</f>
        <v>2</v>
      </c>
      <c r="F745" s="8" t="str">
        <f>_xlfn.XLOOKUP($A745,'RAWDATA Cars Buyers DB'!$A:$A,'RAWDATA Cars Buyers DB'!F:F)</f>
        <v>High School</v>
      </c>
      <c r="G745" s="8" t="str">
        <f>_xlfn.XLOOKUP($A745,'RAWDATA Cars Buyers DB'!$A:$A,'RAWDATA Cars Buyers DB'!G:G)</f>
        <v>Management</v>
      </c>
      <c r="H745" s="8" t="str">
        <f>_xlfn.XLOOKUP($A745,'RAWDATA Cars Buyers DB'!$A:$A,'RAWDATA Cars Buyers DB'!H:H)</f>
        <v>No</v>
      </c>
      <c r="I745" s="8" t="str">
        <f>_xlfn.XLOOKUP($A745,'RAWDATA Cars Buyers DB'!$A:$A,'RAWDATA Cars Buyers DB'!I:I)</f>
        <v>1–2 Kilometre</v>
      </c>
      <c r="J745" s="8" t="str">
        <f>_xlfn.XLOOKUP($A745,'RAWDATA Cars Buyers DB'!$A:$A,'RAWDATA Cars Buyers DB'!J:J)</f>
        <v>Schleswig-Holstein</v>
      </c>
      <c r="K745" s="8">
        <f>_xlfn.XLOOKUP($A745,'RAWDATA Cars Buyers DB'!$A:$A,'RAWDATA Cars Buyers DB'!K:K)</f>
        <v>24</v>
      </c>
      <c r="L745" s="10" t="str">
        <f>IF(_xlfn.XLOOKUP($A745,'RAWDATA Cars Buyers DB'!$A:$A,'RAWDATA Cars Buyers DB'!K:K)&gt;54,"Old ",IF(_xlfn.XLOOKUP($A745,'RAWDATA Cars Buyers DB'!$A:$A,'RAWDATA Cars Buyers DB'!K:K)&gt;=31,"Middle Age ",IF(_xlfn.XLOOKUP($A745,'RAWDATA Cars Buyers DB'!$A:$A,'RAWDATA Cars Buyers DB'!K:K)&lt;31,"Adolescent","Invalid")))</f>
        <v>Adolescent</v>
      </c>
      <c r="M745" s="8" t="str">
        <f>_xlfn.XLOOKUP($A745,'RAWDATA Cars Buyers DB'!$A:$A,'RAWDATA Cars Buyers DB'!L:L)</f>
        <v>Yes</v>
      </c>
    </row>
    <row r="746" spans="1:13">
      <c r="A746" s="6">
        <v>67091</v>
      </c>
      <c r="B746" s="10" t="str">
        <f>IF(_xlfn.XLOOKUP($A746,'RAWDATA Cars Buyers DB'!$A:$A,'RAWDATA Cars Buyers DB'!B:B)="S","Single","Married")</f>
        <v>Married</v>
      </c>
      <c r="C746" s="10" t="str">
        <f>IF(_xlfn.XLOOKUP($A746,'RAWDATA Cars Buyers DB'!$A:$A,'RAWDATA Cars Buyers DB'!C:C)="F","Female","Male")</f>
        <v>Male</v>
      </c>
      <c r="D746" s="7">
        <f>_xlfn.XLOOKUP($A746,'RAWDATA Cars Buyers DB'!$A:$A,'RAWDATA Cars Buyers DB'!D:D)</f>
        <v>104565</v>
      </c>
      <c r="E746" s="8">
        <f>_xlfn.XLOOKUP($A746,'RAWDATA Cars Buyers DB'!$A:$A,'RAWDATA Cars Buyers DB'!E:E)</f>
        <v>2</v>
      </c>
      <c r="F746" s="8" t="str">
        <f>_xlfn.XLOOKUP($A746,'RAWDATA Cars Buyers DB'!$A:$A,'RAWDATA Cars Buyers DB'!F:F)</f>
        <v>Bachelors</v>
      </c>
      <c r="G746" s="8" t="str">
        <f>_xlfn.XLOOKUP($A746,'RAWDATA Cars Buyers DB'!$A:$A,'RAWDATA Cars Buyers DB'!G:G)</f>
        <v>Skilled Manual</v>
      </c>
      <c r="H746" s="8" t="str">
        <f>_xlfn.XLOOKUP($A746,'RAWDATA Cars Buyers DB'!$A:$A,'RAWDATA Cars Buyers DB'!H:H)</f>
        <v>No</v>
      </c>
      <c r="I746" s="8" t="str">
        <f>_xlfn.XLOOKUP($A746,'RAWDATA Cars Buyers DB'!$A:$A,'RAWDATA Cars Buyers DB'!I:I)</f>
        <v>0–1 Kilometre</v>
      </c>
      <c r="J746" s="8" t="str">
        <f>_xlfn.XLOOKUP($A746,'RAWDATA Cars Buyers DB'!$A:$A,'RAWDATA Cars Buyers DB'!J:J)</f>
        <v>Brandenburg</v>
      </c>
      <c r="K746" s="8">
        <f>_xlfn.XLOOKUP($A746,'RAWDATA Cars Buyers DB'!$A:$A,'RAWDATA Cars Buyers DB'!K:K)</f>
        <v>24</v>
      </c>
      <c r="L746" s="10" t="str">
        <f>IF(_xlfn.XLOOKUP($A746,'RAWDATA Cars Buyers DB'!$A:$A,'RAWDATA Cars Buyers DB'!K:K)&gt;54,"Old ",IF(_xlfn.XLOOKUP($A746,'RAWDATA Cars Buyers DB'!$A:$A,'RAWDATA Cars Buyers DB'!K:K)&gt;=31,"Middle Age ",IF(_xlfn.XLOOKUP($A746,'RAWDATA Cars Buyers DB'!$A:$A,'RAWDATA Cars Buyers DB'!K:K)&lt;31,"Adolescent","Invalid")))</f>
        <v>Adolescent</v>
      </c>
      <c r="M746" s="8" t="str">
        <f>_xlfn.XLOOKUP($A746,'RAWDATA Cars Buyers DB'!$A:$A,'RAWDATA Cars Buyers DB'!L:L)</f>
        <v>Yes</v>
      </c>
    </row>
    <row r="747" spans="1:13">
      <c r="A747" s="6">
        <v>31949</v>
      </c>
      <c r="B747" s="10" t="str">
        <f>IF(_xlfn.XLOOKUP($A747,'RAWDATA Cars Buyers DB'!$A:$A,'RAWDATA Cars Buyers DB'!B:B)="S","Single","Married")</f>
        <v>Single</v>
      </c>
      <c r="C747" s="10" t="str">
        <f>IF(_xlfn.XLOOKUP($A747,'RAWDATA Cars Buyers DB'!$A:$A,'RAWDATA Cars Buyers DB'!C:C)="F","Female","Male")</f>
        <v>Female</v>
      </c>
      <c r="D747" s="7">
        <f>_xlfn.XLOOKUP($A747,'RAWDATA Cars Buyers DB'!$A:$A,'RAWDATA Cars Buyers DB'!D:D)</f>
        <v>108509</v>
      </c>
      <c r="E747" s="8">
        <f>_xlfn.XLOOKUP($A747,'RAWDATA Cars Buyers DB'!$A:$A,'RAWDATA Cars Buyers DB'!E:E)</f>
        <v>5</v>
      </c>
      <c r="F747" s="8" t="str">
        <f>_xlfn.XLOOKUP($A747,'RAWDATA Cars Buyers DB'!$A:$A,'RAWDATA Cars Buyers DB'!F:F)</f>
        <v>Partial College</v>
      </c>
      <c r="G747" s="8" t="str">
        <f>_xlfn.XLOOKUP($A747,'RAWDATA Cars Buyers DB'!$A:$A,'RAWDATA Cars Buyers DB'!G:G)</f>
        <v>Professional</v>
      </c>
      <c r="H747" s="8" t="str">
        <f>_xlfn.XLOOKUP($A747,'RAWDATA Cars Buyers DB'!$A:$A,'RAWDATA Cars Buyers DB'!H:H)</f>
        <v>Yes</v>
      </c>
      <c r="I747" s="8" t="str">
        <f>_xlfn.XLOOKUP($A747,'RAWDATA Cars Buyers DB'!$A:$A,'RAWDATA Cars Buyers DB'!I:I)</f>
        <v>1–2 Kilometre</v>
      </c>
      <c r="J747" s="8" t="str">
        <f>_xlfn.XLOOKUP($A747,'RAWDATA Cars Buyers DB'!$A:$A,'RAWDATA Cars Buyers DB'!J:J)</f>
        <v>Rhineland-Palatinate</v>
      </c>
      <c r="K747" s="8">
        <f>_xlfn.XLOOKUP($A747,'RAWDATA Cars Buyers DB'!$A:$A,'RAWDATA Cars Buyers DB'!K:K)</f>
        <v>36</v>
      </c>
      <c r="L747" s="10" t="str">
        <f>IF(_xlfn.XLOOKUP($A747,'RAWDATA Cars Buyers DB'!$A:$A,'RAWDATA Cars Buyers DB'!K:K)&gt;54,"Old ",IF(_xlfn.XLOOKUP($A747,'RAWDATA Cars Buyers DB'!$A:$A,'RAWDATA Cars Buyers DB'!K:K)&gt;=31,"Middle Age ",IF(_xlfn.XLOOKUP($A747,'RAWDATA Cars Buyers DB'!$A:$A,'RAWDATA Cars Buyers DB'!K:K)&lt;31,"Adolescent","Invalid")))</f>
        <v xml:space="preserve">Middle Age </v>
      </c>
      <c r="M747" s="8" t="str">
        <f>_xlfn.XLOOKUP($A747,'RAWDATA Cars Buyers DB'!$A:$A,'RAWDATA Cars Buyers DB'!L:L)</f>
        <v>Yes</v>
      </c>
    </row>
    <row r="748" spans="1:13">
      <c r="A748" s="6">
        <v>80080</v>
      </c>
      <c r="B748" s="10" t="str">
        <f>IF(_xlfn.XLOOKUP($A748,'RAWDATA Cars Buyers DB'!$A:$A,'RAWDATA Cars Buyers DB'!B:B)="S","Single","Married")</f>
        <v>Married</v>
      </c>
      <c r="C748" s="10" t="str">
        <f>IF(_xlfn.XLOOKUP($A748,'RAWDATA Cars Buyers DB'!$A:$A,'RAWDATA Cars Buyers DB'!C:C)="F","Female","Male")</f>
        <v>Female</v>
      </c>
      <c r="D748" s="7">
        <f>_xlfn.XLOOKUP($A748,'RAWDATA Cars Buyers DB'!$A:$A,'RAWDATA Cars Buyers DB'!D:D)</f>
        <v>59121</v>
      </c>
      <c r="E748" s="8">
        <f>_xlfn.XLOOKUP($A748,'RAWDATA Cars Buyers DB'!$A:$A,'RAWDATA Cars Buyers DB'!E:E)</f>
        <v>1</v>
      </c>
      <c r="F748" s="8" t="str">
        <f>_xlfn.XLOOKUP($A748,'RAWDATA Cars Buyers DB'!$A:$A,'RAWDATA Cars Buyers DB'!F:F)</f>
        <v>Partial College</v>
      </c>
      <c r="G748" s="8" t="str">
        <f>_xlfn.XLOOKUP($A748,'RAWDATA Cars Buyers DB'!$A:$A,'RAWDATA Cars Buyers DB'!G:G)</f>
        <v>Clerical</v>
      </c>
      <c r="H748" s="8" t="str">
        <f>_xlfn.XLOOKUP($A748,'RAWDATA Cars Buyers DB'!$A:$A,'RAWDATA Cars Buyers DB'!H:H)</f>
        <v>No</v>
      </c>
      <c r="I748" s="8" t="str">
        <f>_xlfn.XLOOKUP($A748,'RAWDATA Cars Buyers DB'!$A:$A,'RAWDATA Cars Buyers DB'!I:I)</f>
        <v>6+ Kilometre</v>
      </c>
      <c r="J748" s="8" t="str">
        <f>_xlfn.XLOOKUP($A748,'RAWDATA Cars Buyers DB'!$A:$A,'RAWDATA Cars Buyers DB'!J:J)</f>
        <v>Saxony</v>
      </c>
      <c r="K748" s="8">
        <f>_xlfn.XLOOKUP($A748,'RAWDATA Cars Buyers DB'!$A:$A,'RAWDATA Cars Buyers DB'!K:K)</f>
        <v>49</v>
      </c>
      <c r="L748" s="10" t="str">
        <f>IF(_xlfn.XLOOKUP($A748,'RAWDATA Cars Buyers DB'!$A:$A,'RAWDATA Cars Buyers DB'!K:K)&gt;54,"Old ",IF(_xlfn.XLOOKUP($A748,'RAWDATA Cars Buyers DB'!$A:$A,'RAWDATA Cars Buyers DB'!K:K)&gt;=31,"Middle Age ",IF(_xlfn.XLOOKUP($A748,'RAWDATA Cars Buyers DB'!$A:$A,'RAWDATA Cars Buyers DB'!K:K)&lt;31,"Adolescent","Invalid")))</f>
        <v xml:space="preserve">Middle Age </v>
      </c>
      <c r="M748" s="8" t="str">
        <f>_xlfn.XLOOKUP($A748,'RAWDATA Cars Buyers DB'!$A:$A,'RAWDATA Cars Buyers DB'!L:L)</f>
        <v>Yes</v>
      </c>
    </row>
    <row r="749" spans="1:13">
      <c r="A749" s="6">
        <v>47744</v>
      </c>
      <c r="B749" s="10" t="str">
        <f>IF(_xlfn.XLOOKUP($A749,'RAWDATA Cars Buyers DB'!$A:$A,'RAWDATA Cars Buyers DB'!B:B)="S","Single","Married")</f>
        <v>Single</v>
      </c>
      <c r="C749" s="10" t="str">
        <f>IF(_xlfn.XLOOKUP($A749,'RAWDATA Cars Buyers DB'!$A:$A,'RAWDATA Cars Buyers DB'!C:C)="F","Female","Male")</f>
        <v>Male</v>
      </c>
      <c r="D749" s="7">
        <f>_xlfn.XLOOKUP($A749,'RAWDATA Cars Buyers DB'!$A:$A,'RAWDATA Cars Buyers DB'!D:D)</f>
        <v>85101</v>
      </c>
      <c r="E749" s="8">
        <f>_xlfn.XLOOKUP($A749,'RAWDATA Cars Buyers DB'!$A:$A,'RAWDATA Cars Buyers DB'!E:E)</f>
        <v>3</v>
      </c>
      <c r="F749" s="8" t="str">
        <f>_xlfn.XLOOKUP($A749,'RAWDATA Cars Buyers DB'!$A:$A,'RAWDATA Cars Buyers DB'!F:F)</f>
        <v>High School</v>
      </c>
      <c r="G749" s="8" t="str">
        <f>_xlfn.XLOOKUP($A749,'RAWDATA Cars Buyers DB'!$A:$A,'RAWDATA Cars Buyers DB'!G:G)</f>
        <v>Clerical</v>
      </c>
      <c r="H749" s="8" t="str">
        <f>_xlfn.XLOOKUP($A749,'RAWDATA Cars Buyers DB'!$A:$A,'RAWDATA Cars Buyers DB'!H:H)</f>
        <v>No</v>
      </c>
      <c r="I749" s="8" t="str">
        <f>_xlfn.XLOOKUP($A749,'RAWDATA Cars Buyers DB'!$A:$A,'RAWDATA Cars Buyers DB'!I:I)</f>
        <v>0–1 Kilometre</v>
      </c>
      <c r="J749" s="8" t="str">
        <f>_xlfn.XLOOKUP($A749,'RAWDATA Cars Buyers DB'!$A:$A,'RAWDATA Cars Buyers DB'!J:J)</f>
        <v>Mecklenburg-Vorpommern</v>
      </c>
      <c r="K749" s="8">
        <f>_xlfn.XLOOKUP($A749,'RAWDATA Cars Buyers DB'!$A:$A,'RAWDATA Cars Buyers DB'!K:K)</f>
        <v>28</v>
      </c>
      <c r="L749" s="10" t="str">
        <f>IF(_xlfn.XLOOKUP($A749,'RAWDATA Cars Buyers DB'!$A:$A,'RAWDATA Cars Buyers DB'!K:K)&gt;54,"Old ",IF(_xlfn.XLOOKUP($A749,'RAWDATA Cars Buyers DB'!$A:$A,'RAWDATA Cars Buyers DB'!K:K)&gt;=31,"Middle Age ",IF(_xlfn.XLOOKUP($A749,'RAWDATA Cars Buyers DB'!$A:$A,'RAWDATA Cars Buyers DB'!K:K)&lt;31,"Adolescent","Invalid")))</f>
        <v>Adolescent</v>
      </c>
      <c r="M749" s="8" t="str">
        <f>_xlfn.XLOOKUP($A749,'RAWDATA Cars Buyers DB'!$A:$A,'RAWDATA Cars Buyers DB'!L:L)</f>
        <v>Yes</v>
      </c>
    </row>
    <row r="750" spans="1:13">
      <c r="A750" s="6">
        <v>46187</v>
      </c>
      <c r="B750" s="10" t="str">
        <f>IF(_xlfn.XLOOKUP($A750,'RAWDATA Cars Buyers DB'!$A:$A,'RAWDATA Cars Buyers DB'!B:B)="S","Single","Married")</f>
        <v>Married</v>
      </c>
      <c r="C750" s="10" t="str">
        <f>IF(_xlfn.XLOOKUP($A750,'RAWDATA Cars Buyers DB'!$A:$A,'RAWDATA Cars Buyers DB'!C:C)="F","Female","Male")</f>
        <v>Female</v>
      </c>
      <c r="D750" s="7">
        <f>_xlfn.XLOOKUP($A750,'RAWDATA Cars Buyers DB'!$A:$A,'RAWDATA Cars Buyers DB'!D:D)</f>
        <v>63309</v>
      </c>
      <c r="E750" s="8">
        <f>_xlfn.XLOOKUP($A750,'RAWDATA Cars Buyers DB'!$A:$A,'RAWDATA Cars Buyers DB'!E:E)</f>
        <v>2</v>
      </c>
      <c r="F750" s="8" t="str">
        <f>_xlfn.XLOOKUP($A750,'RAWDATA Cars Buyers DB'!$A:$A,'RAWDATA Cars Buyers DB'!F:F)</f>
        <v>Partial College</v>
      </c>
      <c r="G750" s="8" t="str">
        <f>_xlfn.XLOOKUP($A750,'RAWDATA Cars Buyers DB'!$A:$A,'RAWDATA Cars Buyers DB'!G:G)</f>
        <v>Professional</v>
      </c>
      <c r="H750" s="8" t="str">
        <f>_xlfn.XLOOKUP($A750,'RAWDATA Cars Buyers DB'!$A:$A,'RAWDATA Cars Buyers DB'!H:H)</f>
        <v>No</v>
      </c>
      <c r="I750" s="8" t="str">
        <f>_xlfn.XLOOKUP($A750,'RAWDATA Cars Buyers DB'!$A:$A,'RAWDATA Cars Buyers DB'!I:I)</f>
        <v>1–2 Kilometre</v>
      </c>
      <c r="J750" s="8" t="str">
        <f>_xlfn.XLOOKUP($A750,'RAWDATA Cars Buyers DB'!$A:$A,'RAWDATA Cars Buyers DB'!J:J)</f>
        <v>Saxony-Anhalt</v>
      </c>
      <c r="K750" s="8">
        <f>_xlfn.XLOOKUP($A750,'RAWDATA Cars Buyers DB'!$A:$A,'RAWDATA Cars Buyers DB'!K:K)</f>
        <v>44</v>
      </c>
      <c r="L750" s="10" t="str">
        <f>IF(_xlfn.XLOOKUP($A750,'RAWDATA Cars Buyers DB'!$A:$A,'RAWDATA Cars Buyers DB'!K:K)&gt;54,"Old ",IF(_xlfn.XLOOKUP($A750,'RAWDATA Cars Buyers DB'!$A:$A,'RAWDATA Cars Buyers DB'!K:K)&gt;=31,"Middle Age ",IF(_xlfn.XLOOKUP($A750,'RAWDATA Cars Buyers DB'!$A:$A,'RAWDATA Cars Buyers DB'!K:K)&lt;31,"Adolescent","Invalid")))</f>
        <v xml:space="preserve">Middle Age </v>
      </c>
      <c r="M750" s="8" t="str">
        <f>_xlfn.XLOOKUP($A750,'RAWDATA Cars Buyers DB'!$A:$A,'RAWDATA Cars Buyers DB'!L:L)</f>
        <v>Yes</v>
      </c>
    </row>
    <row r="751" spans="1:13">
      <c r="A751" s="6">
        <v>17239</v>
      </c>
      <c r="B751" s="10" t="str">
        <f>IF(_xlfn.XLOOKUP($A751,'RAWDATA Cars Buyers DB'!$A:$A,'RAWDATA Cars Buyers DB'!B:B)="S","Single","Married")</f>
        <v>Married</v>
      </c>
      <c r="C751" s="10" t="str">
        <f>IF(_xlfn.XLOOKUP($A751,'RAWDATA Cars Buyers DB'!$A:$A,'RAWDATA Cars Buyers DB'!C:C)="F","Female","Male")</f>
        <v>Female</v>
      </c>
      <c r="D751" s="7">
        <f>_xlfn.XLOOKUP($A751,'RAWDATA Cars Buyers DB'!$A:$A,'RAWDATA Cars Buyers DB'!D:D)</f>
        <v>87468</v>
      </c>
      <c r="E751" s="8">
        <f>_xlfn.XLOOKUP($A751,'RAWDATA Cars Buyers DB'!$A:$A,'RAWDATA Cars Buyers DB'!E:E)</f>
        <v>4</v>
      </c>
      <c r="F751" s="8" t="str">
        <f>_xlfn.XLOOKUP($A751,'RAWDATA Cars Buyers DB'!$A:$A,'RAWDATA Cars Buyers DB'!F:F)</f>
        <v>Graduate Degree</v>
      </c>
      <c r="G751" s="8" t="str">
        <f>_xlfn.XLOOKUP($A751,'RAWDATA Cars Buyers DB'!$A:$A,'RAWDATA Cars Buyers DB'!G:G)</f>
        <v>Clerical</v>
      </c>
      <c r="H751" s="8" t="str">
        <f>_xlfn.XLOOKUP($A751,'RAWDATA Cars Buyers DB'!$A:$A,'RAWDATA Cars Buyers DB'!H:H)</f>
        <v>Yes</v>
      </c>
      <c r="I751" s="8" t="str">
        <f>_xlfn.XLOOKUP($A751,'RAWDATA Cars Buyers DB'!$A:$A,'RAWDATA Cars Buyers DB'!I:I)</f>
        <v>4–6 Kilometre</v>
      </c>
      <c r="J751" s="8" t="str">
        <f>_xlfn.XLOOKUP($A751,'RAWDATA Cars Buyers DB'!$A:$A,'RAWDATA Cars Buyers DB'!J:J)</f>
        <v>Baden-Württemberg</v>
      </c>
      <c r="K751" s="8">
        <f>_xlfn.XLOOKUP($A751,'RAWDATA Cars Buyers DB'!$A:$A,'RAWDATA Cars Buyers DB'!K:K)</f>
        <v>38</v>
      </c>
      <c r="L751" s="10" t="str">
        <f>IF(_xlfn.XLOOKUP($A751,'RAWDATA Cars Buyers DB'!$A:$A,'RAWDATA Cars Buyers DB'!K:K)&gt;54,"Old ",IF(_xlfn.XLOOKUP($A751,'RAWDATA Cars Buyers DB'!$A:$A,'RAWDATA Cars Buyers DB'!K:K)&gt;=31,"Middle Age ",IF(_xlfn.XLOOKUP($A751,'RAWDATA Cars Buyers DB'!$A:$A,'RAWDATA Cars Buyers DB'!K:K)&lt;31,"Adolescent","Invalid")))</f>
        <v xml:space="preserve">Middle Age </v>
      </c>
      <c r="M751" s="8" t="str">
        <f>_xlfn.XLOOKUP($A751,'RAWDATA Cars Buyers DB'!$A:$A,'RAWDATA Cars Buyers DB'!L:L)</f>
        <v>No</v>
      </c>
    </row>
    <row r="752" spans="1:13">
      <c r="A752" s="6">
        <v>24489</v>
      </c>
      <c r="B752" s="10" t="str">
        <f>IF(_xlfn.XLOOKUP($A752,'RAWDATA Cars Buyers DB'!$A:$A,'RAWDATA Cars Buyers DB'!B:B)="S","Single","Married")</f>
        <v>Single</v>
      </c>
      <c r="C752" s="10" t="str">
        <f>IF(_xlfn.XLOOKUP($A752,'RAWDATA Cars Buyers DB'!$A:$A,'RAWDATA Cars Buyers DB'!C:C)="F","Female","Male")</f>
        <v>Female</v>
      </c>
      <c r="D752" s="7">
        <f>_xlfn.XLOOKUP($A752,'RAWDATA Cars Buyers DB'!$A:$A,'RAWDATA Cars Buyers DB'!D:D)</f>
        <v>64254</v>
      </c>
      <c r="E752" s="8">
        <f>_xlfn.XLOOKUP($A752,'RAWDATA Cars Buyers DB'!$A:$A,'RAWDATA Cars Buyers DB'!E:E)</f>
        <v>2</v>
      </c>
      <c r="F752" s="8" t="str">
        <f>_xlfn.XLOOKUP($A752,'RAWDATA Cars Buyers DB'!$A:$A,'RAWDATA Cars Buyers DB'!F:F)</f>
        <v>Graduate Degree</v>
      </c>
      <c r="G752" s="8" t="str">
        <f>_xlfn.XLOOKUP($A752,'RAWDATA Cars Buyers DB'!$A:$A,'RAWDATA Cars Buyers DB'!G:G)</f>
        <v>Skilled Manual</v>
      </c>
      <c r="H752" s="8" t="str">
        <f>_xlfn.XLOOKUP($A752,'RAWDATA Cars Buyers DB'!$A:$A,'RAWDATA Cars Buyers DB'!H:H)</f>
        <v>Yes</v>
      </c>
      <c r="I752" s="8" t="str">
        <f>_xlfn.XLOOKUP($A752,'RAWDATA Cars Buyers DB'!$A:$A,'RAWDATA Cars Buyers DB'!I:I)</f>
        <v>6+ Kilometre</v>
      </c>
      <c r="J752" s="8" t="str">
        <f>_xlfn.XLOOKUP($A752,'RAWDATA Cars Buyers DB'!$A:$A,'RAWDATA Cars Buyers DB'!J:J)</f>
        <v>Mecklenburg-Vorpommern</v>
      </c>
      <c r="K752" s="8">
        <f>_xlfn.XLOOKUP($A752,'RAWDATA Cars Buyers DB'!$A:$A,'RAWDATA Cars Buyers DB'!K:K)</f>
        <v>35</v>
      </c>
      <c r="L752" s="10" t="str">
        <f>IF(_xlfn.XLOOKUP($A752,'RAWDATA Cars Buyers DB'!$A:$A,'RAWDATA Cars Buyers DB'!K:K)&gt;54,"Old ",IF(_xlfn.XLOOKUP($A752,'RAWDATA Cars Buyers DB'!$A:$A,'RAWDATA Cars Buyers DB'!K:K)&gt;=31,"Middle Age ",IF(_xlfn.XLOOKUP($A752,'RAWDATA Cars Buyers DB'!$A:$A,'RAWDATA Cars Buyers DB'!K:K)&lt;31,"Adolescent","Invalid")))</f>
        <v xml:space="preserve">Middle Age </v>
      </c>
      <c r="M752" s="8" t="str">
        <f>_xlfn.XLOOKUP($A752,'RAWDATA Cars Buyers DB'!$A:$A,'RAWDATA Cars Buyers DB'!L:L)</f>
        <v>No</v>
      </c>
    </row>
    <row r="753" spans="1:13">
      <c r="A753" s="6">
        <v>68017</v>
      </c>
      <c r="B753" s="10" t="str">
        <f>IF(_xlfn.XLOOKUP($A753,'RAWDATA Cars Buyers DB'!$A:$A,'RAWDATA Cars Buyers DB'!B:B)="S","Single","Married")</f>
        <v>Single</v>
      </c>
      <c r="C753" s="10" t="str">
        <f>IF(_xlfn.XLOOKUP($A753,'RAWDATA Cars Buyers DB'!$A:$A,'RAWDATA Cars Buyers DB'!C:C)="F","Female","Male")</f>
        <v>Male</v>
      </c>
      <c r="D753" s="7">
        <f>_xlfn.XLOOKUP($A753,'RAWDATA Cars Buyers DB'!$A:$A,'RAWDATA Cars Buyers DB'!D:D)</f>
        <v>87293</v>
      </c>
      <c r="E753" s="8">
        <f>_xlfn.XLOOKUP($A753,'RAWDATA Cars Buyers DB'!$A:$A,'RAWDATA Cars Buyers DB'!E:E)</f>
        <v>4</v>
      </c>
      <c r="F753" s="8" t="str">
        <f>_xlfn.XLOOKUP($A753,'RAWDATA Cars Buyers DB'!$A:$A,'RAWDATA Cars Buyers DB'!F:F)</f>
        <v>Bachelors</v>
      </c>
      <c r="G753" s="8" t="str">
        <f>_xlfn.XLOOKUP($A753,'RAWDATA Cars Buyers DB'!$A:$A,'RAWDATA Cars Buyers DB'!G:G)</f>
        <v>Management</v>
      </c>
      <c r="H753" s="8" t="str">
        <f>_xlfn.XLOOKUP($A753,'RAWDATA Cars Buyers DB'!$A:$A,'RAWDATA Cars Buyers DB'!H:H)</f>
        <v>Yes</v>
      </c>
      <c r="I753" s="8" t="str">
        <f>_xlfn.XLOOKUP($A753,'RAWDATA Cars Buyers DB'!$A:$A,'RAWDATA Cars Buyers DB'!I:I)</f>
        <v>4–6 Kilometre</v>
      </c>
      <c r="J753" s="8" t="str">
        <f>_xlfn.XLOOKUP($A753,'RAWDATA Cars Buyers DB'!$A:$A,'RAWDATA Cars Buyers DB'!J:J)</f>
        <v>North Rhine-Westphalia</v>
      </c>
      <c r="K753" s="8">
        <f>_xlfn.XLOOKUP($A753,'RAWDATA Cars Buyers DB'!$A:$A,'RAWDATA Cars Buyers DB'!K:K)</f>
        <v>40</v>
      </c>
      <c r="L753" s="10" t="str">
        <f>IF(_xlfn.XLOOKUP($A753,'RAWDATA Cars Buyers DB'!$A:$A,'RAWDATA Cars Buyers DB'!K:K)&gt;54,"Old ",IF(_xlfn.XLOOKUP($A753,'RAWDATA Cars Buyers DB'!$A:$A,'RAWDATA Cars Buyers DB'!K:K)&gt;=31,"Middle Age ",IF(_xlfn.XLOOKUP($A753,'RAWDATA Cars Buyers DB'!$A:$A,'RAWDATA Cars Buyers DB'!K:K)&lt;31,"Adolescent","Invalid")))</f>
        <v xml:space="preserve">Middle Age </v>
      </c>
      <c r="M753" s="8" t="str">
        <f>_xlfn.XLOOKUP($A753,'RAWDATA Cars Buyers DB'!$A:$A,'RAWDATA Cars Buyers DB'!L:L)</f>
        <v>No</v>
      </c>
    </row>
    <row r="754" spans="1:13">
      <c r="A754" s="6">
        <v>71877</v>
      </c>
      <c r="B754" s="10" t="str">
        <f>IF(_xlfn.XLOOKUP($A754,'RAWDATA Cars Buyers DB'!$A:$A,'RAWDATA Cars Buyers DB'!B:B)="S","Single","Married")</f>
        <v>Single</v>
      </c>
      <c r="C754" s="10" t="str">
        <f>IF(_xlfn.XLOOKUP($A754,'RAWDATA Cars Buyers DB'!$A:$A,'RAWDATA Cars Buyers DB'!C:C)="F","Female","Male")</f>
        <v>Female</v>
      </c>
      <c r="D754" s="7">
        <f>_xlfn.XLOOKUP($A754,'RAWDATA Cars Buyers DB'!$A:$A,'RAWDATA Cars Buyers DB'!D:D)</f>
        <v>116258</v>
      </c>
      <c r="E754" s="8">
        <f>_xlfn.XLOOKUP($A754,'RAWDATA Cars Buyers DB'!$A:$A,'RAWDATA Cars Buyers DB'!E:E)</f>
        <v>3</v>
      </c>
      <c r="F754" s="8" t="str">
        <f>_xlfn.XLOOKUP($A754,'RAWDATA Cars Buyers DB'!$A:$A,'RAWDATA Cars Buyers DB'!F:F)</f>
        <v>Graduate Degree</v>
      </c>
      <c r="G754" s="8" t="str">
        <f>_xlfn.XLOOKUP($A754,'RAWDATA Cars Buyers DB'!$A:$A,'RAWDATA Cars Buyers DB'!G:G)</f>
        <v>Management</v>
      </c>
      <c r="H754" s="8" t="str">
        <f>_xlfn.XLOOKUP($A754,'RAWDATA Cars Buyers DB'!$A:$A,'RAWDATA Cars Buyers DB'!H:H)</f>
        <v>Yes</v>
      </c>
      <c r="I754" s="8" t="str">
        <f>_xlfn.XLOOKUP($A754,'RAWDATA Cars Buyers DB'!$A:$A,'RAWDATA Cars Buyers DB'!I:I)</f>
        <v>0–1 Kilometre</v>
      </c>
      <c r="J754" s="8" t="str">
        <f>_xlfn.XLOOKUP($A754,'RAWDATA Cars Buyers DB'!$A:$A,'RAWDATA Cars Buyers DB'!J:J)</f>
        <v>Baden-Württemberg</v>
      </c>
      <c r="K754" s="8">
        <f>_xlfn.XLOOKUP($A754,'RAWDATA Cars Buyers DB'!$A:$A,'RAWDATA Cars Buyers DB'!K:K)</f>
        <v>21</v>
      </c>
      <c r="L754" s="10" t="str">
        <f>IF(_xlfn.XLOOKUP($A754,'RAWDATA Cars Buyers DB'!$A:$A,'RAWDATA Cars Buyers DB'!K:K)&gt;54,"Old ",IF(_xlfn.XLOOKUP($A754,'RAWDATA Cars Buyers DB'!$A:$A,'RAWDATA Cars Buyers DB'!K:K)&gt;=31,"Middle Age ",IF(_xlfn.XLOOKUP($A754,'RAWDATA Cars Buyers DB'!$A:$A,'RAWDATA Cars Buyers DB'!K:K)&lt;31,"Adolescent","Invalid")))</f>
        <v>Adolescent</v>
      </c>
      <c r="M754" s="8" t="str">
        <f>_xlfn.XLOOKUP($A754,'RAWDATA Cars Buyers DB'!$A:$A,'RAWDATA Cars Buyers DB'!L:L)</f>
        <v>Yes</v>
      </c>
    </row>
    <row r="755" spans="1:13">
      <c r="A755" s="6">
        <v>53125</v>
      </c>
      <c r="B755" s="10" t="str">
        <f>IF(_xlfn.XLOOKUP($A755,'RAWDATA Cars Buyers DB'!$A:$A,'RAWDATA Cars Buyers DB'!B:B)="S","Single","Married")</f>
        <v>Single</v>
      </c>
      <c r="C755" s="10" t="str">
        <f>IF(_xlfn.XLOOKUP($A755,'RAWDATA Cars Buyers DB'!$A:$A,'RAWDATA Cars Buyers DB'!C:C)="F","Female","Male")</f>
        <v>Female</v>
      </c>
      <c r="D755" s="7">
        <f>_xlfn.XLOOKUP($A755,'RAWDATA Cars Buyers DB'!$A:$A,'RAWDATA Cars Buyers DB'!D:D)</f>
        <v>57853</v>
      </c>
      <c r="E755" s="8">
        <f>_xlfn.XLOOKUP($A755,'RAWDATA Cars Buyers DB'!$A:$A,'RAWDATA Cars Buyers DB'!E:E)</f>
        <v>1</v>
      </c>
      <c r="F755" s="8" t="str">
        <f>_xlfn.XLOOKUP($A755,'RAWDATA Cars Buyers DB'!$A:$A,'RAWDATA Cars Buyers DB'!F:F)</f>
        <v>High School</v>
      </c>
      <c r="G755" s="8" t="str">
        <f>_xlfn.XLOOKUP($A755,'RAWDATA Cars Buyers DB'!$A:$A,'RAWDATA Cars Buyers DB'!G:G)</f>
        <v>Management</v>
      </c>
      <c r="H755" s="8" t="str">
        <f>_xlfn.XLOOKUP($A755,'RAWDATA Cars Buyers DB'!$A:$A,'RAWDATA Cars Buyers DB'!H:H)</f>
        <v>Yes</v>
      </c>
      <c r="I755" s="8" t="str">
        <f>_xlfn.XLOOKUP($A755,'RAWDATA Cars Buyers DB'!$A:$A,'RAWDATA Cars Buyers DB'!I:I)</f>
        <v>4–6 Kilometre</v>
      </c>
      <c r="J755" s="8" t="str">
        <f>_xlfn.XLOOKUP($A755,'RAWDATA Cars Buyers DB'!$A:$A,'RAWDATA Cars Buyers DB'!J:J)</f>
        <v>Bremen</v>
      </c>
      <c r="K755" s="8">
        <f>_xlfn.XLOOKUP($A755,'RAWDATA Cars Buyers DB'!$A:$A,'RAWDATA Cars Buyers DB'!K:K)</f>
        <v>29</v>
      </c>
      <c r="L755" s="10" t="str">
        <f>IF(_xlfn.XLOOKUP($A755,'RAWDATA Cars Buyers DB'!$A:$A,'RAWDATA Cars Buyers DB'!K:K)&gt;54,"Old ",IF(_xlfn.XLOOKUP($A755,'RAWDATA Cars Buyers DB'!$A:$A,'RAWDATA Cars Buyers DB'!K:K)&gt;=31,"Middle Age ",IF(_xlfn.XLOOKUP($A755,'RAWDATA Cars Buyers DB'!$A:$A,'RAWDATA Cars Buyers DB'!K:K)&lt;31,"Adolescent","Invalid")))</f>
        <v>Adolescent</v>
      </c>
      <c r="M755" s="8" t="str">
        <f>_xlfn.XLOOKUP($A755,'RAWDATA Cars Buyers DB'!$A:$A,'RAWDATA Cars Buyers DB'!L:L)</f>
        <v>Yes</v>
      </c>
    </row>
    <row r="756" spans="1:13">
      <c r="A756" s="6">
        <v>59922</v>
      </c>
      <c r="B756" s="10" t="str">
        <f>IF(_xlfn.XLOOKUP($A756,'RAWDATA Cars Buyers DB'!$A:$A,'RAWDATA Cars Buyers DB'!B:B)="S","Single","Married")</f>
        <v>Married</v>
      </c>
      <c r="C756" s="10" t="str">
        <f>IF(_xlfn.XLOOKUP($A756,'RAWDATA Cars Buyers DB'!$A:$A,'RAWDATA Cars Buyers DB'!C:C)="F","Female","Male")</f>
        <v>Female</v>
      </c>
      <c r="D756" s="7">
        <f>_xlfn.XLOOKUP($A756,'RAWDATA Cars Buyers DB'!$A:$A,'RAWDATA Cars Buyers DB'!D:D)</f>
        <v>58405</v>
      </c>
      <c r="E756" s="8">
        <f>_xlfn.XLOOKUP($A756,'RAWDATA Cars Buyers DB'!$A:$A,'RAWDATA Cars Buyers DB'!E:E)</f>
        <v>3</v>
      </c>
      <c r="F756" s="8" t="str">
        <f>_xlfn.XLOOKUP($A756,'RAWDATA Cars Buyers DB'!$A:$A,'RAWDATA Cars Buyers DB'!F:F)</f>
        <v>Bachelors</v>
      </c>
      <c r="G756" s="8" t="str">
        <f>_xlfn.XLOOKUP($A756,'RAWDATA Cars Buyers DB'!$A:$A,'RAWDATA Cars Buyers DB'!G:G)</f>
        <v>Professional</v>
      </c>
      <c r="H756" s="8" t="str">
        <f>_xlfn.XLOOKUP($A756,'RAWDATA Cars Buyers DB'!$A:$A,'RAWDATA Cars Buyers DB'!H:H)</f>
        <v>Yes</v>
      </c>
      <c r="I756" s="8" t="str">
        <f>_xlfn.XLOOKUP($A756,'RAWDATA Cars Buyers DB'!$A:$A,'RAWDATA Cars Buyers DB'!I:I)</f>
        <v>6+ Kilometre</v>
      </c>
      <c r="J756" s="8" t="str">
        <f>_xlfn.XLOOKUP($A756,'RAWDATA Cars Buyers DB'!$A:$A,'RAWDATA Cars Buyers DB'!J:J)</f>
        <v>Thuringia</v>
      </c>
      <c r="K756" s="8">
        <f>_xlfn.XLOOKUP($A756,'RAWDATA Cars Buyers DB'!$A:$A,'RAWDATA Cars Buyers DB'!K:K)</f>
        <v>35</v>
      </c>
      <c r="L756" s="10" t="str">
        <f>IF(_xlfn.XLOOKUP($A756,'RAWDATA Cars Buyers DB'!$A:$A,'RAWDATA Cars Buyers DB'!K:K)&gt;54,"Old ",IF(_xlfn.XLOOKUP($A756,'RAWDATA Cars Buyers DB'!$A:$A,'RAWDATA Cars Buyers DB'!K:K)&gt;=31,"Middle Age ",IF(_xlfn.XLOOKUP($A756,'RAWDATA Cars Buyers DB'!$A:$A,'RAWDATA Cars Buyers DB'!K:K)&lt;31,"Adolescent","Invalid")))</f>
        <v xml:space="preserve">Middle Age </v>
      </c>
      <c r="M756" s="8" t="str">
        <f>_xlfn.XLOOKUP($A756,'RAWDATA Cars Buyers DB'!$A:$A,'RAWDATA Cars Buyers DB'!L:L)</f>
        <v>No</v>
      </c>
    </row>
    <row r="757" spans="1:13">
      <c r="A757" s="6">
        <v>42049</v>
      </c>
      <c r="B757" s="10" t="str">
        <f>IF(_xlfn.XLOOKUP($A757,'RAWDATA Cars Buyers DB'!$A:$A,'RAWDATA Cars Buyers DB'!B:B)="S","Single","Married")</f>
        <v>Married</v>
      </c>
      <c r="C757" s="10" t="str">
        <f>IF(_xlfn.XLOOKUP($A757,'RAWDATA Cars Buyers DB'!$A:$A,'RAWDATA Cars Buyers DB'!C:C)="F","Female","Male")</f>
        <v>Female</v>
      </c>
      <c r="D757" s="7">
        <f>_xlfn.XLOOKUP($A757,'RAWDATA Cars Buyers DB'!$A:$A,'RAWDATA Cars Buyers DB'!D:D)</f>
        <v>86652</v>
      </c>
      <c r="E757" s="8">
        <f>_xlfn.XLOOKUP($A757,'RAWDATA Cars Buyers DB'!$A:$A,'RAWDATA Cars Buyers DB'!E:E)</f>
        <v>5</v>
      </c>
      <c r="F757" s="8" t="str">
        <f>_xlfn.XLOOKUP($A757,'RAWDATA Cars Buyers DB'!$A:$A,'RAWDATA Cars Buyers DB'!F:F)</f>
        <v>Bachelors</v>
      </c>
      <c r="G757" s="8" t="str">
        <f>_xlfn.XLOOKUP($A757,'RAWDATA Cars Buyers DB'!$A:$A,'RAWDATA Cars Buyers DB'!G:G)</f>
        <v>Skilled Manual</v>
      </c>
      <c r="H757" s="8" t="str">
        <f>_xlfn.XLOOKUP($A757,'RAWDATA Cars Buyers DB'!$A:$A,'RAWDATA Cars Buyers DB'!H:H)</f>
        <v>No</v>
      </c>
      <c r="I757" s="8" t="str">
        <f>_xlfn.XLOOKUP($A757,'RAWDATA Cars Buyers DB'!$A:$A,'RAWDATA Cars Buyers DB'!I:I)</f>
        <v>2–4 Kilometre</v>
      </c>
      <c r="J757" s="8" t="str">
        <f>_xlfn.XLOOKUP($A757,'RAWDATA Cars Buyers DB'!$A:$A,'RAWDATA Cars Buyers DB'!J:J)</f>
        <v>Brandenburg</v>
      </c>
      <c r="K757" s="8">
        <f>_xlfn.XLOOKUP($A757,'RAWDATA Cars Buyers DB'!$A:$A,'RAWDATA Cars Buyers DB'!K:K)</f>
        <v>56</v>
      </c>
      <c r="L757" s="10" t="str">
        <f>IF(_xlfn.XLOOKUP($A757,'RAWDATA Cars Buyers DB'!$A:$A,'RAWDATA Cars Buyers DB'!K:K)&gt;54,"Old ",IF(_xlfn.XLOOKUP($A757,'RAWDATA Cars Buyers DB'!$A:$A,'RAWDATA Cars Buyers DB'!K:K)&gt;=31,"Middle Age ",IF(_xlfn.XLOOKUP($A757,'RAWDATA Cars Buyers DB'!$A:$A,'RAWDATA Cars Buyers DB'!K:K)&lt;31,"Adolescent","Invalid")))</f>
        <v xml:space="preserve">Old </v>
      </c>
      <c r="M757" s="8" t="str">
        <f>_xlfn.XLOOKUP($A757,'RAWDATA Cars Buyers DB'!$A:$A,'RAWDATA Cars Buyers DB'!L:L)</f>
        <v>No</v>
      </c>
    </row>
    <row r="758" spans="1:13">
      <c r="A758" s="6">
        <v>47131</v>
      </c>
      <c r="B758" s="10" t="str">
        <f>IF(_xlfn.XLOOKUP($A758,'RAWDATA Cars Buyers DB'!$A:$A,'RAWDATA Cars Buyers DB'!B:B)="S","Single","Married")</f>
        <v>Married</v>
      </c>
      <c r="C758" s="10" t="str">
        <f>IF(_xlfn.XLOOKUP($A758,'RAWDATA Cars Buyers DB'!$A:$A,'RAWDATA Cars Buyers DB'!C:C)="F","Female","Male")</f>
        <v>Female</v>
      </c>
      <c r="D758" s="7">
        <f>_xlfn.XLOOKUP($A758,'RAWDATA Cars Buyers DB'!$A:$A,'RAWDATA Cars Buyers DB'!D:D)</f>
        <v>63527</v>
      </c>
      <c r="E758" s="8">
        <f>_xlfn.XLOOKUP($A758,'RAWDATA Cars Buyers DB'!$A:$A,'RAWDATA Cars Buyers DB'!E:E)</f>
        <v>0</v>
      </c>
      <c r="F758" s="8" t="str">
        <f>_xlfn.XLOOKUP($A758,'RAWDATA Cars Buyers DB'!$A:$A,'RAWDATA Cars Buyers DB'!F:F)</f>
        <v>Bachelors</v>
      </c>
      <c r="G758" s="8" t="str">
        <f>_xlfn.XLOOKUP($A758,'RAWDATA Cars Buyers DB'!$A:$A,'RAWDATA Cars Buyers DB'!G:G)</f>
        <v>Skilled Manual</v>
      </c>
      <c r="H758" s="8" t="str">
        <f>_xlfn.XLOOKUP($A758,'RAWDATA Cars Buyers DB'!$A:$A,'RAWDATA Cars Buyers DB'!H:H)</f>
        <v>Yes</v>
      </c>
      <c r="I758" s="8" t="str">
        <f>_xlfn.XLOOKUP($A758,'RAWDATA Cars Buyers DB'!$A:$A,'RAWDATA Cars Buyers DB'!I:I)</f>
        <v>2–4 Kilometre</v>
      </c>
      <c r="J758" s="8" t="str">
        <f>_xlfn.XLOOKUP($A758,'RAWDATA Cars Buyers DB'!$A:$A,'RAWDATA Cars Buyers DB'!J:J)</f>
        <v>Saarland</v>
      </c>
      <c r="K758" s="8">
        <f>_xlfn.XLOOKUP($A758,'RAWDATA Cars Buyers DB'!$A:$A,'RAWDATA Cars Buyers DB'!K:K)</f>
        <v>34</v>
      </c>
      <c r="L758" s="10" t="str">
        <f>IF(_xlfn.XLOOKUP($A758,'RAWDATA Cars Buyers DB'!$A:$A,'RAWDATA Cars Buyers DB'!K:K)&gt;54,"Old ",IF(_xlfn.XLOOKUP($A758,'RAWDATA Cars Buyers DB'!$A:$A,'RAWDATA Cars Buyers DB'!K:K)&gt;=31,"Middle Age ",IF(_xlfn.XLOOKUP($A758,'RAWDATA Cars Buyers DB'!$A:$A,'RAWDATA Cars Buyers DB'!K:K)&lt;31,"Adolescent","Invalid")))</f>
        <v xml:space="preserve">Middle Age </v>
      </c>
      <c r="M758" s="8" t="str">
        <f>_xlfn.XLOOKUP($A758,'RAWDATA Cars Buyers DB'!$A:$A,'RAWDATA Cars Buyers DB'!L:L)</f>
        <v>No</v>
      </c>
    </row>
    <row r="759" spans="1:13">
      <c r="A759" s="6">
        <v>52944</v>
      </c>
      <c r="B759" s="10" t="str">
        <f>IF(_xlfn.XLOOKUP($A759,'RAWDATA Cars Buyers DB'!$A:$A,'RAWDATA Cars Buyers DB'!B:B)="S","Single","Married")</f>
        <v>Married</v>
      </c>
      <c r="C759" s="10" t="str">
        <f>IF(_xlfn.XLOOKUP($A759,'RAWDATA Cars Buyers DB'!$A:$A,'RAWDATA Cars Buyers DB'!C:C)="F","Female","Male")</f>
        <v>Male</v>
      </c>
      <c r="D759" s="7">
        <f>_xlfn.XLOOKUP($A759,'RAWDATA Cars Buyers DB'!$A:$A,'RAWDATA Cars Buyers DB'!D:D)</f>
        <v>97227</v>
      </c>
      <c r="E759" s="8">
        <f>_xlfn.XLOOKUP($A759,'RAWDATA Cars Buyers DB'!$A:$A,'RAWDATA Cars Buyers DB'!E:E)</f>
        <v>1</v>
      </c>
      <c r="F759" s="8" t="str">
        <f>_xlfn.XLOOKUP($A759,'RAWDATA Cars Buyers DB'!$A:$A,'RAWDATA Cars Buyers DB'!F:F)</f>
        <v>Partial College</v>
      </c>
      <c r="G759" s="8" t="str">
        <f>_xlfn.XLOOKUP($A759,'RAWDATA Cars Buyers DB'!$A:$A,'RAWDATA Cars Buyers DB'!G:G)</f>
        <v>Clerical</v>
      </c>
      <c r="H759" s="8" t="str">
        <f>_xlfn.XLOOKUP($A759,'RAWDATA Cars Buyers DB'!$A:$A,'RAWDATA Cars Buyers DB'!H:H)</f>
        <v>No</v>
      </c>
      <c r="I759" s="8" t="str">
        <f>_xlfn.XLOOKUP($A759,'RAWDATA Cars Buyers DB'!$A:$A,'RAWDATA Cars Buyers DB'!I:I)</f>
        <v>0–1 Kilometre</v>
      </c>
      <c r="J759" s="8" t="str">
        <f>_xlfn.XLOOKUP($A759,'RAWDATA Cars Buyers DB'!$A:$A,'RAWDATA Cars Buyers DB'!J:J)</f>
        <v>Schleswig-Holstein</v>
      </c>
      <c r="K759" s="8">
        <f>_xlfn.XLOOKUP($A759,'RAWDATA Cars Buyers DB'!$A:$A,'RAWDATA Cars Buyers DB'!K:K)</f>
        <v>32</v>
      </c>
      <c r="L759" s="10" t="str">
        <f>IF(_xlfn.XLOOKUP($A759,'RAWDATA Cars Buyers DB'!$A:$A,'RAWDATA Cars Buyers DB'!K:K)&gt;54,"Old ",IF(_xlfn.XLOOKUP($A759,'RAWDATA Cars Buyers DB'!$A:$A,'RAWDATA Cars Buyers DB'!K:K)&gt;=31,"Middle Age ",IF(_xlfn.XLOOKUP($A759,'RAWDATA Cars Buyers DB'!$A:$A,'RAWDATA Cars Buyers DB'!K:K)&lt;31,"Adolescent","Invalid")))</f>
        <v xml:space="preserve">Middle Age </v>
      </c>
      <c r="M759" s="8" t="str">
        <f>_xlfn.XLOOKUP($A759,'RAWDATA Cars Buyers DB'!$A:$A,'RAWDATA Cars Buyers DB'!L:L)</f>
        <v>Yes</v>
      </c>
    </row>
    <row r="760" spans="1:13">
      <c r="A760" s="6">
        <v>83963</v>
      </c>
      <c r="B760" s="10" t="str">
        <f>IF(_xlfn.XLOOKUP($A760,'RAWDATA Cars Buyers DB'!$A:$A,'RAWDATA Cars Buyers DB'!B:B)="S","Single","Married")</f>
        <v>Married</v>
      </c>
      <c r="C760" s="10" t="str">
        <f>IF(_xlfn.XLOOKUP($A760,'RAWDATA Cars Buyers DB'!$A:$A,'RAWDATA Cars Buyers DB'!C:C)="F","Female","Male")</f>
        <v>Female</v>
      </c>
      <c r="D760" s="7">
        <f>_xlfn.XLOOKUP($A760,'RAWDATA Cars Buyers DB'!$A:$A,'RAWDATA Cars Buyers DB'!D:D)</f>
        <v>20492</v>
      </c>
      <c r="E760" s="8">
        <f>_xlfn.XLOOKUP($A760,'RAWDATA Cars Buyers DB'!$A:$A,'RAWDATA Cars Buyers DB'!E:E)</f>
        <v>3</v>
      </c>
      <c r="F760" s="8" t="str">
        <f>_xlfn.XLOOKUP($A760,'RAWDATA Cars Buyers DB'!$A:$A,'RAWDATA Cars Buyers DB'!F:F)</f>
        <v>Partial College</v>
      </c>
      <c r="G760" s="8" t="str">
        <f>_xlfn.XLOOKUP($A760,'RAWDATA Cars Buyers DB'!$A:$A,'RAWDATA Cars Buyers DB'!G:G)</f>
        <v>Clerical</v>
      </c>
      <c r="H760" s="8" t="str">
        <f>_xlfn.XLOOKUP($A760,'RAWDATA Cars Buyers DB'!$A:$A,'RAWDATA Cars Buyers DB'!H:H)</f>
        <v>No</v>
      </c>
      <c r="I760" s="8" t="str">
        <f>_xlfn.XLOOKUP($A760,'RAWDATA Cars Buyers DB'!$A:$A,'RAWDATA Cars Buyers DB'!I:I)</f>
        <v>2–4 Kilometre</v>
      </c>
      <c r="J760" s="8" t="str">
        <f>_xlfn.XLOOKUP($A760,'RAWDATA Cars Buyers DB'!$A:$A,'RAWDATA Cars Buyers DB'!J:J)</f>
        <v>Brandenburg</v>
      </c>
      <c r="K760" s="8">
        <f>_xlfn.XLOOKUP($A760,'RAWDATA Cars Buyers DB'!$A:$A,'RAWDATA Cars Buyers DB'!K:K)</f>
        <v>32</v>
      </c>
      <c r="L760" s="10" t="str">
        <f>IF(_xlfn.XLOOKUP($A760,'RAWDATA Cars Buyers DB'!$A:$A,'RAWDATA Cars Buyers DB'!K:K)&gt;54,"Old ",IF(_xlfn.XLOOKUP($A760,'RAWDATA Cars Buyers DB'!$A:$A,'RAWDATA Cars Buyers DB'!K:K)&gt;=31,"Middle Age ",IF(_xlfn.XLOOKUP($A760,'RAWDATA Cars Buyers DB'!$A:$A,'RAWDATA Cars Buyers DB'!K:K)&lt;31,"Adolescent","Invalid")))</f>
        <v xml:space="preserve">Middle Age </v>
      </c>
      <c r="M760" s="8" t="str">
        <f>_xlfn.XLOOKUP($A760,'RAWDATA Cars Buyers DB'!$A:$A,'RAWDATA Cars Buyers DB'!L:L)</f>
        <v>No</v>
      </c>
    </row>
    <row r="761" spans="1:13">
      <c r="A761" s="6">
        <v>34285</v>
      </c>
      <c r="B761" s="10" t="str">
        <f>IF(_xlfn.XLOOKUP($A761,'RAWDATA Cars Buyers DB'!$A:$A,'RAWDATA Cars Buyers DB'!B:B)="S","Single","Married")</f>
        <v>Married</v>
      </c>
      <c r="C761" s="10" t="str">
        <f>IF(_xlfn.XLOOKUP($A761,'RAWDATA Cars Buyers DB'!$A:$A,'RAWDATA Cars Buyers DB'!C:C)="F","Female","Male")</f>
        <v>Female</v>
      </c>
      <c r="D761" s="7">
        <f>_xlfn.XLOOKUP($A761,'RAWDATA Cars Buyers DB'!$A:$A,'RAWDATA Cars Buyers DB'!D:D)</f>
        <v>113418</v>
      </c>
      <c r="E761" s="8">
        <f>_xlfn.XLOOKUP($A761,'RAWDATA Cars Buyers DB'!$A:$A,'RAWDATA Cars Buyers DB'!E:E)</f>
        <v>5</v>
      </c>
      <c r="F761" s="8" t="str">
        <f>_xlfn.XLOOKUP($A761,'RAWDATA Cars Buyers DB'!$A:$A,'RAWDATA Cars Buyers DB'!F:F)</f>
        <v>Graduate Degree</v>
      </c>
      <c r="G761" s="8" t="str">
        <f>_xlfn.XLOOKUP($A761,'RAWDATA Cars Buyers DB'!$A:$A,'RAWDATA Cars Buyers DB'!G:G)</f>
        <v>Clerical</v>
      </c>
      <c r="H761" s="8" t="str">
        <f>_xlfn.XLOOKUP($A761,'RAWDATA Cars Buyers DB'!$A:$A,'RAWDATA Cars Buyers DB'!H:H)</f>
        <v>No</v>
      </c>
      <c r="I761" s="8" t="str">
        <f>_xlfn.XLOOKUP($A761,'RAWDATA Cars Buyers DB'!$A:$A,'RAWDATA Cars Buyers DB'!I:I)</f>
        <v>4–6 Kilometre</v>
      </c>
      <c r="J761" s="8" t="str">
        <f>_xlfn.XLOOKUP($A761,'RAWDATA Cars Buyers DB'!$A:$A,'RAWDATA Cars Buyers DB'!J:J)</f>
        <v>Berlin</v>
      </c>
      <c r="K761" s="8">
        <f>_xlfn.XLOOKUP($A761,'RAWDATA Cars Buyers DB'!$A:$A,'RAWDATA Cars Buyers DB'!K:K)</f>
        <v>51</v>
      </c>
      <c r="L761" s="10" t="str">
        <f>IF(_xlfn.XLOOKUP($A761,'RAWDATA Cars Buyers DB'!$A:$A,'RAWDATA Cars Buyers DB'!K:K)&gt;54,"Old ",IF(_xlfn.XLOOKUP($A761,'RAWDATA Cars Buyers DB'!$A:$A,'RAWDATA Cars Buyers DB'!K:K)&gt;=31,"Middle Age ",IF(_xlfn.XLOOKUP($A761,'RAWDATA Cars Buyers DB'!$A:$A,'RAWDATA Cars Buyers DB'!K:K)&lt;31,"Adolescent","Invalid")))</f>
        <v xml:space="preserve">Middle Age </v>
      </c>
      <c r="M761" s="8" t="str">
        <f>_xlfn.XLOOKUP($A761,'RAWDATA Cars Buyers DB'!$A:$A,'RAWDATA Cars Buyers DB'!L:L)</f>
        <v>Yes</v>
      </c>
    </row>
    <row r="762" spans="1:13">
      <c r="A762" s="6">
        <v>47626</v>
      </c>
      <c r="B762" s="10" t="str">
        <f>IF(_xlfn.XLOOKUP($A762,'RAWDATA Cars Buyers DB'!$A:$A,'RAWDATA Cars Buyers DB'!B:B)="S","Single","Married")</f>
        <v>Married</v>
      </c>
      <c r="C762" s="10" t="str">
        <f>IF(_xlfn.XLOOKUP($A762,'RAWDATA Cars Buyers DB'!$A:$A,'RAWDATA Cars Buyers DB'!C:C)="F","Female","Male")</f>
        <v>Female</v>
      </c>
      <c r="D762" s="7">
        <f>_xlfn.XLOOKUP($A762,'RAWDATA Cars Buyers DB'!$A:$A,'RAWDATA Cars Buyers DB'!D:D)</f>
        <v>28811</v>
      </c>
      <c r="E762" s="8">
        <f>_xlfn.XLOOKUP($A762,'RAWDATA Cars Buyers DB'!$A:$A,'RAWDATA Cars Buyers DB'!E:E)</f>
        <v>0</v>
      </c>
      <c r="F762" s="8" t="str">
        <f>_xlfn.XLOOKUP($A762,'RAWDATA Cars Buyers DB'!$A:$A,'RAWDATA Cars Buyers DB'!F:F)</f>
        <v>Bachelors</v>
      </c>
      <c r="G762" s="8" t="str">
        <f>_xlfn.XLOOKUP($A762,'RAWDATA Cars Buyers DB'!$A:$A,'RAWDATA Cars Buyers DB'!G:G)</f>
        <v>Skilled Manual</v>
      </c>
      <c r="H762" s="8" t="str">
        <f>_xlfn.XLOOKUP($A762,'RAWDATA Cars Buyers DB'!$A:$A,'RAWDATA Cars Buyers DB'!H:H)</f>
        <v>Yes</v>
      </c>
      <c r="I762" s="8" t="str">
        <f>_xlfn.XLOOKUP($A762,'RAWDATA Cars Buyers DB'!$A:$A,'RAWDATA Cars Buyers DB'!I:I)</f>
        <v>0–1 Kilometre</v>
      </c>
      <c r="J762" s="8" t="str">
        <f>_xlfn.XLOOKUP($A762,'RAWDATA Cars Buyers DB'!$A:$A,'RAWDATA Cars Buyers DB'!J:J)</f>
        <v>Rhineland-Palatinate</v>
      </c>
      <c r="K762" s="8">
        <f>_xlfn.XLOOKUP($A762,'RAWDATA Cars Buyers DB'!$A:$A,'RAWDATA Cars Buyers DB'!K:K)</f>
        <v>64</v>
      </c>
      <c r="L762" s="10" t="str">
        <f>IF(_xlfn.XLOOKUP($A762,'RAWDATA Cars Buyers DB'!$A:$A,'RAWDATA Cars Buyers DB'!K:K)&gt;54,"Old ",IF(_xlfn.XLOOKUP($A762,'RAWDATA Cars Buyers DB'!$A:$A,'RAWDATA Cars Buyers DB'!K:K)&gt;=31,"Middle Age ",IF(_xlfn.XLOOKUP($A762,'RAWDATA Cars Buyers DB'!$A:$A,'RAWDATA Cars Buyers DB'!K:K)&lt;31,"Adolescent","Invalid")))</f>
        <v xml:space="preserve">Old </v>
      </c>
      <c r="M762" s="8" t="str">
        <f>_xlfn.XLOOKUP($A762,'RAWDATA Cars Buyers DB'!$A:$A,'RAWDATA Cars Buyers DB'!L:L)</f>
        <v>Yes</v>
      </c>
    </row>
    <row r="763" spans="1:13">
      <c r="A763" s="6">
        <v>52808</v>
      </c>
      <c r="B763" s="10" t="str">
        <f>IF(_xlfn.XLOOKUP($A763,'RAWDATA Cars Buyers DB'!$A:$A,'RAWDATA Cars Buyers DB'!B:B)="S","Single","Married")</f>
        <v>Single</v>
      </c>
      <c r="C763" s="10" t="str">
        <f>IF(_xlfn.XLOOKUP($A763,'RAWDATA Cars Buyers DB'!$A:$A,'RAWDATA Cars Buyers DB'!C:C)="F","Female","Male")</f>
        <v>Female</v>
      </c>
      <c r="D763" s="7">
        <f>_xlfn.XLOOKUP($A763,'RAWDATA Cars Buyers DB'!$A:$A,'RAWDATA Cars Buyers DB'!D:D)</f>
        <v>113344</v>
      </c>
      <c r="E763" s="8">
        <f>_xlfn.XLOOKUP($A763,'RAWDATA Cars Buyers DB'!$A:$A,'RAWDATA Cars Buyers DB'!E:E)</f>
        <v>5</v>
      </c>
      <c r="F763" s="8" t="str">
        <f>_xlfn.XLOOKUP($A763,'RAWDATA Cars Buyers DB'!$A:$A,'RAWDATA Cars Buyers DB'!F:F)</f>
        <v>Bachelors</v>
      </c>
      <c r="G763" s="8" t="str">
        <f>_xlfn.XLOOKUP($A763,'RAWDATA Cars Buyers DB'!$A:$A,'RAWDATA Cars Buyers DB'!G:G)</f>
        <v>Clerical</v>
      </c>
      <c r="H763" s="8" t="str">
        <f>_xlfn.XLOOKUP($A763,'RAWDATA Cars Buyers DB'!$A:$A,'RAWDATA Cars Buyers DB'!H:H)</f>
        <v>No</v>
      </c>
      <c r="I763" s="8" t="str">
        <f>_xlfn.XLOOKUP($A763,'RAWDATA Cars Buyers DB'!$A:$A,'RAWDATA Cars Buyers DB'!I:I)</f>
        <v>6+ Kilometre</v>
      </c>
      <c r="J763" s="8" t="str">
        <f>_xlfn.XLOOKUP($A763,'RAWDATA Cars Buyers DB'!$A:$A,'RAWDATA Cars Buyers DB'!J:J)</f>
        <v>Thuringia</v>
      </c>
      <c r="K763" s="8">
        <f>_xlfn.XLOOKUP($A763,'RAWDATA Cars Buyers DB'!$A:$A,'RAWDATA Cars Buyers DB'!K:K)</f>
        <v>66</v>
      </c>
      <c r="L763" s="10" t="str">
        <f>IF(_xlfn.XLOOKUP($A763,'RAWDATA Cars Buyers DB'!$A:$A,'RAWDATA Cars Buyers DB'!K:K)&gt;54,"Old ",IF(_xlfn.XLOOKUP($A763,'RAWDATA Cars Buyers DB'!$A:$A,'RAWDATA Cars Buyers DB'!K:K)&gt;=31,"Middle Age ",IF(_xlfn.XLOOKUP($A763,'RAWDATA Cars Buyers DB'!$A:$A,'RAWDATA Cars Buyers DB'!K:K)&lt;31,"Adolescent","Invalid")))</f>
        <v xml:space="preserve">Old </v>
      </c>
      <c r="M763" s="8" t="str">
        <f>_xlfn.XLOOKUP($A763,'RAWDATA Cars Buyers DB'!$A:$A,'RAWDATA Cars Buyers DB'!L:L)</f>
        <v>Yes</v>
      </c>
    </row>
    <row r="764" spans="1:13">
      <c r="A764" s="6">
        <v>98464</v>
      </c>
      <c r="B764" s="10" t="str">
        <f>IF(_xlfn.XLOOKUP($A764,'RAWDATA Cars Buyers DB'!$A:$A,'RAWDATA Cars Buyers DB'!B:B)="S","Single","Married")</f>
        <v>Single</v>
      </c>
      <c r="C764" s="10" t="str">
        <f>IF(_xlfn.XLOOKUP($A764,'RAWDATA Cars Buyers DB'!$A:$A,'RAWDATA Cars Buyers DB'!C:C)="F","Female","Male")</f>
        <v>Male</v>
      </c>
      <c r="D764" s="7">
        <f>_xlfn.XLOOKUP($A764,'RAWDATA Cars Buyers DB'!$A:$A,'RAWDATA Cars Buyers DB'!D:D)</f>
        <v>44272</v>
      </c>
      <c r="E764" s="8">
        <f>_xlfn.XLOOKUP($A764,'RAWDATA Cars Buyers DB'!$A:$A,'RAWDATA Cars Buyers DB'!E:E)</f>
        <v>2</v>
      </c>
      <c r="F764" s="8" t="str">
        <f>_xlfn.XLOOKUP($A764,'RAWDATA Cars Buyers DB'!$A:$A,'RAWDATA Cars Buyers DB'!F:F)</f>
        <v>High School</v>
      </c>
      <c r="G764" s="8" t="str">
        <f>_xlfn.XLOOKUP($A764,'RAWDATA Cars Buyers DB'!$A:$A,'RAWDATA Cars Buyers DB'!G:G)</f>
        <v>Skilled Manual</v>
      </c>
      <c r="H764" s="8" t="str">
        <f>_xlfn.XLOOKUP($A764,'RAWDATA Cars Buyers DB'!$A:$A,'RAWDATA Cars Buyers DB'!H:H)</f>
        <v>Yes</v>
      </c>
      <c r="I764" s="8" t="str">
        <f>_xlfn.XLOOKUP($A764,'RAWDATA Cars Buyers DB'!$A:$A,'RAWDATA Cars Buyers DB'!I:I)</f>
        <v>0–1 Kilometre</v>
      </c>
      <c r="J764" s="8" t="str">
        <f>_xlfn.XLOOKUP($A764,'RAWDATA Cars Buyers DB'!$A:$A,'RAWDATA Cars Buyers DB'!J:J)</f>
        <v>Mecklenburg-Vorpommern</v>
      </c>
      <c r="K764" s="8">
        <f>_xlfn.XLOOKUP($A764,'RAWDATA Cars Buyers DB'!$A:$A,'RAWDATA Cars Buyers DB'!K:K)</f>
        <v>65</v>
      </c>
      <c r="L764" s="10" t="str">
        <f>IF(_xlfn.XLOOKUP($A764,'RAWDATA Cars Buyers DB'!$A:$A,'RAWDATA Cars Buyers DB'!K:K)&gt;54,"Old ",IF(_xlfn.XLOOKUP($A764,'RAWDATA Cars Buyers DB'!$A:$A,'RAWDATA Cars Buyers DB'!K:K)&gt;=31,"Middle Age ",IF(_xlfn.XLOOKUP($A764,'RAWDATA Cars Buyers DB'!$A:$A,'RAWDATA Cars Buyers DB'!K:K)&lt;31,"Adolescent","Invalid")))</f>
        <v xml:space="preserve">Old </v>
      </c>
      <c r="M764" s="8" t="str">
        <f>_xlfn.XLOOKUP($A764,'RAWDATA Cars Buyers DB'!$A:$A,'RAWDATA Cars Buyers DB'!L:L)</f>
        <v>Yes</v>
      </c>
    </row>
    <row r="765" spans="1:13">
      <c r="A765" s="6">
        <v>63871</v>
      </c>
      <c r="B765" s="10" t="str">
        <f>IF(_xlfn.XLOOKUP($A765,'RAWDATA Cars Buyers DB'!$A:$A,'RAWDATA Cars Buyers DB'!B:B)="S","Single","Married")</f>
        <v>Married</v>
      </c>
      <c r="C765" s="10" t="str">
        <f>IF(_xlfn.XLOOKUP($A765,'RAWDATA Cars Buyers DB'!$A:$A,'RAWDATA Cars Buyers DB'!C:C)="F","Female","Male")</f>
        <v>Male</v>
      </c>
      <c r="D765" s="7">
        <f>_xlfn.XLOOKUP($A765,'RAWDATA Cars Buyers DB'!$A:$A,'RAWDATA Cars Buyers DB'!D:D)</f>
        <v>113935</v>
      </c>
      <c r="E765" s="8">
        <f>_xlfn.XLOOKUP($A765,'RAWDATA Cars Buyers DB'!$A:$A,'RAWDATA Cars Buyers DB'!E:E)</f>
        <v>2</v>
      </c>
      <c r="F765" s="8" t="str">
        <f>_xlfn.XLOOKUP($A765,'RAWDATA Cars Buyers DB'!$A:$A,'RAWDATA Cars Buyers DB'!F:F)</f>
        <v>Graduate Degree</v>
      </c>
      <c r="G765" s="8" t="str">
        <f>_xlfn.XLOOKUP($A765,'RAWDATA Cars Buyers DB'!$A:$A,'RAWDATA Cars Buyers DB'!G:G)</f>
        <v>Skilled Manual</v>
      </c>
      <c r="H765" s="8" t="str">
        <f>_xlfn.XLOOKUP($A765,'RAWDATA Cars Buyers DB'!$A:$A,'RAWDATA Cars Buyers DB'!H:H)</f>
        <v>No</v>
      </c>
      <c r="I765" s="8" t="str">
        <f>_xlfn.XLOOKUP($A765,'RAWDATA Cars Buyers DB'!$A:$A,'RAWDATA Cars Buyers DB'!I:I)</f>
        <v>0–1 Kilometre</v>
      </c>
      <c r="J765" s="8" t="str">
        <f>_xlfn.XLOOKUP($A765,'RAWDATA Cars Buyers DB'!$A:$A,'RAWDATA Cars Buyers DB'!J:J)</f>
        <v>Baden-Württemberg</v>
      </c>
      <c r="K765" s="8">
        <f>_xlfn.XLOOKUP($A765,'RAWDATA Cars Buyers DB'!$A:$A,'RAWDATA Cars Buyers DB'!K:K)</f>
        <v>27</v>
      </c>
      <c r="L765" s="10" t="str">
        <f>IF(_xlfn.XLOOKUP($A765,'RAWDATA Cars Buyers DB'!$A:$A,'RAWDATA Cars Buyers DB'!K:K)&gt;54,"Old ",IF(_xlfn.XLOOKUP($A765,'RAWDATA Cars Buyers DB'!$A:$A,'RAWDATA Cars Buyers DB'!K:K)&gt;=31,"Middle Age ",IF(_xlfn.XLOOKUP($A765,'RAWDATA Cars Buyers DB'!$A:$A,'RAWDATA Cars Buyers DB'!K:K)&lt;31,"Adolescent","Invalid")))</f>
        <v>Adolescent</v>
      </c>
      <c r="M765" s="8" t="str">
        <f>_xlfn.XLOOKUP($A765,'RAWDATA Cars Buyers DB'!$A:$A,'RAWDATA Cars Buyers DB'!L:L)</f>
        <v>No</v>
      </c>
    </row>
    <row r="766" spans="1:13">
      <c r="A766" s="6">
        <v>29198</v>
      </c>
      <c r="B766" s="10" t="str">
        <f>IF(_xlfn.XLOOKUP($A766,'RAWDATA Cars Buyers DB'!$A:$A,'RAWDATA Cars Buyers DB'!B:B)="S","Single","Married")</f>
        <v>Single</v>
      </c>
      <c r="C766" s="10" t="str">
        <f>IF(_xlfn.XLOOKUP($A766,'RAWDATA Cars Buyers DB'!$A:$A,'RAWDATA Cars Buyers DB'!C:C)="F","Female","Male")</f>
        <v>Male</v>
      </c>
      <c r="D766" s="7">
        <f>_xlfn.XLOOKUP($A766,'RAWDATA Cars Buyers DB'!$A:$A,'RAWDATA Cars Buyers DB'!D:D)</f>
        <v>92010</v>
      </c>
      <c r="E766" s="8">
        <f>_xlfn.XLOOKUP($A766,'RAWDATA Cars Buyers DB'!$A:$A,'RAWDATA Cars Buyers DB'!E:E)</f>
        <v>4</v>
      </c>
      <c r="F766" s="8" t="str">
        <f>_xlfn.XLOOKUP($A766,'RAWDATA Cars Buyers DB'!$A:$A,'RAWDATA Cars Buyers DB'!F:F)</f>
        <v>High School</v>
      </c>
      <c r="G766" s="8" t="str">
        <f>_xlfn.XLOOKUP($A766,'RAWDATA Cars Buyers DB'!$A:$A,'RAWDATA Cars Buyers DB'!G:G)</f>
        <v>Management</v>
      </c>
      <c r="H766" s="8" t="str">
        <f>_xlfn.XLOOKUP($A766,'RAWDATA Cars Buyers DB'!$A:$A,'RAWDATA Cars Buyers DB'!H:H)</f>
        <v>No</v>
      </c>
      <c r="I766" s="8" t="str">
        <f>_xlfn.XLOOKUP($A766,'RAWDATA Cars Buyers DB'!$A:$A,'RAWDATA Cars Buyers DB'!I:I)</f>
        <v>1–2 Kilometre</v>
      </c>
      <c r="J766" s="8" t="str">
        <f>_xlfn.XLOOKUP($A766,'RAWDATA Cars Buyers DB'!$A:$A,'RAWDATA Cars Buyers DB'!J:J)</f>
        <v>Bavaria</v>
      </c>
      <c r="K766" s="8">
        <f>_xlfn.XLOOKUP($A766,'RAWDATA Cars Buyers DB'!$A:$A,'RAWDATA Cars Buyers DB'!K:K)</f>
        <v>62</v>
      </c>
      <c r="L766" s="10" t="str">
        <f>IF(_xlfn.XLOOKUP($A766,'RAWDATA Cars Buyers DB'!$A:$A,'RAWDATA Cars Buyers DB'!K:K)&gt;54,"Old ",IF(_xlfn.XLOOKUP($A766,'RAWDATA Cars Buyers DB'!$A:$A,'RAWDATA Cars Buyers DB'!K:K)&gt;=31,"Middle Age ",IF(_xlfn.XLOOKUP($A766,'RAWDATA Cars Buyers DB'!$A:$A,'RAWDATA Cars Buyers DB'!K:K)&lt;31,"Adolescent","Invalid")))</f>
        <v xml:space="preserve">Old </v>
      </c>
      <c r="M766" s="8" t="str">
        <f>_xlfn.XLOOKUP($A766,'RAWDATA Cars Buyers DB'!$A:$A,'RAWDATA Cars Buyers DB'!L:L)</f>
        <v>No</v>
      </c>
    </row>
    <row r="767" spans="1:13">
      <c r="A767" s="6">
        <v>29758</v>
      </c>
      <c r="B767" s="10" t="str">
        <f>IF(_xlfn.XLOOKUP($A767,'RAWDATA Cars Buyers DB'!$A:$A,'RAWDATA Cars Buyers DB'!B:B)="S","Single","Married")</f>
        <v>Married</v>
      </c>
      <c r="C767" s="10" t="str">
        <f>IF(_xlfn.XLOOKUP($A767,'RAWDATA Cars Buyers DB'!$A:$A,'RAWDATA Cars Buyers DB'!C:C)="F","Female","Male")</f>
        <v>Female</v>
      </c>
      <c r="D767" s="7">
        <f>_xlfn.XLOOKUP($A767,'RAWDATA Cars Buyers DB'!$A:$A,'RAWDATA Cars Buyers DB'!D:D)</f>
        <v>112492</v>
      </c>
      <c r="E767" s="8">
        <f>_xlfn.XLOOKUP($A767,'RAWDATA Cars Buyers DB'!$A:$A,'RAWDATA Cars Buyers DB'!E:E)</f>
        <v>1</v>
      </c>
      <c r="F767" s="8" t="str">
        <f>_xlfn.XLOOKUP($A767,'RAWDATA Cars Buyers DB'!$A:$A,'RAWDATA Cars Buyers DB'!F:F)</f>
        <v>Graduate Degree</v>
      </c>
      <c r="G767" s="8" t="str">
        <f>_xlfn.XLOOKUP($A767,'RAWDATA Cars Buyers DB'!$A:$A,'RAWDATA Cars Buyers DB'!G:G)</f>
        <v>Clerical</v>
      </c>
      <c r="H767" s="8" t="str">
        <f>_xlfn.XLOOKUP($A767,'RAWDATA Cars Buyers DB'!$A:$A,'RAWDATA Cars Buyers DB'!H:H)</f>
        <v>Yes</v>
      </c>
      <c r="I767" s="8" t="str">
        <f>_xlfn.XLOOKUP($A767,'RAWDATA Cars Buyers DB'!$A:$A,'RAWDATA Cars Buyers DB'!I:I)</f>
        <v>1–2 Kilometre</v>
      </c>
      <c r="J767" s="8" t="str">
        <f>_xlfn.XLOOKUP($A767,'RAWDATA Cars Buyers DB'!$A:$A,'RAWDATA Cars Buyers DB'!J:J)</f>
        <v>Berlin</v>
      </c>
      <c r="K767" s="8">
        <f>_xlfn.XLOOKUP($A767,'RAWDATA Cars Buyers DB'!$A:$A,'RAWDATA Cars Buyers DB'!K:K)</f>
        <v>37</v>
      </c>
      <c r="L767" s="10" t="str">
        <f>IF(_xlfn.XLOOKUP($A767,'RAWDATA Cars Buyers DB'!$A:$A,'RAWDATA Cars Buyers DB'!K:K)&gt;54,"Old ",IF(_xlfn.XLOOKUP($A767,'RAWDATA Cars Buyers DB'!$A:$A,'RAWDATA Cars Buyers DB'!K:K)&gt;=31,"Middle Age ",IF(_xlfn.XLOOKUP($A767,'RAWDATA Cars Buyers DB'!$A:$A,'RAWDATA Cars Buyers DB'!K:K)&lt;31,"Adolescent","Invalid")))</f>
        <v xml:space="preserve">Middle Age </v>
      </c>
      <c r="M767" s="8" t="str">
        <f>_xlfn.XLOOKUP($A767,'RAWDATA Cars Buyers DB'!$A:$A,'RAWDATA Cars Buyers DB'!L:L)</f>
        <v>No</v>
      </c>
    </row>
    <row r="768" spans="1:13">
      <c r="A768" s="6">
        <v>25254</v>
      </c>
      <c r="B768" s="10" t="str">
        <f>IF(_xlfn.XLOOKUP($A768,'RAWDATA Cars Buyers DB'!$A:$A,'RAWDATA Cars Buyers DB'!B:B)="S","Single","Married")</f>
        <v>Single</v>
      </c>
      <c r="C768" s="10" t="str">
        <f>IF(_xlfn.XLOOKUP($A768,'RAWDATA Cars Buyers DB'!$A:$A,'RAWDATA Cars Buyers DB'!C:C)="F","Female","Male")</f>
        <v>Female</v>
      </c>
      <c r="D768" s="7">
        <f>_xlfn.XLOOKUP($A768,'RAWDATA Cars Buyers DB'!$A:$A,'RAWDATA Cars Buyers DB'!D:D)</f>
        <v>67153</v>
      </c>
      <c r="E768" s="8">
        <f>_xlfn.XLOOKUP($A768,'RAWDATA Cars Buyers DB'!$A:$A,'RAWDATA Cars Buyers DB'!E:E)</f>
        <v>2</v>
      </c>
      <c r="F768" s="8" t="str">
        <f>_xlfn.XLOOKUP($A768,'RAWDATA Cars Buyers DB'!$A:$A,'RAWDATA Cars Buyers DB'!F:F)</f>
        <v>Graduate Degree</v>
      </c>
      <c r="G768" s="8" t="str">
        <f>_xlfn.XLOOKUP($A768,'RAWDATA Cars Buyers DB'!$A:$A,'RAWDATA Cars Buyers DB'!G:G)</f>
        <v>Management</v>
      </c>
      <c r="H768" s="8" t="str">
        <f>_xlfn.XLOOKUP($A768,'RAWDATA Cars Buyers DB'!$A:$A,'RAWDATA Cars Buyers DB'!H:H)</f>
        <v>No</v>
      </c>
      <c r="I768" s="8" t="str">
        <f>_xlfn.XLOOKUP($A768,'RAWDATA Cars Buyers DB'!$A:$A,'RAWDATA Cars Buyers DB'!I:I)</f>
        <v>0–1 Kilometre</v>
      </c>
      <c r="J768" s="8" t="str">
        <f>_xlfn.XLOOKUP($A768,'RAWDATA Cars Buyers DB'!$A:$A,'RAWDATA Cars Buyers DB'!J:J)</f>
        <v>Saxony-Anhalt</v>
      </c>
      <c r="K768" s="8">
        <f>_xlfn.XLOOKUP($A768,'RAWDATA Cars Buyers DB'!$A:$A,'RAWDATA Cars Buyers DB'!K:K)</f>
        <v>55</v>
      </c>
      <c r="L768" s="10" t="str">
        <f>IF(_xlfn.XLOOKUP($A768,'RAWDATA Cars Buyers DB'!$A:$A,'RAWDATA Cars Buyers DB'!K:K)&gt;54,"Old ",IF(_xlfn.XLOOKUP($A768,'RAWDATA Cars Buyers DB'!$A:$A,'RAWDATA Cars Buyers DB'!K:K)&gt;=31,"Middle Age ",IF(_xlfn.XLOOKUP($A768,'RAWDATA Cars Buyers DB'!$A:$A,'RAWDATA Cars Buyers DB'!K:K)&lt;31,"Adolescent","Invalid")))</f>
        <v xml:space="preserve">Old </v>
      </c>
      <c r="M768" s="8" t="str">
        <f>_xlfn.XLOOKUP($A768,'RAWDATA Cars Buyers DB'!$A:$A,'RAWDATA Cars Buyers DB'!L:L)</f>
        <v>No</v>
      </c>
    </row>
    <row r="769" spans="1:13">
      <c r="A769" s="6">
        <v>54238</v>
      </c>
      <c r="B769" s="10" t="str">
        <f>IF(_xlfn.XLOOKUP($A769,'RAWDATA Cars Buyers DB'!$A:$A,'RAWDATA Cars Buyers DB'!B:B)="S","Single","Married")</f>
        <v>Married</v>
      </c>
      <c r="C769" s="10" t="str">
        <f>IF(_xlfn.XLOOKUP($A769,'RAWDATA Cars Buyers DB'!$A:$A,'RAWDATA Cars Buyers DB'!C:C)="F","Female","Male")</f>
        <v>Male</v>
      </c>
      <c r="D769" s="7">
        <f>_xlfn.XLOOKUP($A769,'RAWDATA Cars Buyers DB'!$A:$A,'RAWDATA Cars Buyers DB'!D:D)</f>
        <v>74110</v>
      </c>
      <c r="E769" s="8">
        <f>_xlfn.XLOOKUP($A769,'RAWDATA Cars Buyers DB'!$A:$A,'RAWDATA Cars Buyers DB'!E:E)</f>
        <v>5</v>
      </c>
      <c r="F769" s="8" t="str">
        <f>_xlfn.XLOOKUP($A769,'RAWDATA Cars Buyers DB'!$A:$A,'RAWDATA Cars Buyers DB'!F:F)</f>
        <v>Partial College</v>
      </c>
      <c r="G769" s="8" t="str">
        <f>_xlfn.XLOOKUP($A769,'RAWDATA Cars Buyers DB'!$A:$A,'RAWDATA Cars Buyers DB'!G:G)</f>
        <v>Professional</v>
      </c>
      <c r="H769" s="8" t="str">
        <f>_xlfn.XLOOKUP($A769,'RAWDATA Cars Buyers DB'!$A:$A,'RAWDATA Cars Buyers DB'!H:H)</f>
        <v>No</v>
      </c>
      <c r="I769" s="8" t="str">
        <f>_xlfn.XLOOKUP($A769,'RAWDATA Cars Buyers DB'!$A:$A,'RAWDATA Cars Buyers DB'!I:I)</f>
        <v>2–4 Kilometre</v>
      </c>
      <c r="J769" s="8" t="str">
        <f>_xlfn.XLOOKUP($A769,'RAWDATA Cars Buyers DB'!$A:$A,'RAWDATA Cars Buyers DB'!J:J)</f>
        <v>Schleswig-Holstein</v>
      </c>
      <c r="K769" s="8">
        <f>_xlfn.XLOOKUP($A769,'RAWDATA Cars Buyers DB'!$A:$A,'RAWDATA Cars Buyers DB'!K:K)</f>
        <v>45</v>
      </c>
      <c r="L769" s="10" t="str">
        <f>IF(_xlfn.XLOOKUP($A769,'RAWDATA Cars Buyers DB'!$A:$A,'RAWDATA Cars Buyers DB'!K:K)&gt;54,"Old ",IF(_xlfn.XLOOKUP($A769,'RAWDATA Cars Buyers DB'!$A:$A,'RAWDATA Cars Buyers DB'!K:K)&gt;=31,"Middle Age ",IF(_xlfn.XLOOKUP($A769,'RAWDATA Cars Buyers DB'!$A:$A,'RAWDATA Cars Buyers DB'!K:K)&lt;31,"Adolescent","Invalid")))</f>
        <v xml:space="preserve">Middle Age </v>
      </c>
      <c r="M769" s="8" t="str">
        <f>_xlfn.XLOOKUP($A769,'RAWDATA Cars Buyers DB'!$A:$A,'RAWDATA Cars Buyers DB'!L:L)</f>
        <v>No</v>
      </c>
    </row>
    <row r="770" spans="1:13">
      <c r="A770" s="6">
        <v>11252</v>
      </c>
      <c r="B770" s="10" t="str">
        <f>IF(_xlfn.XLOOKUP($A770,'RAWDATA Cars Buyers DB'!$A:$A,'RAWDATA Cars Buyers DB'!B:B)="S","Single","Married")</f>
        <v>Single</v>
      </c>
      <c r="C770" s="10" t="str">
        <f>IF(_xlfn.XLOOKUP($A770,'RAWDATA Cars Buyers DB'!$A:$A,'RAWDATA Cars Buyers DB'!C:C)="F","Female","Male")</f>
        <v>Male</v>
      </c>
      <c r="D770" s="7">
        <f>_xlfn.XLOOKUP($A770,'RAWDATA Cars Buyers DB'!$A:$A,'RAWDATA Cars Buyers DB'!D:D)</f>
        <v>33979</v>
      </c>
      <c r="E770" s="8">
        <f>_xlfn.XLOOKUP($A770,'RAWDATA Cars Buyers DB'!$A:$A,'RAWDATA Cars Buyers DB'!E:E)</f>
        <v>1</v>
      </c>
      <c r="F770" s="8" t="str">
        <f>_xlfn.XLOOKUP($A770,'RAWDATA Cars Buyers DB'!$A:$A,'RAWDATA Cars Buyers DB'!F:F)</f>
        <v>Partial College</v>
      </c>
      <c r="G770" s="8" t="str">
        <f>_xlfn.XLOOKUP($A770,'RAWDATA Cars Buyers DB'!$A:$A,'RAWDATA Cars Buyers DB'!G:G)</f>
        <v>Professional</v>
      </c>
      <c r="H770" s="8" t="str">
        <f>_xlfn.XLOOKUP($A770,'RAWDATA Cars Buyers DB'!$A:$A,'RAWDATA Cars Buyers DB'!H:H)</f>
        <v>No</v>
      </c>
      <c r="I770" s="8" t="str">
        <f>_xlfn.XLOOKUP($A770,'RAWDATA Cars Buyers DB'!$A:$A,'RAWDATA Cars Buyers DB'!I:I)</f>
        <v>1–2 Kilometre</v>
      </c>
      <c r="J770" s="8" t="str">
        <f>_xlfn.XLOOKUP($A770,'RAWDATA Cars Buyers DB'!$A:$A,'RAWDATA Cars Buyers DB'!J:J)</f>
        <v>Rhineland-Palatinate</v>
      </c>
      <c r="K770" s="8">
        <f>_xlfn.XLOOKUP($A770,'RAWDATA Cars Buyers DB'!$A:$A,'RAWDATA Cars Buyers DB'!K:K)</f>
        <v>29</v>
      </c>
      <c r="L770" s="10" t="str">
        <f>IF(_xlfn.XLOOKUP($A770,'RAWDATA Cars Buyers DB'!$A:$A,'RAWDATA Cars Buyers DB'!K:K)&gt;54,"Old ",IF(_xlfn.XLOOKUP($A770,'RAWDATA Cars Buyers DB'!$A:$A,'RAWDATA Cars Buyers DB'!K:K)&gt;=31,"Middle Age ",IF(_xlfn.XLOOKUP($A770,'RAWDATA Cars Buyers DB'!$A:$A,'RAWDATA Cars Buyers DB'!K:K)&lt;31,"Adolescent","Invalid")))</f>
        <v>Adolescent</v>
      </c>
      <c r="M770" s="8" t="str">
        <f>_xlfn.XLOOKUP($A770,'RAWDATA Cars Buyers DB'!$A:$A,'RAWDATA Cars Buyers DB'!L:L)</f>
        <v>No</v>
      </c>
    </row>
    <row r="771" spans="1:13">
      <c r="A771" s="6">
        <v>49764</v>
      </c>
      <c r="B771" s="10" t="str">
        <f>IF(_xlfn.XLOOKUP($A771,'RAWDATA Cars Buyers DB'!$A:$A,'RAWDATA Cars Buyers DB'!B:B)="S","Single","Married")</f>
        <v>Single</v>
      </c>
      <c r="C771" s="10" t="str">
        <f>IF(_xlfn.XLOOKUP($A771,'RAWDATA Cars Buyers DB'!$A:$A,'RAWDATA Cars Buyers DB'!C:C)="F","Female","Male")</f>
        <v>Male</v>
      </c>
      <c r="D771" s="7">
        <f>_xlfn.XLOOKUP($A771,'RAWDATA Cars Buyers DB'!$A:$A,'RAWDATA Cars Buyers DB'!D:D)</f>
        <v>48328</v>
      </c>
      <c r="E771" s="8">
        <f>_xlfn.XLOOKUP($A771,'RAWDATA Cars Buyers DB'!$A:$A,'RAWDATA Cars Buyers DB'!E:E)</f>
        <v>2</v>
      </c>
      <c r="F771" s="8" t="str">
        <f>_xlfn.XLOOKUP($A771,'RAWDATA Cars Buyers DB'!$A:$A,'RAWDATA Cars Buyers DB'!F:F)</f>
        <v>High School</v>
      </c>
      <c r="G771" s="8" t="str">
        <f>_xlfn.XLOOKUP($A771,'RAWDATA Cars Buyers DB'!$A:$A,'RAWDATA Cars Buyers DB'!G:G)</f>
        <v>Professional</v>
      </c>
      <c r="H771" s="8" t="str">
        <f>_xlfn.XLOOKUP($A771,'RAWDATA Cars Buyers DB'!$A:$A,'RAWDATA Cars Buyers DB'!H:H)</f>
        <v>No</v>
      </c>
      <c r="I771" s="8" t="str">
        <f>_xlfn.XLOOKUP($A771,'RAWDATA Cars Buyers DB'!$A:$A,'RAWDATA Cars Buyers DB'!I:I)</f>
        <v>6+ Kilometre</v>
      </c>
      <c r="J771" s="8" t="str">
        <f>_xlfn.XLOOKUP($A771,'RAWDATA Cars Buyers DB'!$A:$A,'RAWDATA Cars Buyers DB'!J:J)</f>
        <v>Saxony-Anhalt</v>
      </c>
      <c r="K771" s="8">
        <f>_xlfn.XLOOKUP($A771,'RAWDATA Cars Buyers DB'!$A:$A,'RAWDATA Cars Buyers DB'!K:K)</f>
        <v>50</v>
      </c>
      <c r="L771" s="10" t="str">
        <f>IF(_xlfn.XLOOKUP($A771,'RAWDATA Cars Buyers DB'!$A:$A,'RAWDATA Cars Buyers DB'!K:K)&gt;54,"Old ",IF(_xlfn.XLOOKUP($A771,'RAWDATA Cars Buyers DB'!$A:$A,'RAWDATA Cars Buyers DB'!K:K)&gt;=31,"Middle Age ",IF(_xlfn.XLOOKUP($A771,'RAWDATA Cars Buyers DB'!$A:$A,'RAWDATA Cars Buyers DB'!K:K)&lt;31,"Adolescent","Invalid")))</f>
        <v xml:space="preserve">Middle Age </v>
      </c>
      <c r="M771" s="8" t="str">
        <f>_xlfn.XLOOKUP($A771,'RAWDATA Cars Buyers DB'!$A:$A,'RAWDATA Cars Buyers DB'!L:L)</f>
        <v>Yes</v>
      </c>
    </row>
    <row r="772" spans="1:13">
      <c r="A772" s="6">
        <v>87709</v>
      </c>
      <c r="B772" s="10" t="str">
        <f>IF(_xlfn.XLOOKUP($A772,'RAWDATA Cars Buyers DB'!$A:$A,'RAWDATA Cars Buyers DB'!B:B)="S","Single","Married")</f>
        <v>Married</v>
      </c>
      <c r="C772" s="10" t="str">
        <f>IF(_xlfn.XLOOKUP($A772,'RAWDATA Cars Buyers DB'!$A:$A,'RAWDATA Cars Buyers DB'!C:C)="F","Female","Male")</f>
        <v>Female</v>
      </c>
      <c r="D772" s="7">
        <f>_xlfn.XLOOKUP($A772,'RAWDATA Cars Buyers DB'!$A:$A,'RAWDATA Cars Buyers DB'!D:D)</f>
        <v>32867</v>
      </c>
      <c r="E772" s="8">
        <f>_xlfn.XLOOKUP($A772,'RAWDATA Cars Buyers DB'!$A:$A,'RAWDATA Cars Buyers DB'!E:E)</f>
        <v>4</v>
      </c>
      <c r="F772" s="8" t="str">
        <f>_xlfn.XLOOKUP($A772,'RAWDATA Cars Buyers DB'!$A:$A,'RAWDATA Cars Buyers DB'!F:F)</f>
        <v>Graduate Degree</v>
      </c>
      <c r="G772" s="8" t="str">
        <f>_xlfn.XLOOKUP($A772,'RAWDATA Cars Buyers DB'!$A:$A,'RAWDATA Cars Buyers DB'!G:G)</f>
        <v>Skilled Manual</v>
      </c>
      <c r="H772" s="8" t="str">
        <f>_xlfn.XLOOKUP($A772,'RAWDATA Cars Buyers DB'!$A:$A,'RAWDATA Cars Buyers DB'!H:H)</f>
        <v>Yes</v>
      </c>
      <c r="I772" s="8" t="str">
        <f>_xlfn.XLOOKUP($A772,'RAWDATA Cars Buyers DB'!$A:$A,'RAWDATA Cars Buyers DB'!I:I)</f>
        <v>4–6 Kilometre</v>
      </c>
      <c r="J772" s="8" t="str">
        <f>_xlfn.XLOOKUP($A772,'RAWDATA Cars Buyers DB'!$A:$A,'RAWDATA Cars Buyers DB'!J:J)</f>
        <v>Saarland</v>
      </c>
      <c r="K772" s="8">
        <f>_xlfn.XLOOKUP($A772,'RAWDATA Cars Buyers DB'!$A:$A,'RAWDATA Cars Buyers DB'!K:K)</f>
        <v>52</v>
      </c>
      <c r="L772" s="10" t="str">
        <f>IF(_xlfn.XLOOKUP($A772,'RAWDATA Cars Buyers DB'!$A:$A,'RAWDATA Cars Buyers DB'!K:K)&gt;54,"Old ",IF(_xlfn.XLOOKUP($A772,'RAWDATA Cars Buyers DB'!$A:$A,'RAWDATA Cars Buyers DB'!K:K)&gt;=31,"Middle Age ",IF(_xlfn.XLOOKUP($A772,'RAWDATA Cars Buyers DB'!$A:$A,'RAWDATA Cars Buyers DB'!K:K)&lt;31,"Adolescent","Invalid")))</f>
        <v xml:space="preserve">Middle Age </v>
      </c>
      <c r="M772" s="8" t="str">
        <f>_xlfn.XLOOKUP($A772,'RAWDATA Cars Buyers DB'!$A:$A,'RAWDATA Cars Buyers DB'!L:L)</f>
        <v>No</v>
      </c>
    </row>
    <row r="773" spans="1:13">
      <c r="A773" s="6">
        <v>47441</v>
      </c>
      <c r="B773" s="10" t="str">
        <f>IF(_xlfn.XLOOKUP($A773,'RAWDATA Cars Buyers DB'!$A:$A,'RAWDATA Cars Buyers DB'!B:B)="S","Single","Married")</f>
        <v>Married</v>
      </c>
      <c r="C773" s="10" t="str">
        <f>IF(_xlfn.XLOOKUP($A773,'RAWDATA Cars Buyers DB'!$A:$A,'RAWDATA Cars Buyers DB'!C:C)="F","Female","Male")</f>
        <v>Female</v>
      </c>
      <c r="D773" s="7">
        <f>_xlfn.XLOOKUP($A773,'RAWDATA Cars Buyers DB'!$A:$A,'RAWDATA Cars Buyers DB'!D:D)</f>
        <v>79234</v>
      </c>
      <c r="E773" s="8">
        <f>_xlfn.XLOOKUP($A773,'RAWDATA Cars Buyers DB'!$A:$A,'RAWDATA Cars Buyers DB'!E:E)</f>
        <v>3</v>
      </c>
      <c r="F773" s="8" t="str">
        <f>_xlfn.XLOOKUP($A773,'RAWDATA Cars Buyers DB'!$A:$A,'RAWDATA Cars Buyers DB'!F:F)</f>
        <v>Bachelors</v>
      </c>
      <c r="G773" s="8" t="str">
        <f>_xlfn.XLOOKUP($A773,'RAWDATA Cars Buyers DB'!$A:$A,'RAWDATA Cars Buyers DB'!G:G)</f>
        <v>Skilled Manual</v>
      </c>
      <c r="H773" s="8" t="str">
        <f>_xlfn.XLOOKUP($A773,'RAWDATA Cars Buyers DB'!$A:$A,'RAWDATA Cars Buyers DB'!H:H)</f>
        <v>No</v>
      </c>
      <c r="I773" s="8" t="str">
        <f>_xlfn.XLOOKUP($A773,'RAWDATA Cars Buyers DB'!$A:$A,'RAWDATA Cars Buyers DB'!I:I)</f>
        <v>1–2 Kilometre</v>
      </c>
      <c r="J773" s="8" t="str">
        <f>_xlfn.XLOOKUP($A773,'RAWDATA Cars Buyers DB'!$A:$A,'RAWDATA Cars Buyers DB'!J:J)</f>
        <v>Baden-Württemberg</v>
      </c>
      <c r="K773" s="8">
        <f>_xlfn.XLOOKUP($A773,'RAWDATA Cars Buyers DB'!$A:$A,'RAWDATA Cars Buyers DB'!K:K)</f>
        <v>48</v>
      </c>
      <c r="L773" s="10" t="str">
        <f>IF(_xlfn.XLOOKUP($A773,'RAWDATA Cars Buyers DB'!$A:$A,'RAWDATA Cars Buyers DB'!K:K)&gt;54,"Old ",IF(_xlfn.XLOOKUP($A773,'RAWDATA Cars Buyers DB'!$A:$A,'RAWDATA Cars Buyers DB'!K:K)&gt;=31,"Middle Age ",IF(_xlfn.XLOOKUP($A773,'RAWDATA Cars Buyers DB'!$A:$A,'RAWDATA Cars Buyers DB'!K:K)&lt;31,"Adolescent","Invalid")))</f>
        <v xml:space="preserve">Middle Age </v>
      </c>
      <c r="M773" s="8" t="str">
        <f>_xlfn.XLOOKUP($A773,'RAWDATA Cars Buyers DB'!$A:$A,'RAWDATA Cars Buyers DB'!L:L)</f>
        <v>Yes</v>
      </c>
    </row>
    <row r="774" spans="1:13">
      <c r="A774" s="6">
        <v>63682</v>
      </c>
      <c r="B774" s="10" t="str">
        <f>IF(_xlfn.XLOOKUP($A774,'RAWDATA Cars Buyers DB'!$A:$A,'RAWDATA Cars Buyers DB'!B:B)="S","Single","Married")</f>
        <v>Married</v>
      </c>
      <c r="C774" s="10" t="str">
        <f>IF(_xlfn.XLOOKUP($A774,'RAWDATA Cars Buyers DB'!$A:$A,'RAWDATA Cars Buyers DB'!C:C)="F","Female","Male")</f>
        <v>Male</v>
      </c>
      <c r="D774" s="7">
        <f>_xlfn.XLOOKUP($A774,'RAWDATA Cars Buyers DB'!$A:$A,'RAWDATA Cars Buyers DB'!D:D)</f>
        <v>45851</v>
      </c>
      <c r="E774" s="8">
        <f>_xlfn.XLOOKUP($A774,'RAWDATA Cars Buyers DB'!$A:$A,'RAWDATA Cars Buyers DB'!E:E)</f>
        <v>4</v>
      </c>
      <c r="F774" s="8" t="str">
        <f>_xlfn.XLOOKUP($A774,'RAWDATA Cars Buyers DB'!$A:$A,'RAWDATA Cars Buyers DB'!F:F)</f>
        <v>Partial College</v>
      </c>
      <c r="G774" s="8" t="str">
        <f>_xlfn.XLOOKUP($A774,'RAWDATA Cars Buyers DB'!$A:$A,'RAWDATA Cars Buyers DB'!G:G)</f>
        <v>Skilled Manual</v>
      </c>
      <c r="H774" s="8" t="str">
        <f>_xlfn.XLOOKUP($A774,'RAWDATA Cars Buyers DB'!$A:$A,'RAWDATA Cars Buyers DB'!H:H)</f>
        <v>No</v>
      </c>
      <c r="I774" s="8" t="str">
        <f>_xlfn.XLOOKUP($A774,'RAWDATA Cars Buyers DB'!$A:$A,'RAWDATA Cars Buyers DB'!I:I)</f>
        <v>0–1 Kilometre</v>
      </c>
      <c r="J774" s="8" t="str">
        <f>_xlfn.XLOOKUP($A774,'RAWDATA Cars Buyers DB'!$A:$A,'RAWDATA Cars Buyers DB'!J:J)</f>
        <v>Saxony-Anhalt</v>
      </c>
      <c r="K774" s="8">
        <f>_xlfn.XLOOKUP($A774,'RAWDATA Cars Buyers DB'!$A:$A,'RAWDATA Cars Buyers DB'!K:K)</f>
        <v>24</v>
      </c>
      <c r="L774" s="10" t="str">
        <f>IF(_xlfn.XLOOKUP($A774,'RAWDATA Cars Buyers DB'!$A:$A,'RAWDATA Cars Buyers DB'!K:K)&gt;54,"Old ",IF(_xlfn.XLOOKUP($A774,'RAWDATA Cars Buyers DB'!$A:$A,'RAWDATA Cars Buyers DB'!K:K)&gt;=31,"Middle Age ",IF(_xlfn.XLOOKUP($A774,'RAWDATA Cars Buyers DB'!$A:$A,'RAWDATA Cars Buyers DB'!K:K)&lt;31,"Adolescent","Invalid")))</f>
        <v>Adolescent</v>
      </c>
      <c r="M774" s="8" t="str">
        <f>_xlfn.XLOOKUP($A774,'RAWDATA Cars Buyers DB'!$A:$A,'RAWDATA Cars Buyers DB'!L:L)</f>
        <v>Yes</v>
      </c>
    </row>
    <row r="775" spans="1:13">
      <c r="A775" s="6">
        <v>69494</v>
      </c>
      <c r="B775" s="10" t="str">
        <f>IF(_xlfn.XLOOKUP($A775,'RAWDATA Cars Buyers DB'!$A:$A,'RAWDATA Cars Buyers DB'!B:B)="S","Single","Married")</f>
        <v>Married</v>
      </c>
      <c r="C775" s="10" t="str">
        <f>IF(_xlfn.XLOOKUP($A775,'RAWDATA Cars Buyers DB'!$A:$A,'RAWDATA Cars Buyers DB'!C:C)="F","Female","Male")</f>
        <v>Male</v>
      </c>
      <c r="D775" s="7">
        <f>_xlfn.XLOOKUP($A775,'RAWDATA Cars Buyers DB'!$A:$A,'RAWDATA Cars Buyers DB'!D:D)</f>
        <v>51279</v>
      </c>
      <c r="E775" s="8">
        <f>_xlfn.XLOOKUP($A775,'RAWDATA Cars Buyers DB'!$A:$A,'RAWDATA Cars Buyers DB'!E:E)</f>
        <v>0</v>
      </c>
      <c r="F775" s="8" t="str">
        <f>_xlfn.XLOOKUP($A775,'RAWDATA Cars Buyers DB'!$A:$A,'RAWDATA Cars Buyers DB'!F:F)</f>
        <v>Bachelors</v>
      </c>
      <c r="G775" s="8" t="str">
        <f>_xlfn.XLOOKUP($A775,'RAWDATA Cars Buyers DB'!$A:$A,'RAWDATA Cars Buyers DB'!G:G)</f>
        <v>Clerical</v>
      </c>
      <c r="H775" s="8" t="str">
        <f>_xlfn.XLOOKUP($A775,'RAWDATA Cars Buyers DB'!$A:$A,'RAWDATA Cars Buyers DB'!H:H)</f>
        <v>Yes</v>
      </c>
      <c r="I775" s="8" t="str">
        <f>_xlfn.XLOOKUP($A775,'RAWDATA Cars Buyers DB'!$A:$A,'RAWDATA Cars Buyers DB'!I:I)</f>
        <v>2–4 Kilometre</v>
      </c>
      <c r="J775" s="8" t="str">
        <f>_xlfn.XLOOKUP($A775,'RAWDATA Cars Buyers DB'!$A:$A,'RAWDATA Cars Buyers DB'!J:J)</f>
        <v>Schleswig-Holstein</v>
      </c>
      <c r="K775" s="8">
        <f>_xlfn.XLOOKUP($A775,'RAWDATA Cars Buyers DB'!$A:$A,'RAWDATA Cars Buyers DB'!K:K)</f>
        <v>32</v>
      </c>
      <c r="L775" s="10" t="str">
        <f>IF(_xlfn.XLOOKUP($A775,'RAWDATA Cars Buyers DB'!$A:$A,'RAWDATA Cars Buyers DB'!K:K)&gt;54,"Old ",IF(_xlfn.XLOOKUP($A775,'RAWDATA Cars Buyers DB'!$A:$A,'RAWDATA Cars Buyers DB'!K:K)&gt;=31,"Middle Age ",IF(_xlfn.XLOOKUP($A775,'RAWDATA Cars Buyers DB'!$A:$A,'RAWDATA Cars Buyers DB'!K:K)&lt;31,"Adolescent","Invalid")))</f>
        <v xml:space="preserve">Middle Age </v>
      </c>
      <c r="M775" s="8" t="str">
        <f>_xlfn.XLOOKUP($A775,'RAWDATA Cars Buyers DB'!$A:$A,'RAWDATA Cars Buyers DB'!L:L)</f>
        <v>Yes</v>
      </c>
    </row>
    <row r="776" spans="1:13">
      <c r="A776" s="6">
        <v>91317</v>
      </c>
      <c r="B776" s="10" t="str">
        <f>IF(_xlfn.XLOOKUP($A776,'RAWDATA Cars Buyers DB'!$A:$A,'RAWDATA Cars Buyers DB'!B:B)="S","Single","Married")</f>
        <v>Married</v>
      </c>
      <c r="C776" s="10" t="str">
        <f>IF(_xlfn.XLOOKUP($A776,'RAWDATA Cars Buyers DB'!$A:$A,'RAWDATA Cars Buyers DB'!C:C)="F","Female","Male")</f>
        <v>Male</v>
      </c>
      <c r="D776" s="7">
        <f>_xlfn.XLOOKUP($A776,'RAWDATA Cars Buyers DB'!$A:$A,'RAWDATA Cars Buyers DB'!D:D)</f>
        <v>116063</v>
      </c>
      <c r="E776" s="8">
        <f>_xlfn.XLOOKUP($A776,'RAWDATA Cars Buyers DB'!$A:$A,'RAWDATA Cars Buyers DB'!E:E)</f>
        <v>2</v>
      </c>
      <c r="F776" s="8" t="str">
        <f>_xlfn.XLOOKUP($A776,'RAWDATA Cars Buyers DB'!$A:$A,'RAWDATA Cars Buyers DB'!F:F)</f>
        <v>High School</v>
      </c>
      <c r="G776" s="8" t="str">
        <f>_xlfn.XLOOKUP($A776,'RAWDATA Cars Buyers DB'!$A:$A,'RAWDATA Cars Buyers DB'!G:G)</f>
        <v>Management</v>
      </c>
      <c r="H776" s="8" t="str">
        <f>_xlfn.XLOOKUP($A776,'RAWDATA Cars Buyers DB'!$A:$A,'RAWDATA Cars Buyers DB'!H:H)</f>
        <v>No</v>
      </c>
      <c r="I776" s="8" t="str">
        <f>_xlfn.XLOOKUP($A776,'RAWDATA Cars Buyers DB'!$A:$A,'RAWDATA Cars Buyers DB'!I:I)</f>
        <v>4–6 Kilometre</v>
      </c>
      <c r="J776" s="8" t="str">
        <f>_xlfn.XLOOKUP($A776,'RAWDATA Cars Buyers DB'!$A:$A,'RAWDATA Cars Buyers DB'!J:J)</f>
        <v>Brandenburg</v>
      </c>
      <c r="K776" s="8">
        <f>_xlfn.XLOOKUP($A776,'RAWDATA Cars Buyers DB'!$A:$A,'RAWDATA Cars Buyers DB'!K:K)</f>
        <v>20</v>
      </c>
      <c r="L776" s="10" t="str">
        <f>IF(_xlfn.XLOOKUP($A776,'RAWDATA Cars Buyers DB'!$A:$A,'RAWDATA Cars Buyers DB'!K:K)&gt;54,"Old ",IF(_xlfn.XLOOKUP($A776,'RAWDATA Cars Buyers DB'!$A:$A,'RAWDATA Cars Buyers DB'!K:K)&gt;=31,"Middle Age ",IF(_xlfn.XLOOKUP($A776,'RAWDATA Cars Buyers DB'!$A:$A,'RAWDATA Cars Buyers DB'!K:K)&lt;31,"Adolescent","Invalid")))</f>
        <v>Adolescent</v>
      </c>
      <c r="M776" s="8" t="str">
        <f>_xlfn.XLOOKUP($A776,'RAWDATA Cars Buyers DB'!$A:$A,'RAWDATA Cars Buyers DB'!L:L)</f>
        <v>Yes</v>
      </c>
    </row>
    <row r="777" spans="1:13">
      <c r="A777" s="6">
        <v>75215</v>
      </c>
      <c r="B777" s="10" t="str">
        <f>IF(_xlfn.XLOOKUP($A777,'RAWDATA Cars Buyers DB'!$A:$A,'RAWDATA Cars Buyers DB'!B:B)="S","Single","Married")</f>
        <v>Single</v>
      </c>
      <c r="C777" s="10" t="str">
        <f>IF(_xlfn.XLOOKUP($A777,'RAWDATA Cars Buyers DB'!$A:$A,'RAWDATA Cars Buyers DB'!C:C)="F","Female","Male")</f>
        <v>Female</v>
      </c>
      <c r="D777" s="7">
        <f>_xlfn.XLOOKUP($A777,'RAWDATA Cars Buyers DB'!$A:$A,'RAWDATA Cars Buyers DB'!D:D)</f>
        <v>93402</v>
      </c>
      <c r="E777" s="8">
        <f>_xlfn.XLOOKUP($A777,'RAWDATA Cars Buyers DB'!$A:$A,'RAWDATA Cars Buyers DB'!E:E)</f>
        <v>0</v>
      </c>
      <c r="F777" s="8" t="str">
        <f>_xlfn.XLOOKUP($A777,'RAWDATA Cars Buyers DB'!$A:$A,'RAWDATA Cars Buyers DB'!F:F)</f>
        <v>Partial College</v>
      </c>
      <c r="G777" s="8" t="str">
        <f>_xlfn.XLOOKUP($A777,'RAWDATA Cars Buyers DB'!$A:$A,'RAWDATA Cars Buyers DB'!G:G)</f>
        <v>Skilled Manual</v>
      </c>
      <c r="H777" s="8" t="str">
        <f>_xlfn.XLOOKUP($A777,'RAWDATA Cars Buyers DB'!$A:$A,'RAWDATA Cars Buyers DB'!H:H)</f>
        <v>No</v>
      </c>
      <c r="I777" s="8" t="str">
        <f>_xlfn.XLOOKUP($A777,'RAWDATA Cars Buyers DB'!$A:$A,'RAWDATA Cars Buyers DB'!I:I)</f>
        <v>1–2 Kilometre</v>
      </c>
      <c r="J777" s="8" t="str">
        <f>_xlfn.XLOOKUP($A777,'RAWDATA Cars Buyers DB'!$A:$A,'RAWDATA Cars Buyers DB'!J:J)</f>
        <v>Lower Saxony</v>
      </c>
      <c r="K777" s="8">
        <f>_xlfn.XLOOKUP($A777,'RAWDATA Cars Buyers DB'!$A:$A,'RAWDATA Cars Buyers DB'!K:K)</f>
        <v>42</v>
      </c>
      <c r="L777" s="10" t="str">
        <f>IF(_xlfn.XLOOKUP($A777,'RAWDATA Cars Buyers DB'!$A:$A,'RAWDATA Cars Buyers DB'!K:K)&gt;54,"Old ",IF(_xlfn.XLOOKUP($A777,'RAWDATA Cars Buyers DB'!$A:$A,'RAWDATA Cars Buyers DB'!K:K)&gt;=31,"Middle Age ",IF(_xlfn.XLOOKUP($A777,'RAWDATA Cars Buyers DB'!$A:$A,'RAWDATA Cars Buyers DB'!K:K)&lt;31,"Adolescent","Invalid")))</f>
        <v xml:space="preserve">Middle Age </v>
      </c>
      <c r="M777" s="8" t="str">
        <f>_xlfn.XLOOKUP($A777,'RAWDATA Cars Buyers DB'!$A:$A,'RAWDATA Cars Buyers DB'!L:L)</f>
        <v>No</v>
      </c>
    </row>
    <row r="778" spans="1:13">
      <c r="A778" s="6">
        <v>88587</v>
      </c>
      <c r="B778" s="10" t="str">
        <f>IF(_xlfn.XLOOKUP($A778,'RAWDATA Cars Buyers DB'!$A:$A,'RAWDATA Cars Buyers DB'!B:B)="S","Single","Married")</f>
        <v>Married</v>
      </c>
      <c r="C778" s="10" t="str">
        <f>IF(_xlfn.XLOOKUP($A778,'RAWDATA Cars Buyers DB'!$A:$A,'RAWDATA Cars Buyers DB'!C:C)="F","Female","Male")</f>
        <v>Female</v>
      </c>
      <c r="D778" s="7">
        <f>_xlfn.XLOOKUP($A778,'RAWDATA Cars Buyers DB'!$A:$A,'RAWDATA Cars Buyers DB'!D:D)</f>
        <v>35449</v>
      </c>
      <c r="E778" s="8">
        <f>_xlfn.XLOOKUP($A778,'RAWDATA Cars Buyers DB'!$A:$A,'RAWDATA Cars Buyers DB'!E:E)</f>
        <v>0</v>
      </c>
      <c r="F778" s="8" t="str">
        <f>_xlfn.XLOOKUP($A778,'RAWDATA Cars Buyers DB'!$A:$A,'RAWDATA Cars Buyers DB'!F:F)</f>
        <v>Partial College</v>
      </c>
      <c r="G778" s="8" t="str">
        <f>_xlfn.XLOOKUP($A778,'RAWDATA Cars Buyers DB'!$A:$A,'RAWDATA Cars Buyers DB'!G:G)</f>
        <v>Management</v>
      </c>
      <c r="H778" s="8" t="str">
        <f>_xlfn.XLOOKUP($A778,'RAWDATA Cars Buyers DB'!$A:$A,'RAWDATA Cars Buyers DB'!H:H)</f>
        <v>No</v>
      </c>
      <c r="I778" s="8" t="str">
        <f>_xlfn.XLOOKUP($A778,'RAWDATA Cars Buyers DB'!$A:$A,'RAWDATA Cars Buyers DB'!I:I)</f>
        <v>2–4 Kilometre</v>
      </c>
      <c r="J778" s="8" t="str">
        <f>_xlfn.XLOOKUP($A778,'RAWDATA Cars Buyers DB'!$A:$A,'RAWDATA Cars Buyers DB'!J:J)</f>
        <v>Bremen</v>
      </c>
      <c r="K778" s="8">
        <f>_xlfn.XLOOKUP($A778,'RAWDATA Cars Buyers DB'!$A:$A,'RAWDATA Cars Buyers DB'!K:K)</f>
        <v>59</v>
      </c>
      <c r="L778" s="10" t="str">
        <f>IF(_xlfn.XLOOKUP($A778,'RAWDATA Cars Buyers DB'!$A:$A,'RAWDATA Cars Buyers DB'!K:K)&gt;54,"Old ",IF(_xlfn.XLOOKUP($A778,'RAWDATA Cars Buyers DB'!$A:$A,'RAWDATA Cars Buyers DB'!K:K)&gt;=31,"Middle Age ",IF(_xlfn.XLOOKUP($A778,'RAWDATA Cars Buyers DB'!$A:$A,'RAWDATA Cars Buyers DB'!K:K)&lt;31,"Adolescent","Invalid")))</f>
        <v xml:space="preserve">Old </v>
      </c>
      <c r="M778" s="8" t="str">
        <f>_xlfn.XLOOKUP($A778,'RAWDATA Cars Buyers DB'!$A:$A,'RAWDATA Cars Buyers DB'!L:L)</f>
        <v>No</v>
      </c>
    </row>
    <row r="779" spans="1:13">
      <c r="A779" s="6">
        <v>16949</v>
      </c>
      <c r="B779" s="10" t="str">
        <f>IF(_xlfn.XLOOKUP($A779,'RAWDATA Cars Buyers DB'!$A:$A,'RAWDATA Cars Buyers DB'!B:B)="S","Single","Married")</f>
        <v>Single</v>
      </c>
      <c r="C779" s="10" t="str">
        <f>IF(_xlfn.XLOOKUP($A779,'RAWDATA Cars Buyers DB'!$A:$A,'RAWDATA Cars Buyers DB'!C:C)="F","Female","Male")</f>
        <v>Female</v>
      </c>
      <c r="D779" s="7">
        <f>_xlfn.XLOOKUP($A779,'RAWDATA Cars Buyers DB'!$A:$A,'RAWDATA Cars Buyers DB'!D:D)</f>
        <v>96221</v>
      </c>
      <c r="E779" s="8">
        <f>_xlfn.XLOOKUP($A779,'RAWDATA Cars Buyers DB'!$A:$A,'RAWDATA Cars Buyers DB'!E:E)</f>
        <v>5</v>
      </c>
      <c r="F779" s="8" t="str">
        <f>_xlfn.XLOOKUP($A779,'RAWDATA Cars Buyers DB'!$A:$A,'RAWDATA Cars Buyers DB'!F:F)</f>
        <v>Graduate Degree</v>
      </c>
      <c r="G779" s="8" t="str">
        <f>_xlfn.XLOOKUP($A779,'RAWDATA Cars Buyers DB'!$A:$A,'RAWDATA Cars Buyers DB'!G:G)</f>
        <v>Management</v>
      </c>
      <c r="H779" s="8" t="str">
        <f>_xlfn.XLOOKUP($A779,'RAWDATA Cars Buyers DB'!$A:$A,'RAWDATA Cars Buyers DB'!H:H)</f>
        <v>No</v>
      </c>
      <c r="I779" s="8" t="str">
        <f>_xlfn.XLOOKUP($A779,'RAWDATA Cars Buyers DB'!$A:$A,'RAWDATA Cars Buyers DB'!I:I)</f>
        <v>2–4 Kilometre</v>
      </c>
      <c r="J779" s="8" t="str">
        <f>_xlfn.XLOOKUP($A779,'RAWDATA Cars Buyers DB'!$A:$A,'RAWDATA Cars Buyers DB'!J:J)</f>
        <v>Hesse</v>
      </c>
      <c r="K779" s="8">
        <f>_xlfn.XLOOKUP($A779,'RAWDATA Cars Buyers DB'!$A:$A,'RAWDATA Cars Buyers DB'!K:K)</f>
        <v>22</v>
      </c>
      <c r="L779" s="10" t="str">
        <f>IF(_xlfn.XLOOKUP($A779,'RAWDATA Cars Buyers DB'!$A:$A,'RAWDATA Cars Buyers DB'!K:K)&gt;54,"Old ",IF(_xlfn.XLOOKUP($A779,'RAWDATA Cars Buyers DB'!$A:$A,'RAWDATA Cars Buyers DB'!K:K)&gt;=31,"Middle Age ",IF(_xlfn.XLOOKUP($A779,'RAWDATA Cars Buyers DB'!$A:$A,'RAWDATA Cars Buyers DB'!K:K)&lt;31,"Adolescent","Invalid")))</f>
        <v>Adolescent</v>
      </c>
      <c r="M779" s="8" t="str">
        <f>_xlfn.XLOOKUP($A779,'RAWDATA Cars Buyers DB'!$A:$A,'RAWDATA Cars Buyers DB'!L:L)</f>
        <v>Yes</v>
      </c>
    </row>
    <row r="780" spans="1:13">
      <c r="A780" s="6">
        <v>65393</v>
      </c>
      <c r="B780" s="10" t="str">
        <f>IF(_xlfn.XLOOKUP($A780,'RAWDATA Cars Buyers DB'!$A:$A,'RAWDATA Cars Buyers DB'!B:B)="S","Single","Married")</f>
        <v>Single</v>
      </c>
      <c r="C780" s="10" t="str">
        <f>IF(_xlfn.XLOOKUP($A780,'RAWDATA Cars Buyers DB'!$A:$A,'RAWDATA Cars Buyers DB'!C:C)="F","Female","Male")</f>
        <v>Male</v>
      </c>
      <c r="D780" s="7">
        <f>_xlfn.XLOOKUP($A780,'RAWDATA Cars Buyers DB'!$A:$A,'RAWDATA Cars Buyers DB'!D:D)</f>
        <v>109080</v>
      </c>
      <c r="E780" s="8">
        <f>_xlfn.XLOOKUP($A780,'RAWDATA Cars Buyers DB'!$A:$A,'RAWDATA Cars Buyers DB'!E:E)</f>
        <v>1</v>
      </c>
      <c r="F780" s="8" t="str">
        <f>_xlfn.XLOOKUP($A780,'RAWDATA Cars Buyers DB'!$A:$A,'RAWDATA Cars Buyers DB'!F:F)</f>
        <v>High School</v>
      </c>
      <c r="G780" s="8" t="str">
        <f>_xlfn.XLOOKUP($A780,'RAWDATA Cars Buyers DB'!$A:$A,'RAWDATA Cars Buyers DB'!G:G)</f>
        <v>Management</v>
      </c>
      <c r="H780" s="8" t="str">
        <f>_xlfn.XLOOKUP($A780,'RAWDATA Cars Buyers DB'!$A:$A,'RAWDATA Cars Buyers DB'!H:H)</f>
        <v>Yes</v>
      </c>
      <c r="I780" s="8" t="str">
        <f>_xlfn.XLOOKUP($A780,'RAWDATA Cars Buyers DB'!$A:$A,'RAWDATA Cars Buyers DB'!I:I)</f>
        <v>2–4 Kilometre</v>
      </c>
      <c r="J780" s="8" t="str">
        <f>_xlfn.XLOOKUP($A780,'RAWDATA Cars Buyers DB'!$A:$A,'RAWDATA Cars Buyers DB'!J:J)</f>
        <v>Mecklenburg-Vorpommern</v>
      </c>
      <c r="K780" s="8">
        <f>_xlfn.XLOOKUP($A780,'RAWDATA Cars Buyers DB'!$A:$A,'RAWDATA Cars Buyers DB'!K:K)</f>
        <v>22</v>
      </c>
      <c r="L780" s="10" t="str">
        <f>IF(_xlfn.XLOOKUP($A780,'RAWDATA Cars Buyers DB'!$A:$A,'RAWDATA Cars Buyers DB'!K:K)&gt;54,"Old ",IF(_xlfn.XLOOKUP($A780,'RAWDATA Cars Buyers DB'!$A:$A,'RAWDATA Cars Buyers DB'!K:K)&gt;=31,"Middle Age ",IF(_xlfn.XLOOKUP($A780,'RAWDATA Cars Buyers DB'!$A:$A,'RAWDATA Cars Buyers DB'!K:K)&lt;31,"Adolescent","Invalid")))</f>
        <v>Adolescent</v>
      </c>
      <c r="M780" s="8" t="str">
        <f>_xlfn.XLOOKUP($A780,'RAWDATA Cars Buyers DB'!$A:$A,'RAWDATA Cars Buyers DB'!L:L)</f>
        <v>No</v>
      </c>
    </row>
    <row r="781" spans="1:13">
      <c r="A781" s="6">
        <v>83553</v>
      </c>
      <c r="B781" s="10" t="str">
        <f>IF(_xlfn.XLOOKUP($A781,'RAWDATA Cars Buyers DB'!$A:$A,'RAWDATA Cars Buyers DB'!B:B)="S","Single","Married")</f>
        <v>Married</v>
      </c>
      <c r="C781" s="10" t="str">
        <f>IF(_xlfn.XLOOKUP($A781,'RAWDATA Cars Buyers DB'!$A:$A,'RAWDATA Cars Buyers DB'!C:C)="F","Female","Male")</f>
        <v>Male</v>
      </c>
      <c r="D781" s="7">
        <f>_xlfn.XLOOKUP($A781,'RAWDATA Cars Buyers DB'!$A:$A,'RAWDATA Cars Buyers DB'!D:D)</f>
        <v>25451</v>
      </c>
      <c r="E781" s="8">
        <f>_xlfn.XLOOKUP($A781,'RAWDATA Cars Buyers DB'!$A:$A,'RAWDATA Cars Buyers DB'!E:E)</f>
        <v>5</v>
      </c>
      <c r="F781" s="8" t="str">
        <f>_xlfn.XLOOKUP($A781,'RAWDATA Cars Buyers DB'!$A:$A,'RAWDATA Cars Buyers DB'!F:F)</f>
        <v>Graduate Degree</v>
      </c>
      <c r="G781" s="8" t="str">
        <f>_xlfn.XLOOKUP($A781,'RAWDATA Cars Buyers DB'!$A:$A,'RAWDATA Cars Buyers DB'!G:G)</f>
        <v>Clerical</v>
      </c>
      <c r="H781" s="8" t="str">
        <f>_xlfn.XLOOKUP($A781,'RAWDATA Cars Buyers DB'!$A:$A,'RAWDATA Cars Buyers DB'!H:H)</f>
        <v>No</v>
      </c>
      <c r="I781" s="8" t="str">
        <f>_xlfn.XLOOKUP($A781,'RAWDATA Cars Buyers DB'!$A:$A,'RAWDATA Cars Buyers DB'!I:I)</f>
        <v>0–1 Kilometre</v>
      </c>
      <c r="J781" s="8" t="str">
        <f>_xlfn.XLOOKUP($A781,'RAWDATA Cars Buyers DB'!$A:$A,'RAWDATA Cars Buyers DB'!J:J)</f>
        <v>Hamburg</v>
      </c>
      <c r="K781" s="8">
        <f>_xlfn.XLOOKUP($A781,'RAWDATA Cars Buyers DB'!$A:$A,'RAWDATA Cars Buyers DB'!K:K)</f>
        <v>26</v>
      </c>
      <c r="L781" s="10" t="str">
        <f>IF(_xlfn.XLOOKUP($A781,'RAWDATA Cars Buyers DB'!$A:$A,'RAWDATA Cars Buyers DB'!K:K)&gt;54,"Old ",IF(_xlfn.XLOOKUP($A781,'RAWDATA Cars Buyers DB'!$A:$A,'RAWDATA Cars Buyers DB'!K:K)&gt;=31,"Middle Age ",IF(_xlfn.XLOOKUP($A781,'RAWDATA Cars Buyers DB'!$A:$A,'RAWDATA Cars Buyers DB'!K:K)&lt;31,"Adolescent","Invalid")))</f>
        <v>Adolescent</v>
      </c>
      <c r="M781" s="8" t="str">
        <f>_xlfn.XLOOKUP($A781,'RAWDATA Cars Buyers DB'!$A:$A,'RAWDATA Cars Buyers DB'!L:L)</f>
        <v>No</v>
      </c>
    </row>
    <row r="782" spans="1:13">
      <c r="A782" s="6">
        <v>16941</v>
      </c>
      <c r="B782" s="10" t="str">
        <f>IF(_xlfn.XLOOKUP($A782,'RAWDATA Cars Buyers DB'!$A:$A,'RAWDATA Cars Buyers DB'!B:B)="S","Single","Married")</f>
        <v>Single</v>
      </c>
      <c r="C782" s="10" t="str">
        <f>IF(_xlfn.XLOOKUP($A782,'RAWDATA Cars Buyers DB'!$A:$A,'RAWDATA Cars Buyers DB'!C:C)="F","Female","Male")</f>
        <v>Female</v>
      </c>
      <c r="D782" s="7">
        <f>_xlfn.XLOOKUP($A782,'RAWDATA Cars Buyers DB'!$A:$A,'RAWDATA Cars Buyers DB'!D:D)</f>
        <v>107178</v>
      </c>
      <c r="E782" s="8">
        <f>_xlfn.XLOOKUP($A782,'RAWDATA Cars Buyers DB'!$A:$A,'RAWDATA Cars Buyers DB'!E:E)</f>
        <v>2</v>
      </c>
      <c r="F782" s="8" t="str">
        <f>_xlfn.XLOOKUP($A782,'RAWDATA Cars Buyers DB'!$A:$A,'RAWDATA Cars Buyers DB'!F:F)</f>
        <v>Partial College</v>
      </c>
      <c r="G782" s="8" t="str">
        <f>_xlfn.XLOOKUP($A782,'RAWDATA Cars Buyers DB'!$A:$A,'RAWDATA Cars Buyers DB'!G:G)</f>
        <v>Clerical</v>
      </c>
      <c r="H782" s="8" t="str">
        <f>_xlfn.XLOOKUP($A782,'RAWDATA Cars Buyers DB'!$A:$A,'RAWDATA Cars Buyers DB'!H:H)</f>
        <v>Yes</v>
      </c>
      <c r="I782" s="8" t="str">
        <f>_xlfn.XLOOKUP($A782,'RAWDATA Cars Buyers DB'!$A:$A,'RAWDATA Cars Buyers DB'!I:I)</f>
        <v>6+ Kilometre</v>
      </c>
      <c r="J782" s="8" t="str">
        <f>_xlfn.XLOOKUP($A782,'RAWDATA Cars Buyers DB'!$A:$A,'RAWDATA Cars Buyers DB'!J:J)</f>
        <v>Lower Saxony</v>
      </c>
      <c r="K782" s="8">
        <f>_xlfn.XLOOKUP($A782,'RAWDATA Cars Buyers DB'!$A:$A,'RAWDATA Cars Buyers DB'!K:K)</f>
        <v>55</v>
      </c>
      <c r="L782" s="10" t="str">
        <f>IF(_xlfn.XLOOKUP($A782,'RAWDATA Cars Buyers DB'!$A:$A,'RAWDATA Cars Buyers DB'!K:K)&gt;54,"Old ",IF(_xlfn.XLOOKUP($A782,'RAWDATA Cars Buyers DB'!$A:$A,'RAWDATA Cars Buyers DB'!K:K)&gt;=31,"Middle Age ",IF(_xlfn.XLOOKUP($A782,'RAWDATA Cars Buyers DB'!$A:$A,'RAWDATA Cars Buyers DB'!K:K)&lt;31,"Adolescent","Invalid")))</f>
        <v xml:space="preserve">Old </v>
      </c>
      <c r="M782" s="8" t="str">
        <f>_xlfn.XLOOKUP($A782,'RAWDATA Cars Buyers DB'!$A:$A,'RAWDATA Cars Buyers DB'!L:L)</f>
        <v>No</v>
      </c>
    </row>
    <row r="783" spans="1:13">
      <c r="A783" s="6">
        <v>35934</v>
      </c>
      <c r="B783" s="10" t="str">
        <f>IF(_xlfn.XLOOKUP($A783,'RAWDATA Cars Buyers DB'!$A:$A,'RAWDATA Cars Buyers DB'!B:B)="S","Single","Married")</f>
        <v>Married</v>
      </c>
      <c r="C783" s="10" t="str">
        <f>IF(_xlfn.XLOOKUP($A783,'RAWDATA Cars Buyers DB'!$A:$A,'RAWDATA Cars Buyers DB'!C:C)="F","Female","Male")</f>
        <v>Male</v>
      </c>
      <c r="D783" s="7">
        <f>_xlfn.XLOOKUP($A783,'RAWDATA Cars Buyers DB'!$A:$A,'RAWDATA Cars Buyers DB'!D:D)</f>
        <v>61316</v>
      </c>
      <c r="E783" s="8">
        <f>_xlfn.XLOOKUP($A783,'RAWDATA Cars Buyers DB'!$A:$A,'RAWDATA Cars Buyers DB'!E:E)</f>
        <v>0</v>
      </c>
      <c r="F783" s="8" t="str">
        <f>_xlfn.XLOOKUP($A783,'RAWDATA Cars Buyers DB'!$A:$A,'RAWDATA Cars Buyers DB'!F:F)</f>
        <v>High School</v>
      </c>
      <c r="G783" s="8" t="str">
        <f>_xlfn.XLOOKUP($A783,'RAWDATA Cars Buyers DB'!$A:$A,'RAWDATA Cars Buyers DB'!G:G)</f>
        <v>Professional</v>
      </c>
      <c r="H783" s="8" t="str">
        <f>_xlfn.XLOOKUP($A783,'RAWDATA Cars Buyers DB'!$A:$A,'RAWDATA Cars Buyers DB'!H:H)</f>
        <v>No</v>
      </c>
      <c r="I783" s="8" t="str">
        <f>_xlfn.XLOOKUP($A783,'RAWDATA Cars Buyers DB'!$A:$A,'RAWDATA Cars Buyers DB'!I:I)</f>
        <v>2–4 Kilometre</v>
      </c>
      <c r="J783" s="8" t="str">
        <f>_xlfn.XLOOKUP($A783,'RAWDATA Cars Buyers DB'!$A:$A,'RAWDATA Cars Buyers DB'!J:J)</f>
        <v>Bavaria</v>
      </c>
      <c r="K783" s="8">
        <f>_xlfn.XLOOKUP($A783,'RAWDATA Cars Buyers DB'!$A:$A,'RAWDATA Cars Buyers DB'!K:K)</f>
        <v>54</v>
      </c>
      <c r="L783" s="10" t="str">
        <f>IF(_xlfn.XLOOKUP($A783,'RAWDATA Cars Buyers DB'!$A:$A,'RAWDATA Cars Buyers DB'!K:K)&gt;54,"Old ",IF(_xlfn.XLOOKUP($A783,'RAWDATA Cars Buyers DB'!$A:$A,'RAWDATA Cars Buyers DB'!K:K)&gt;=31,"Middle Age ",IF(_xlfn.XLOOKUP($A783,'RAWDATA Cars Buyers DB'!$A:$A,'RAWDATA Cars Buyers DB'!K:K)&lt;31,"Adolescent","Invalid")))</f>
        <v xml:space="preserve">Middle Age </v>
      </c>
      <c r="M783" s="8" t="str">
        <f>_xlfn.XLOOKUP($A783,'RAWDATA Cars Buyers DB'!$A:$A,'RAWDATA Cars Buyers DB'!L:L)</f>
        <v>No</v>
      </c>
    </row>
    <row r="784" spans="1:13">
      <c r="A784" s="6">
        <v>33386</v>
      </c>
      <c r="B784" s="10" t="str">
        <f>IF(_xlfn.XLOOKUP($A784,'RAWDATA Cars Buyers DB'!$A:$A,'RAWDATA Cars Buyers DB'!B:B)="S","Single","Married")</f>
        <v>Single</v>
      </c>
      <c r="C784" s="10" t="str">
        <f>IF(_xlfn.XLOOKUP($A784,'RAWDATA Cars Buyers DB'!$A:$A,'RAWDATA Cars Buyers DB'!C:C)="F","Female","Male")</f>
        <v>Female</v>
      </c>
      <c r="D784" s="7">
        <f>_xlfn.XLOOKUP($A784,'RAWDATA Cars Buyers DB'!$A:$A,'RAWDATA Cars Buyers DB'!D:D)</f>
        <v>83064</v>
      </c>
      <c r="E784" s="8">
        <f>_xlfn.XLOOKUP($A784,'RAWDATA Cars Buyers DB'!$A:$A,'RAWDATA Cars Buyers DB'!E:E)</f>
        <v>3</v>
      </c>
      <c r="F784" s="8" t="str">
        <f>_xlfn.XLOOKUP($A784,'RAWDATA Cars Buyers DB'!$A:$A,'RAWDATA Cars Buyers DB'!F:F)</f>
        <v>Partial College</v>
      </c>
      <c r="G784" s="8" t="str">
        <f>_xlfn.XLOOKUP($A784,'RAWDATA Cars Buyers DB'!$A:$A,'RAWDATA Cars Buyers DB'!G:G)</f>
        <v>Professional</v>
      </c>
      <c r="H784" s="8" t="str">
        <f>_xlfn.XLOOKUP($A784,'RAWDATA Cars Buyers DB'!$A:$A,'RAWDATA Cars Buyers DB'!H:H)</f>
        <v>No</v>
      </c>
      <c r="I784" s="8" t="str">
        <f>_xlfn.XLOOKUP($A784,'RAWDATA Cars Buyers DB'!$A:$A,'RAWDATA Cars Buyers DB'!I:I)</f>
        <v>4–6 Kilometre</v>
      </c>
      <c r="J784" s="8" t="str">
        <f>_xlfn.XLOOKUP($A784,'RAWDATA Cars Buyers DB'!$A:$A,'RAWDATA Cars Buyers DB'!J:J)</f>
        <v>North Rhine-Westphalia</v>
      </c>
      <c r="K784" s="8">
        <f>_xlfn.XLOOKUP($A784,'RAWDATA Cars Buyers DB'!$A:$A,'RAWDATA Cars Buyers DB'!K:K)</f>
        <v>34</v>
      </c>
      <c r="L784" s="10" t="str">
        <f>IF(_xlfn.XLOOKUP($A784,'RAWDATA Cars Buyers DB'!$A:$A,'RAWDATA Cars Buyers DB'!K:K)&gt;54,"Old ",IF(_xlfn.XLOOKUP($A784,'RAWDATA Cars Buyers DB'!$A:$A,'RAWDATA Cars Buyers DB'!K:K)&gt;=31,"Middle Age ",IF(_xlfn.XLOOKUP($A784,'RAWDATA Cars Buyers DB'!$A:$A,'RAWDATA Cars Buyers DB'!K:K)&lt;31,"Adolescent","Invalid")))</f>
        <v xml:space="preserve">Middle Age </v>
      </c>
      <c r="M784" s="8" t="str">
        <f>_xlfn.XLOOKUP($A784,'RAWDATA Cars Buyers DB'!$A:$A,'RAWDATA Cars Buyers DB'!L:L)</f>
        <v>Yes</v>
      </c>
    </row>
    <row r="785" spans="1:13">
      <c r="A785" s="6">
        <v>71886</v>
      </c>
      <c r="B785" s="10" t="str">
        <f>IF(_xlfn.XLOOKUP($A785,'RAWDATA Cars Buyers DB'!$A:$A,'RAWDATA Cars Buyers DB'!B:B)="S","Single","Married")</f>
        <v>Married</v>
      </c>
      <c r="C785" s="10" t="str">
        <f>IF(_xlfn.XLOOKUP($A785,'RAWDATA Cars Buyers DB'!$A:$A,'RAWDATA Cars Buyers DB'!C:C)="F","Female","Male")</f>
        <v>Male</v>
      </c>
      <c r="D785" s="7">
        <f>_xlfn.XLOOKUP($A785,'RAWDATA Cars Buyers DB'!$A:$A,'RAWDATA Cars Buyers DB'!D:D)</f>
        <v>83761</v>
      </c>
      <c r="E785" s="8">
        <f>_xlfn.XLOOKUP($A785,'RAWDATA Cars Buyers DB'!$A:$A,'RAWDATA Cars Buyers DB'!E:E)</f>
        <v>0</v>
      </c>
      <c r="F785" s="8" t="str">
        <f>_xlfn.XLOOKUP($A785,'RAWDATA Cars Buyers DB'!$A:$A,'RAWDATA Cars Buyers DB'!F:F)</f>
        <v>High School</v>
      </c>
      <c r="G785" s="8" t="str">
        <f>_xlfn.XLOOKUP($A785,'RAWDATA Cars Buyers DB'!$A:$A,'RAWDATA Cars Buyers DB'!G:G)</f>
        <v>Management</v>
      </c>
      <c r="H785" s="8" t="str">
        <f>_xlfn.XLOOKUP($A785,'RAWDATA Cars Buyers DB'!$A:$A,'RAWDATA Cars Buyers DB'!H:H)</f>
        <v>No</v>
      </c>
      <c r="I785" s="8" t="str">
        <f>_xlfn.XLOOKUP($A785,'RAWDATA Cars Buyers DB'!$A:$A,'RAWDATA Cars Buyers DB'!I:I)</f>
        <v>1–2 Kilometre</v>
      </c>
      <c r="J785" s="8" t="str">
        <f>_xlfn.XLOOKUP($A785,'RAWDATA Cars Buyers DB'!$A:$A,'RAWDATA Cars Buyers DB'!J:J)</f>
        <v>Baden-Württemberg</v>
      </c>
      <c r="K785" s="8">
        <f>_xlfn.XLOOKUP($A785,'RAWDATA Cars Buyers DB'!$A:$A,'RAWDATA Cars Buyers DB'!K:K)</f>
        <v>59</v>
      </c>
      <c r="L785" s="10" t="str">
        <f>IF(_xlfn.XLOOKUP($A785,'RAWDATA Cars Buyers DB'!$A:$A,'RAWDATA Cars Buyers DB'!K:K)&gt;54,"Old ",IF(_xlfn.XLOOKUP($A785,'RAWDATA Cars Buyers DB'!$A:$A,'RAWDATA Cars Buyers DB'!K:K)&gt;=31,"Middle Age ",IF(_xlfn.XLOOKUP($A785,'RAWDATA Cars Buyers DB'!$A:$A,'RAWDATA Cars Buyers DB'!K:K)&lt;31,"Adolescent","Invalid")))</f>
        <v xml:space="preserve">Old </v>
      </c>
      <c r="M785" s="8" t="str">
        <f>_xlfn.XLOOKUP($A785,'RAWDATA Cars Buyers DB'!$A:$A,'RAWDATA Cars Buyers DB'!L:L)</f>
        <v>No</v>
      </c>
    </row>
    <row r="786" spans="1:13">
      <c r="A786" s="6">
        <v>85745</v>
      </c>
      <c r="B786" s="10" t="str">
        <f>IF(_xlfn.XLOOKUP($A786,'RAWDATA Cars Buyers DB'!$A:$A,'RAWDATA Cars Buyers DB'!B:B)="S","Single","Married")</f>
        <v>Single</v>
      </c>
      <c r="C786" s="10" t="str">
        <f>IF(_xlfn.XLOOKUP($A786,'RAWDATA Cars Buyers DB'!$A:$A,'RAWDATA Cars Buyers DB'!C:C)="F","Female","Male")</f>
        <v>Male</v>
      </c>
      <c r="D786" s="7">
        <f>_xlfn.XLOOKUP($A786,'RAWDATA Cars Buyers DB'!$A:$A,'RAWDATA Cars Buyers DB'!D:D)</f>
        <v>58870</v>
      </c>
      <c r="E786" s="8">
        <f>_xlfn.XLOOKUP($A786,'RAWDATA Cars Buyers DB'!$A:$A,'RAWDATA Cars Buyers DB'!E:E)</f>
        <v>3</v>
      </c>
      <c r="F786" s="8" t="str">
        <f>_xlfn.XLOOKUP($A786,'RAWDATA Cars Buyers DB'!$A:$A,'RAWDATA Cars Buyers DB'!F:F)</f>
        <v>Partial College</v>
      </c>
      <c r="G786" s="8" t="str">
        <f>_xlfn.XLOOKUP($A786,'RAWDATA Cars Buyers DB'!$A:$A,'RAWDATA Cars Buyers DB'!G:G)</f>
        <v>Professional</v>
      </c>
      <c r="H786" s="8" t="str">
        <f>_xlfn.XLOOKUP($A786,'RAWDATA Cars Buyers DB'!$A:$A,'RAWDATA Cars Buyers DB'!H:H)</f>
        <v>Yes</v>
      </c>
      <c r="I786" s="8" t="str">
        <f>_xlfn.XLOOKUP($A786,'RAWDATA Cars Buyers DB'!$A:$A,'RAWDATA Cars Buyers DB'!I:I)</f>
        <v>4–6 Kilometre</v>
      </c>
      <c r="J786" s="8" t="str">
        <f>_xlfn.XLOOKUP($A786,'RAWDATA Cars Buyers DB'!$A:$A,'RAWDATA Cars Buyers DB'!J:J)</f>
        <v>Mecklenburg-Vorpommern</v>
      </c>
      <c r="K786" s="8">
        <f>_xlfn.XLOOKUP($A786,'RAWDATA Cars Buyers DB'!$A:$A,'RAWDATA Cars Buyers DB'!K:K)</f>
        <v>22</v>
      </c>
      <c r="L786" s="10" t="str">
        <f>IF(_xlfn.XLOOKUP($A786,'RAWDATA Cars Buyers DB'!$A:$A,'RAWDATA Cars Buyers DB'!K:K)&gt;54,"Old ",IF(_xlfn.XLOOKUP($A786,'RAWDATA Cars Buyers DB'!$A:$A,'RAWDATA Cars Buyers DB'!K:K)&gt;=31,"Middle Age ",IF(_xlfn.XLOOKUP($A786,'RAWDATA Cars Buyers DB'!$A:$A,'RAWDATA Cars Buyers DB'!K:K)&lt;31,"Adolescent","Invalid")))</f>
        <v>Adolescent</v>
      </c>
      <c r="M786" s="8" t="str">
        <f>_xlfn.XLOOKUP($A786,'RAWDATA Cars Buyers DB'!$A:$A,'RAWDATA Cars Buyers DB'!L:L)</f>
        <v>No</v>
      </c>
    </row>
    <row r="787" spans="1:13">
      <c r="A787" s="6">
        <v>93251</v>
      </c>
      <c r="B787" s="10" t="str">
        <f>IF(_xlfn.XLOOKUP($A787,'RAWDATA Cars Buyers DB'!$A:$A,'RAWDATA Cars Buyers DB'!B:B)="S","Single","Married")</f>
        <v>Single</v>
      </c>
      <c r="C787" s="10" t="str">
        <f>IF(_xlfn.XLOOKUP($A787,'RAWDATA Cars Buyers DB'!$A:$A,'RAWDATA Cars Buyers DB'!C:C)="F","Female","Male")</f>
        <v>Male</v>
      </c>
      <c r="D787" s="7">
        <f>_xlfn.XLOOKUP($A787,'RAWDATA Cars Buyers DB'!$A:$A,'RAWDATA Cars Buyers DB'!D:D)</f>
        <v>116566</v>
      </c>
      <c r="E787" s="8">
        <f>_xlfn.XLOOKUP($A787,'RAWDATA Cars Buyers DB'!$A:$A,'RAWDATA Cars Buyers DB'!E:E)</f>
        <v>5</v>
      </c>
      <c r="F787" s="8" t="str">
        <f>_xlfn.XLOOKUP($A787,'RAWDATA Cars Buyers DB'!$A:$A,'RAWDATA Cars Buyers DB'!F:F)</f>
        <v>Bachelors</v>
      </c>
      <c r="G787" s="8" t="str">
        <f>_xlfn.XLOOKUP($A787,'RAWDATA Cars Buyers DB'!$A:$A,'RAWDATA Cars Buyers DB'!G:G)</f>
        <v>Management</v>
      </c>
      <c r="H787" s="8" t="str">
        <f>_xlfn.XLOOKUP($A787,'RAWDATA Cars Buyers DB'!$A:$A,'RAWDATA Cars Buyers DB'!H:H)</f>
        <v>No</v>
      </c>
      <c r="I787" s="8" t="str">
        <f>_xlfn.XLOOKUP($A787,'RAWDATA Cars Buyers DB'!$A:$A,'RAWDATA Cars Buyers DB'!I:I)</f>
        <v>0–1 Kilometre</v>
      </c>
      <c r="J787" s="8" t="str">
        <f>_xlfn.XLOOKUP($A787,'RAWDATA Cars Buyers DB'!$A:$A,'RAWDATA Cars Buyers DB'!J:J)</f>
        <v>Thuringia</v>
      </c>
      <c r="K787" s="8">
        <f>_xlfn.XLOOKUP($A787,'RAWDATA Cars Buyers DB'!$A:$A,'RAWDATA Cars Buyers DB'!K:K)</f>
        <v>48</v>
      </c>
      <c r="L787" s="10" t="str">
        <f>IF(_xlfn.XLOOKUP($A787,'RAWDATA Cars Buyers DB'!$A:$A,'RAWDATA Cars Buyers DB'!K:K)&gt;54,"Old ",IF(_xlfn.XLOOKUP($A787,'RAWDATA Cars Buyers DB'!$A:$A,'RAWDATA Cars Buyers DB'!K:K)&gt;=31,"Middle Age ",IF(_xlfn.XLOOKUP($A787,'RAWDATA Cars Buyers DB'!$A:$A,'RAWDATA Cars Buyers DB'!K:K)&lt;31,"Adolescent","Invalid")))</f>
        <v xml:space="preserve">Middle Age </v>
      </c>
      <c r="M787" s="8" t="str">
        <f>_xlfn.XLOOKUP($A787,'RAWDATA Cars Buyers DB'!$A:$A,'RAWDATA Cars Buyers DB'!L:L)</f>
        <v>No</v>
      </c>
    </row>
    <row r="788" spans="1:13">
      <c r="A788" s="6">
        <v>63413</v>
      </c>
      <c r="B788" s="10" t="str">
        <f>IF(_xlfn.XLOOKUP($A788,'RAWDATA Cars Buyers DB'!$A:$A,'RAWDATA Cars Buyers DB'!B:B)="S","Single","Married")</f>
        <v>Married</v>
      </c>
      <c r="C788" s="10" t="str">
        <f>IF(_xlfn.XLOOKUP($A788,'RAWDATA Cars Buyers DB'!$A:$A,'RAWDATA Cars Buyers DB'!C:C)="F","Female","Male")</f>
        <v>Male</v>
      </c>
      <c r="D788" s="7">
        <f>_xlfn.XLOOKUP($A788,'RAWDATA Cars Buyers DB'!$A:$A,'RAWDATA Cars Buyers DB'!D:D)</f>
        <v>50873</v>
      </c>
      <c r="E788" s="8">
        <f>_xlfn.XLOOKUP($A788,'RAWDATA Cars Buyers DB'!$A:$A,'RAWDATA Cars Buyers DB'!E:E)</f>
        <v>5</v>
      </c>
      <c r="F788" s="8" t="str">
        <f>_xlfn.XLOOKUP($A788,'RAWDATA Cars Buyers DB'!$A:$A,'RAWDATA Cars Buyers DB'!F:F)</f>
        <v>Bachelors</v>
      </c>
      <c r="G788" s="8" t="str">
        <f>_xlfn.XLOOKUP($A788,'RAWDATA Cars Buyers DB'!$A:$A,'RAWDATA Cars Buyers DB'!G:G)</f>
        <v>Clerical</v>
      </c>
      <c r="H788" s="8" t="str">
        <f>_xlfn.XLOOKUP($A788,'RAWDATA Cars Buyers DB'!$A:$A,'RAWDATA Cars Buyers DB'!H:H)</f>
        <v>No</v>
      </c>
      <c r="I788" s="8" t="str">
        <f>_xlfn.XLOOKUP($A788,'RAWDATA Cars Buyers DB'!$A:$A,'RAWDATA Cars Buyers DB'!I:I)</f>
        <v>0–1 Kilometre</v>
      </c>
      <c r="J788" s="8" t="str">
        <f>_xlfn.XLOOKUP($A788,'RAWDATA Cars Buyers DB'!$A:$A,'RAWDATA Cars Buyers DB'!J:J)</f>
        <v>Saxony-Anhalt</v>
      </c>
      <c r="K788" s="8">
        <f>_xlfn.XLOOKUP($A788,'RAWDATA Cars Buyers DB'!$A:$A,'RAWDATA Cars Buyers DB'!K:K)</f>
        <v>49</v>
      </c>
      <c r="L788" s="10" t="str">
        <f>IF(_xlfn.XLOOKUP($A788,'RAWDATA Cars Buyers DB'!$A:$A,'RAWDATA Cars Buyers DB'!K:K)&gt;54,"Old ",IF(_xlfn.XLOOKUP($A788,'RAWDATA Cars Buyers DB'!$A:$A,'RAWDATA Cars Buyers DB'!K:K)&gt;=31,"Middle Age ",IF(_xlfn.XLOOKUP($A788,'RAWDATA Cars Buyers DB'!$A:$A,'RAWDATA Cars Buyers DB'!K:K)&lt;31,"Adolescent","Invalid")))</f>
        <v xml:space="preserve">Middle Age </v>
      </c>
      <c r="M788" s="8" t="str">
        <f>_xlfn.XLOOKUP($A788,'RAWDATA Cars Buyers DB'!$A:$A,'RAWDATA Cars Buyers DB'!L:L)</f>
        <v>No</v>
      </c>
    </row>
    <row r="789" spans="1:13">
      <c r="A789" s="6">
        <v>66800</v>
      </c>
      <c r="B789" s="10" t="str">
        <f>IF(_xlfn.XLOOKUP($A789,'RAWDATA Cars Buyers DB'!$A:$A,'RAWDATA Cars Buyers DB'!B:B)="S","Single","Married")</f>
        <v>Married</v>
      </c>
      <c r="C789" s="10" t="str">
        <f>IF(_xlfn.XLOOKUP($A789,'RAWDATA Cars Buyers DB'!$A:$A,'RAWDATA Cars Buyers DB'!C:C)="F","Female","Male")</f>
        <v>Female</v>
      </c>
      <c r="D789" s="7">
        <f>_xlfn.XLOOKUP($A789,'RAWDATA Cars Buyers DB'!$A:$A,'RAWDATA Cars Buyers DB'!D:D)</f>
        <v>78627</v>
      </c>
      <c r="E789" s="8">
        <f>_xlfn.XLOOKUP($A789,'RAWDATA Cars Buyers DB'!$A:$A,'RAWDATA Cars Buyers DB'!E:E)</f>
        <v>1</v>
      </c>
      <c r="F789" s="8" t="str">
        <f>_xlfn.XLOOKUP($A789,'RAWDATA Cars Buyers DB'!$A:$A,'RAWDATA Cars Buyers DB'!F:F)</f>
        <v>Graduate Degree</v>
      </c>
      <c r="G789" s="8" t="str">
        <f>_xlfn.XLOOKUP($A789,'RAWDATA Cars Buyers DB'!$A:$A,'RAWDATA Cars Buyers DB'!G:G)</f>
        <v>Clerical</v>
      </c>
      <c r="H789" s="8" t="str">
        <f>_xlfn.XLOOKUP($A789,'RAWDATA Cars Buyers DB'!$A:$A,'RAWDATA Cars Buyers DB'!H:H)</f>
        <v>Yes</v>
      </c>
      <c r="I789" s="8" t="str">
        <f>_xlfn.XLOOKUP($A789,'RAWDATA Cars Buyers DB'!$A:$A,'RAWDATA Cars Buyers DB'!I:I)</f>
        <v>4–6 Kilometre</v>
      </c>
      <c r="J789" s="8" t="str">
        <f>_xlfn.XLOOKUP($A789,'RAWDATA Cars Buyers DB'!$A:$A,'RAWDATA Cars Buyers DB'!J:J)</f>
        <v>Lower Saxony</v>
      </c>
      <c r="K789" s="8">
        <f>_xlfn.XLOOKUP($A789,'RAWDATA Cars Buyers DB'!$A:$A,'RAWDATA Cars Buyers DB'!K:K)</f>
        <v>58</v>
      </c>
      <c r="L789" s="10" t="str">
        <f>IF(_xlfn.XLOOKUP($A789,'RAWDATA Cars Buyers DB'!$A:$A,'RAWDATA Cars Buyers DB'!K:K)&gt;54,"Old ",IF(_xlfn.XLOOKUP($A789,'RAWDATA Cars Buyers DB'!$A:$A,'RAWDATA Cars Buyers DB'!K:K)&gt;=31,"Middle Age ",IF(_xlfn.XLOOKUP($A789,'RAWDATA Cars Buyers DB'!$A:$A,'RAWDATA Cars Buyers DB'!K:K)&lt;31,"Adolescent","Invalid")))</f>
        <v xml:space="preserve">Old </v>
      </c>
      <c r="M789" s="8" t="str">
        <f>_xlfn.XLOOKUP($A789,'RAWDATA Cars Buyers DB'!$A:$A,'RAWDATA Cars Buyers DB'!L:L)</f>
        <v>No</v>
      </c>
    </row>
    <row r="790" spans="1:13">
      <c r="A790" s="6">
        <v>52318</v>
      </c>
      <c r="B790" s="10" t="str">
        <f>IF(_xlfn.XLOOKUP($A790,'RAWDATA Cars Buyers DB'!$A:$A,'RAWDATA Cars Buyers DB'!B:B)="S","Single","Married")</f>
        <v>Single</v>
      </c>
      <c r="C790" s="10" t="str">
        <f>IF(_xlfn.XLOOKUP($A790,'RAWDATA Cars Buyers DB'!$A:$A,'RAWDATA Cars Buyers DB'!C:C)="F","Female","Male")</f>
        <v>Male</v>
      </c>
      <c r="D790" s="7">
        <f>_xlfn.XLOOKUP($A790,'RAWDATA Cars Buyers DB'!$A:$A,'RAWDATA Cars Buyers DB'!D:D)</f>
        <v>86155</v>
      </c>
      <c r="E790" s="8">
        <f>_xlfn.XLOOKUP($A790,'RAWDATA Cars Buyers DB'!$A:$A,'RAWDATA Cars Buyers DB'!E:E)</f>
        <v>0</v>
      </c>
      <c r="F790" s="8" t="str">
        <f>_xlfn.XLOOKUP($A790,'RAWDATA Cars Buyers DB'!$A:$A,'RAWDATA Cars Buyers DB'!F:F)</f>
        <v>Bachelors</v>
      </c>
      <c r="G790" s="8" t="str">
        <f>_xlfn.XLOOKUP($A790,'RAWDATA Cars Buyers DB'!$A:$A,'RAWDATA Cars Buyers DB'!G:G)</f>
        <v>Clerical</v>
      </c>
      <c r="H790" s="8" t="str">
        <f>_xlfn.XLOOKUP($A790,'RAWDATA Cars Buyers DB'!$A:$A,'RAWDATA Cars Buyers DB'!H:H)</f>
        <v>Yes</v>
      </c>
      <c r="I790" s="8" t="str">
        <f>_xlfn.XLOOKUP($A790,'RAWDATA Cars Buyers DB'!$A:$A,'RAWDATA Cars Buyers DB'!I:I)</f>
        <v>6+ Kilometre</v>
      </c>
      <c r="J790" s="8" t="str">
        <f>_xlfn.XLOOKUP($A790,'RAWDATA Cars Buyers DB'!$A:$A,'RAWDATA Cars Buyers DB'!J:J)</f>
        <v>Bavaria</v>
      </c>
      <c r="K790" s="8">
        <f>_xlfn.XLOOKUP($A790,'RAWDATA Cars Buyers DB'!$A:$A,'RAWDATA Cars Buyers DB'!K:K)</f>
        <v>37</v>
      </c>
      <c r="L790" s="10" t="str">
        <f>IF(_xlfn.XLOOKUP($A790,'RAWDATA Cars Buyers DB'!$A:$A,'RAWDATA Cars Buyers DB'!K:K)&gt;54,"Old ",IF(_xlfn.XLOOKUP($A790,'RAWDATA Cars Buyers DB'!$A:$A,'RAWDATA Cars Buyers DB'!K:K)&gt;=31,"Middle Age ",IF(_xlfn.XLOOKUP($A790,'RAWDATA Cars Buyers DB'!$A:$A,'RAWDATA Cars Buyers DB'!K:K)&lt;31,"Adolescent","Invalid")))</f>
        <v xml:space="preserve">Middle Age </v>
      </c>
      <c r="M790" s="8" t="str">
        <f>_xlfn.XLOOKUP($A790,'RAWDATA Cars Buyers DB'!$A:$A,'RAWDATA Cars Buyers DB'!L:L)</f>
        <v>No</v>
      </c>
    </row>
    <row r="791" spans="1:13">
      <c r="A791" s="6">
        <v>80173</v>
      </c>
      <c r="B791" s="10" t="str">
        <f>IF(_xlfn.XLOOKUP($A791,'RAWDATA Cars Buyers DB'!$A:$A,'RAWDATA Cars Buyers DB'!B:B)="S","Single","Married")</f>
        <v>Single</v>
      </c>
      <c r="C791" s="10" t="str">
        <f>IF(_xlfn.XLOOKUP($A791,'RAWDATA Cars Buyers DB'!$A:$A,'RAWDATA Cars Buyers DB'!C:C)="F","Female","Male")</f>
        <v>Female</v>
      </c>
      <c r="D791" s="7">
        <f>_xlfn.XLOOKUP($A791,'RAWDATA Cars Buyers DB'!$A:$A,'RAWDATA Cars Buyers DB'!D:D)</f>
        <v>119186</v>
      </c>
      <c r="E791" s="8">
        <f>_xlfn.XLOOKUP($A791,'RAWDATA Cars Buyers DB'!$A:$A,'RAWDATA Cars Buyers DB'!E:E)</f>
        <v>4</v>
      </c>
      <c r="F791" s="8" t="str">
        <f>_xlfn.XLOOKUP($A791,'RAWDATA Cars Buyers DB'!$A:$A,'RAWDATA Cars Buyers DB'!F:F)</f>
        <v>Partial College</v>
      </c>
      <c r="G791" s="8" t="str">
        <f>_xlfn.XLOOKUP($A791,'RAWDATA Cars Buyers DB'!$A:$A,'RAWDATA Cars Buyers DB'!G:G)</f>
        <v>Skilled Manual</v>
      </c>
      <c r="H791" s="8" t="str">
        <f>_xlfn.XLOOKUP($A791,'RAWDATA Cars Buyers DB'!$A:$A,'RAWDATA Cars Buyers DB'!H:H)</f>
        <v>Yes</v>
      </c>
      <c r="I791" s="8" t="str">
        <f>_xlfn.XLOOKUP($A791,'RAWDATA Cars Buyers DB'!$A:$A,'RAWDATA Cars Buyers DB'!I:I)</f>
        <v>0–1 Kilometre</v>
      </c>
      <c r="J791" s="8" t="str">
        <f>_xlfn.XLOOKUP($A791,'RAWDATA Cars Buyers DB'!$A:$A,'RAWDATA Cars Buyers DB'!J:J)</f>
        <v>Baden-Württemberg</v>
      </c>
      <c r="K791" s="8">
        <f>_xlfn.XLOOKUP($A791,'RAWDATA Cars Buyers DB'!$A:$A,'RAWDATA Cars Buyers DB'!K:K)</f>
        <v>30</v>
      </c>
      <c r="L791" s="10" t="str">
        <f>IF(_xlfn.XLOOKUP($A791,'RAWDATA Cars Buyers DB'!$A:$A,'RAWDATA Cars Buyers DB'!K:K)&gt;54,"Old ",IF(_xlfn.XLOOKUP($A791,'RAWDATA Cars Buyers DB'!$A:$A,'RAWDATA Cars Buyers DB'!K:K)&gt;=31,"Middle Age ",IF(_xlfn.XLOOKUP($A791,'RAWDATA Cars Buyers DB'!$A:$A,'RAWDATA Cars Buyers DB'!K:K)&lt;31,"Adolescent","Invalid")))</f>
        <v>Adolescent</v>
      </c>
      <c r="M791" s="8" t="str">
        <f>_xlfn.XLOOKUP($A791,'RAWDATA Cars Buyers DB'!$A:$A,'RAWDATA Cars Buyers DB'!L:L)</f>
        <v>Yes</v>
      </c>
    </row>
    <row r="792" spans="1:13">
      <c r="A792" s="6">
        <v>80390</v>
      </c>
      <c r="B792" s="10" t="str">
        <f>IF(_xlfn.XLOOKUP($A792,'RAWDATA Cars Buyers DB'!$A:$A,'RAWDATA Cars Buyers DB'!B:B)="S","Single","Married")</f>
        <v>Married</v>
      </c>
      <c r="C792" s="10" t="str">
        <f>IF(_xlfn.XLOOKUP($A792,'RAWDATA Cars Buyers DB'!$A:$A,'RAWDATA Cars Buyers DB'!C:C)="F","Female","Male")</f>
        <v>Female</v>
      </c>
      <c r="D792" s="7">
        <f>_xlfn.XLOOKUP($A792,'RAWDATA Cars Buyers DB'!$A:$A,'RAWDATA Cars Buyers DB'!D:D)</f>
        <v>45372</v>
      </c>
      <c r="E792" s="8">
        <f>_xlfn.XLOOKUP($A792,'RAWDATA Cars Buyers DB'!$A:$A,'RAWDATA Cars Buyers DB'!E:E)</f>
        <v>5</v>
      </c>
      <c r="F792" s="8" t="str">
        <f>_xlfn.XLOOKUP($A792,'RAWDATA Cars Buyers DB'!$A:$A,'RAWDATA Cars Buyers DB'!F:F)</f>
        <v>Partial College</v>
      </c>
      <c r="G792" s="8" t="str">
        <f>_xlfn.XLOOKUP($A792,'RAWDATA Cars Buyers DB'!$A:$A,'RAWDATA Cars Buyers DB'!G:G)</f>
        <v>Management</v>
      </c>
      <c r="H792" s="8" t="str">
        <f>_xlfn.XLOOKUP($A792,'RAWDATA Cars Buyers DB'!$A:$A,'RAWDATA Cars Buyers DB'!H:H)</f>
        <v>Yes</v>
      </c>
      <c r="I792" s="8" t="str">
        <f>_xlfn.XLOOKUP($A792,'RAWDATA Cars Buyers DB'!$A:$A,'RAWDATA Cars Buyers DB'!I:I)</f>
        <v>0–1 Kilometre</v>
      </c>
      <c r="J792" s="8" t="str">
        <f>_xlfn.XLOOKUP($A792,'RAWDATA Cars Buyers DB'!$A:$A,'RAWDATA Cars Buyers DB'!J:J)</f>
        <v>Schleswig-Holstein</v>
      </c>
      <c r="K792" s="8">
        <f>_xlfn.XLOOKUP($A792,'RAWDATA Cars Buyers DB'!$A:$A,'RAWDATA Cars Buyers DB'!K:K)</f>
        <v>62</v>
      </c>
      <c r="L792" s="10" t="str">
        <f>IF(_xlfn.XLOOKUP($A792,'RAWDATA Cars Buyers DB'!$A:$A,'RAWDATA Cars Buyers DB'!K:K)&gt;54,"Old ",IF(_xlfn.XLOOKUP($A792,'RAWDATA Cars Buyers DB'!$A:$A,'RAWDATA Cars Buyers DB'!K:K)&gt;=31,"Middle Age ",IF(_xlfn.XLOOKUP($A792,'RAWDATA Cars Buyers DB'!$A:$A,'RAWDATA Cars Buyers DB'!K:K)&lt;31,"Adolescent","Invalid")))</f>
        <v xml:space="preserve">Old </v>
      </c>
      <c r="M792" s="8" t="str">
        <f>_xlfn.XLOOKUP($A792,'RAWDATA Cars Buyers DB'!$A:$A,'RAWDATA Cars Buyers DB'!L:L)</f>
        <v>Yes</v>
      </c>
    </row>
    <row r="793" spans="1:13">
      <c r="A793" s="6">
        <v>62329</v>
      </c>
      <c r="B793" s="10" t="str">
        <f>IF(_xlfn.XLOOKUP($A793,'RAWDATA Cars Buyers DB'!$A:$A,'RAWDATA Cars Buyers DB'!B:B)="S","Single","Married")</f>
        <v>Married</v>
      </c>
      <c r="C793" s="10" t="str">
        <f>IF(_xlfn.XLOOKUP($A793,'RAWDATA Cars Buyers DB'!$A:$A,'RAWDATA Cars Buyers DB'!C:C)="F","Female","Male")</f>
        <v>Female</v>
      </c>
      <c r="D793" s="7">
        <f>_xlfn.XLOOKUP($A793,'RAWDATA Cars Buyers DB'!$A:$A,'RAWDATA Cars Buyers DB'!D:D)</f>
        <v>23642</v>
      </c>
      <c r="E793" s="8">
        <f>_xlfn.XLOOKUP($A793,'RAWDATA Cars Buyers DB'!$A:$A,'RAWDATA Cars Buyers DB'!E:E)</f>
        <v>5</v>
      </c>
      <c r="F793" s="8" t="str">
        <f>_xlfn.XLOOKUP($A793,'RAWDATA Cars Buyers DB'!$A:$A,'RAWDATA Cars Buyers DB'!F:F)</f>
        <v>Bachelors</v>
      </c>
      <c r="G793" s="8" t="str">
        <f>_xlfn.XLOOKUP($A793,'RAWDATA Cars Buyers DB'!$A:$A,'RAWDATA Cars Buyers DB'!G:G)</f>
        <v>Clerical</v>
      </c>
      <c r="H793" s="8" t="str">
        <f>_xlfn.XLOOKUP($A793,'RAWDATA Cars Buyers DB'!$A:$A,'RAWDATA Cars Buyers DB'!H:H)</f>
        <v>No</v>
      </c>
      <c r="I793" s="8" t="str">
        <f>_xlfn.XLOOKUP($A793,'RAWDATA Cars Buyers DB'!$A:$A,'RAWDATA Cars Buyers DB'!I:I)</f>
        <v>4–6 Kilometre</v>
      </c>
      <c r="J793" s="8" t="str">
        <f>_xlfn.XLOOKUP($A793,'RAWDATA Cars Buyers DB'!$A:$A,'RAWDATA Cars Buyers DB'!J:J)</f>
        <v>Rhineland-Palatinate</v>
      </c>
      <c r="K793" s="8">
        <f>_xlfn.XLOOKUP($A793,'RAWDATA Cars Buyers DB'!$A:$A,'RAWDATA Cars Buyers DB'!K:K)</f>
        <v>68</v>
      </c>
      <c r="L793" s="10" t="str">
        <f>IF(_xlfn.XLOOKUP($A793,'RAWDATA Cars Buyers DB'!$A:$A,'RAWDATA Cars Buyers DB'!K:K)&gt;54,"Old ",IF(_xlfn.XLOOKUP($A793,'RAWDATA Cars Buyers DB'!$A:$A,'RAWDATA Cars Buyers DB'!K:K)&gt;=31,"Middle Age ",IF(_xlfn.XLOOKUP($A793,'RAWDATA Cars Buyers DB'!$A:$A,'RAWDATA Cars Buyers DB'!K:K)&lt;31,"Adolescent","Invalid")))</f>
        <v xml:space="preserve">Old </v>
      </c>
      <c r="M793" s="8" t="str">
        <f>_xlfn.XLOOKUP($A793,'RAWDATA Cars Buyers DB'!$A:$A,'RAWDATA Cars Buyers DB'!L:L)</f>
        <v>Yes</v>
      </c>
    </row>
    <row r="794" spans="1:13">
      <c r="A794" s="6">
        <v>53088</v>
      </c>
      <c r="B794" s="10" t="str">
        <f>IF(_xlfn.XLOOKUP($A794,'RAWDATA Cars Buyers DB'!$A:$A,'RAWDATA Cars Buyers DB'!B:B)="S","Single","Married")</f>
        <v>Single</v>
      </c>
      <c r="C794" s="10" t="str">
        <f>IF(_xlfn.XLOOKUP($A794,'RAWDATA Cars Buyers DB'!$A:$A,'RAWDATA Cars Buyers DB'!C:C)="F","Female","Male")</f>
        <v>Male</v>
      </c>
      <c r="D794" s="7">
        <f>_xlfn.XLOOKUP($A794,'RAWDATA Cars Buyers DB'!$A:$A,'RAWDATA Cars Buyers DB'!D:D)</f>
        <v>48001</v>
      </c>
      <c r="E794" s="8">
        <f>_xlfn.XLOOKUP($A794,'RAWDATA Cars Buyers DB'!$A:$A,'RAWDATA Cars Buyers DB'!E:E)</f>
        <v>1</v>
      </c>
      <c r="F794" s="8" t="str">
        <f>_xlfn.XLOOKUP($A794,'RAWDATA Cars Buyers DB'!$A:$A,'RAWDATA Cars Buyers DB'!F:F)</f>
        <v>Graduate Degree</v>
      </c>
      <c r="G794" s="8" t="str">
        <f>_xlfn.XLOOKUP($A794,'RAWDATA Cars Buyers DB'!$A:$A,'RAWDATA Cars Buyers DB'!G:G)</f>
        <v>Management</v>
      </c>
      <c r="H794" s="8" t="str">
        <f>_xlfn.XLOOKUP($A794,'RAWDATA Cars Buyers DB'!$A:$A,'RAWDATA Cars Buyers DB'!H:H)</f>
        <v>No</v>
      </c>
      <c r="I794" s="8" t="str">
        <f>_xlfn.XLOOKUP($A794,'RAWDATA Cars Buyers DB'!$A:$A,'RAWDATA Cars Buyers DB'!I:I)</f>
        <v>0–1 Kilometre</v>
      </c>
      <c r="J794" s="8" t="str">
        <f>_xlfn.XLOOKUP($A794,'RAWDATA Cars Buyers DB'!$A:$A,'RAWDATA Cars Buyers DB'!J:J)</f>
        <v>Saxony</v>
      </c>
      <c r="K794" s="8">
        <f>_xlfn.XLOOKUP($A794,'RAWDATA Cars Buyers DB'!$A:$A,'RAWDATA Cars Buyers DB'!K:K)</f>
        <v>57</v>
      </c>
      <c r="L794" s="10" t="str">
        <f>IF(_xlfn.XLOOKUP($A794,'RAWDATA Cars Buyers DB'!$A:$A,'RAWDATA Cars Buyers DB'!K:K)&gt;54,"Old ",IF(_xlfn.XLOOKUP($A794,'RAWDATA Cars Buyers DB'!$A:$A,'RAWDATA Cars Buyers DB'!K:K)&gt;=31,"Middle Age ",IF(_xlfn.XLOOKUP($A794,'RAWDATA Cars Buyers DB'!$A:$A,'RAWDATA Cars Buyers DB'!K:K)&lt;31,"Adolescent","Invalid")))</f>
        <v xml:space="preserve">Old </v>
      </c>
      <c r="M794" s="8" t="str">
        <f>_xlfn.XLOOKUP($A794,'RAWDATA Cars Buyers DB'!$A:$A,'RAWDATA Cars Buyers DB'!L:L)</f>
        <v>Yes</v>
      </c>
    </row>
    <row r="795" spans="1:13">
      <c r="A795" s="6">
        <v>49811</v>
      </c>
      <c r="B795" s="10" t="str">
        <f>IF(_xlfn.XLOOKUP($A795,'RAWDATA Cars Buyers DB'!$A:$A,'RAWDATA Cars Buyers DB'!B:B)="S","Single","Married")</f>
        <v>Married</v>
      </c>
      <c r="C795" s="10" t="str">
        <f>IF(_xlfn.XLOOKUP($A795,'RAWDATA Cars Buyers DB'!$A:$A,'RAWDATA Cars Buyers DB'!C:C)="F","Female","Male")</f>
        <v>Female</v>
      </c>
      <c r="D795" s="7">
        <f>_xlfn.XLOOKUP($A795,'RAWDATA Cars Buyers DB'!$A:$A,'RAWDATA Cars Buyers DB'!D:D)</f>
        <v>54064</v>
      </c>
      <c r="E795" s="8">
        <f>_xlfn.XLOOKUP($A795,'RAWDATA Cars Buyers DB'!$A:$A,'RAWDATA Cars Buyers DB'!E:E)</f>
        <v>3</v>
      </c>
      <c r="F795" s="8" t="str">
        <f>_xlfn.XLOOKUP($A795,'RAWDATA Cars Buyers DB'!$A:$A,'RAWDATA Cars Buyers DB'!F:F)</f>
        <v>Bachelors</v>
      </c>
      <c r="G795" s="8" t="str">
        <f>_xlfn.XLOOKUP($A795,'RAWDATA Cars Buyers DB'!$A:$A,'RAWDATA Cars Buyers DB'!G:G)</f>
        <v>Professional</v>
      </c>
      <c r="H795" s="8" t="str">
        <f>_xlfn.XLOOKUP($A795,'RAWDATA Cars Buyers DB'!$A:$A,'RAWDATA Cars Buyers DB'!H:H)</f>
        <v>No</v>
      </c>
      <c r="I795" s="8" t="str">
        <f>_xlfn.XLOOKUP($A795,'RAWDATA Cars Buyers DB'!$A:$A,'RAWDATA Cars Buyers DB'!I:I)</f>
        <v>6+ Kilometre</v>
      </c>
      <c r="J795" s="8" t="str">
        <f>_xlfn.XLOOKUP($A795,'RAWDATA Cars Buyers DB'!$A:$A,'RAWDATA Cars Buyers DB'!J:J)</f>
        <v>Berlin</v>
      </c>
      <c r="K795" s="8">
        <f>_xlfn.XLOOKUP($A795,'RAWDATA Cars Buyers DB'!$A:$A,'RAWDATA Cars Buyers DB'!K:K)</f>
        <v>59</v>
      </c>
      <c r="L795" s="10" t="str">
        <f>IF(_xlfn.XLOOKUP($A795,'RAWDATA Cars Buyers DB'!$A:$A,'RAWDATA Cars Buyers DB'!K:K)&gt;54,"Old ",IF(_xlfn.XLOOKUP($A795,'RAWDATA Cars Buyers DB'!$A:$A,'RAWDATA Cars Buyers DB'!K:K)&gt;=31,"Middle Age ",IF(_xlfn.XLOOKUP($A795,'RAWDATA Cars Buyers DB'!$A:$A,'RAWDATA Cars Buyers DB'!K:K)&lt;31,"Adolescent","Invalid")))</f>
        <v xml:space="preserve">Old </v>
      </c>
      <c r="M795" s="8" t="str">
        <f>_xlfn.XLOOKUP($A795,'RAWDATA Cars Buyers DB'!$A:$A,'RAWDATA Cars Buyers DB'!L:L)</f>
        <v>Yes</v>
      </c>
    </row>
    <row r="796" spans="1:13">
      <c r="A796" s="6">
        <v>65479</v>
      </c>
      <c r="B796" s="10" t="str">
        <f>IF(_xlfn.XLOOKUP($A796,'RAWDATA Cars Buyers DB'!$A:$A,'RAWDATA Cars Buyers DB'!B:B)="S","Single","Married")</f>
        <v>Single</v>
      </c>
      <c r="C796" s="10" t="str">
        <f>IF(_xlfn.XLOOKUP($A796,'RAWDATA Cars Buyers DB'!$A:$A,'RAWDATA Cars Buyers DB'!C:C)="F","Female","Male")</f>
        <v>Female</v>
      </c>
      <c r="D796" s="7">
        <f>_xlfn.XLOOKUP($A796,'RAWDATA Cars Buyers DB'!$A:$A,'RAWDATA Cars Buyers DB'!D:D)</f>
        <v>114826</v>
      </c>
      <c r="E796" s="8">
        <f>_xlfn.XLOOKUP($A796,'RAWDATA Cars Buyers DB'!$A:$A,'RAWDATA Cars Buyers DB'!E:E)</f>
        <v>1</v>
      </c>
      <c r="F796" s="8" t="str">
        <f>_xlfn.XLOOKUP($A796,'RAWDATA Cars Buyers DB'!$A:$A,'RAWDATA Cars Buyers DB'!F:F)</f>
        <v>High School</v>
      </c>
      <c r="G796" s="8" t="str">
        <f>_xlfn.XLOOKUP($A796,'RAWDATA Cars Buyers DB'!$A:$A,'RAWDATA Cars Buyers DB'!G:G)</f>
        <v>Professional</v>
      </c>
      <c r="H796" s="8" t="str">
        <f>_xlfn.XLOOKUP($A796,'RAWDATA Cars Buyers DB'!$A:$A,'RAWDATA Cars Buyers DB'!H:H)</f>
        <v>No</v>
      </c>
      <c r="I796" s="8" t="str">
        <f>_xlfn.XLOOKUP($A796,'RAWDATA Cars Buyers DB'!$A:$A,'RAWDATA Cars Buyers DB'!I:I)</f>
        <v>6+ Kilometre</v>
      </c>
      <c r="J796" s="8" t="str">
        <f>_xlfn.XLOOKUP($A796,'RAWDATA Cars Buyers DB'!$A:$A,'RAWDATA Cars Buyers DB'!J:J)</f>
        <v>Brandenburg</v>
      </c>
      <c r="K796" s="8">
        <f>_xlfn.XLOOKUP($A796,'RAWDATA Cars Buyers DB'!$A:$A,'RAWDATA Cars Buyers DB'!K:K)</f>
        <v>20</v>
      </c>
      <c r="L796" s="10" t="str">
        <f>IF(_xlfn.XLOOKUP($A796,'RAWDATA Cars Buyers DB'!$A:$A,'RAWDATA Cars Buyers DB'!K:K)&gt;54,"Old ",IF(_xlfn.XLOOKUP($A796,'RAWDATA Cars Buyers DB'!$A:$A,'RAWDATA Cars Buyers DB'!K:K)&gt;=31,"Middle Age ",IF(_xlfn.XLOOKUP($A796,'RAWDATA Cars Buyers DB'!$A:$A,'RAWDATA Cars Buyers DB'!K:K)&lt;31,"Adolescent","Invalid")))</f>
        <v>Adolescent</v>
      </c>
      <c r="M796" s="8" t="str">
        <f>_xlfn.XLOOKUP($A796,'RAWDATA Cars Buyers DB'!$A:$A,'RAWDATA Cars Buyers DB'!L:L)</f>
        <v>No</v>
      </c>
    </row>
    <row r="797" spans="1:13">
      <c r="A797" s="6">
        <v>95392</v>
      </c>
      <c r="B797" s="10" t="str">
        <f>IF(_xlfn.XLOOKUP($A797,'RAWDATA Cars Buyers DB'!$A:$A,'RAWDATA Cars Buyers DB'!B:B)="S","Single","Married")</f>
        <v>Married</v>
      </c>
      <c r="C797" s="10" t="str">
        <f>IF(_xlfn.XLOOKUP($A797,'RAWDATA Cars Buyers DB'!$A:$A,'RAWDATA Cars Buyers DB'!C:C)="F","Female","Male")</f>
        <v>Female</v>
      </c>
      <c r="D797" s="7">
        <f>_xlfn.XLOOKUP($A797,'RAWDATA Cars Buyers DB'!$A:$A,'RAWDATA Cars Buyers DB'!D:D)</f>
        <v>34122</v>
      </c>
      <c r="E797" s="8">
        <f>_xlfn.XLOOKUP($A797,'RAWDATA Cars Buyers DB'!$A:$A,'RAWDATA Cars Buyers DB'!E:E)</f>
        <v>0</v>
      </c>
      <c r="F797" s="8" t="str">
        <f>_xlfn.XLOOKUP($A797,'RAWDATA Cars Buyers DB'!$A:$A,'RAWDATA Cars Buyers DB'!F:F)</f>
        <v>High School</v>
      </c>
      <c r="G797" s="8" t="str">
        <f>_xlfn.XLOOKUP($A797,'RAWDATA Cars Buyers DB'!$A:$A,'RAWDATA Cars Buyers DB'!G:G)</f>
        <v>Clerical</v>
      </c>
      <c r="H797" s="8" t="str">
        <f>_xlfn.XLOOKUP($A797,'RAWDATA Cars Buyers DB'!$A:$A,'RAWDATA Cars Buyers DB'!H:H)</f>
        <v>Yes</v>
      </c>
      <c r="I797" s="8" t="str">
        <f>_xlfn.XLOOKUP($A797,'RAWDATA Cars Buyers DB'!$A:$A,'RAWDATA Cars Buyers DB'!I:I)</f>
        <v>6+ Kilometre</v>
      </c>
      <c r="J797" s="8" t="str">
        <f>_xlfn.XLOOKUP($A797,'RAWDATA Cars Buyers DB'!$A:$A,'RAWDATA Cars Buyers DB'!J:J)</f>
        <v>Brandenburg</v>
      </c>
      <c r="K797" s="8">
        <f>_xlfn.XLOOKUP($A797,'RAWDATA Cars Buyers DB'!$A:$A,'RAWDATA Cars Buyers DB'!K:K)</f>
        <v>48</v>
      </c>
      <c r="L797" s="10" t="str">
        <f>IF(_xlfn.XLOOKUP($A797,'RAWDATA Cars Buyers DB'!$A:$A,'RAWDATA Cars Buyers DB'!K:K)&gt;54,"Old ",IF(_xlfn.XLOOKUP($A797,'RAWDATA Cars Buyers DB'!$A:$A,'RAWDATA Cars Buyers DB'!K:K)&gt;=31,"Middle Age ",IF(_xlfn.XLOOKUP($A797,'RAWDATA Cars Buyers DB'!$A:$A,'RAWDATA Cars Buyers DB'!K:K)&lt;31,"Adolescent","Invalid")))</f>
        <v xml:space="preserve">Middle Age </v>
      </c>
      <c r="M797" s="8" t="str">
        <f>_xlfn.XLOOKUP($A797,'RAWDATA Cars Buyers DB'!$A:$A,'RAWDATA Cars Buyers DB'!L:L)</f>
        <v>No</v>
      </c>
    </row>
    <row r="798" spans="1:13">
      <c r="A798" s="6">
        <v>97369</v>
      </c>
      <c r="B798" s="10" t="str">
        <f>IF(_xlfn.XLOOKUP($A798,'RAWDATA Cars Buyers DB'!$A:$A,'RAWDATA Cars Buyers DB'!B:B)="S","Single","Married")</f>
        <v>Married</v>
      </c>
      <c r="C798" s="10" t="str">
        <f>IF(_xlfn.XLOOKUP($A798,'RAWDATA Cars Buyers DB'!$A:$A,'RAWDATA Cars Buyers DB'!C:C)="F","Female","Male")</f>
        <v>Male</v>
      </c>
      <c r="D798" s="7">
        <f>_xlfn.XLOOKUP($A798,'RAWDATA Cars Buyers DB'!$A:$A,'RAWDATA Cars Buyers DB'!D:D)</f>
        <v>44820</v>
      </c>
      <c r="E798" s="8">
        <f>_xlfn.XLOOKUP($A798,'RAWDATA Cars Buyers DB'!$A:$A,'RAWDATA Cars Buyers DB'!E:E)</f>
        <v>2</v>
      </c>
      <c r="F798" s="8" t="str">
        <f>_xlfn.XLOOKUP($A798,'RAWDATA Cars Buyers DB'!$A:$A,'RAWDATA Cars Buyers DB'!F:F)</f>
        <v>High School</v>
      </c>
      <c r="G798" s="8" t="str">
        <f>_xlfn.XLOOKUP($A798,'RAWDATA Cars Buyers DB'!$A:$A,'RAWDATA Cars Buyers DB'!G:G)</f>
        <v>Management</v>
      </c>
      <c r="H798" s="8" t="str">
        <f>_xlfn.XLOOKUP($A798,'RAWDATA Cars Buyers DB'!$A:$A,'RAWDATA Cars Buyers DB'!H:H)</f>
        <v>No</v>
      </c>
      <c r="I798" s="8" t="str">
        <f>_xlfn.XLOOKUP($A798,'RAWDATA Cars Buyers DB'!$A:$A,'RAWDATA Cars Buyers DB'!I:I)</f>
        <v>1–2 Kilometre</v>
      </c>
      <c r="J798" s="8" t="str">
        <f>_xlfn.XLOOKUP($A798,'RAWDATA Cars Buyers DB'!$A:$A,'RAWDATA Cars Buyers DB'!J:J)</f>
        <v>Bavaria</v>
      </c>
      <c r="K798" s="8">
        <f>_xlfn.XLOOKUP($A798,'RAWDATA Cars Buyers DB'!$A:$A,'RAWDATA Cars Buyers DB'!K:K)</f>
        <v>29</v>
      </c>
      <c r="L798" s="10" t="str">
        <f>IF(_xlfn.XLOOKUP($A798,'RAWDATA Cars Buyers DB'!$A:$A,'RAWDATA Cars Buyers DB'!K:K)&gt;54,"Old ",IF(_xlfn.XLOOKUP($A798,'RAWDATA Cars Buyers DB'!$A:$A,'RAWDATA Cars Buyers DB'!K:K)&gt;=31,"Middle Age ",IF(_xlfn.XLOOKUP($A798,'RAWDATA Cars Buyers DB'!$A:$A,'RAWDATA Cars Buyers DB'!K:K)&lt;31,"Adolescent","Invalid")))</f>
        <v>Adolescent</v>
      </c>
      <c r="M798" s="8" t="str">
        <f>_xlfn.XLOOKUP($A798,'RAWDATA Cars Buyers DB'!$A:$A,'RAWDATA Cars Buyers DB'!L:L)</f>
        <v>No</v>
      </c>
    </row>
    <row r="799" spans="1:13">
      <c r="A799" s="6">
        <v>29963</v>
      </c>
      <c r="B799" s="10" t="str">
        <f>IF(_xlfn.XLOOKUP($A799,'RAWDATA Cars Buyers DB'!$A:$A,'RAWDATA Cars Buyers DB'!B:B)="S","Single","Married")</f>
        <v>Single</v>
      </c>
      <c r="C799" s="10" t="str">
        <f>IF(_xlfn.XLOOKUP($A799,'RAWDATA Cars Buyers DB'!$A:$A,'RAWDATA Cars Buyers DB'!C:C)="F","Female","Male")</f>
        <v>Male</v>
      </c>
      <c r="D799" s="7">
        <f>_xlfn.XLOOKUP($A799,'RAWDATA Cars Buyers DB'!$A:$A,'RAWDATA Cars Buyers DB'!D:D)</f>
        <v>88431</v>
      </c>
      <c r="E799" s="8">
        <f>_xlfn.XLOOKUP($A799,'RAWDATA Cars Buyers DB'!$A:$A,'RAWDATA Cars Buyers DB'!E:E)</f>
        <v>2</v>
      </c>
      <c r="F799" s="8" t="str">
        <f>_xlfn.XLOOKUP($A799,'RAWDATA Cars Buyers DB'!$A:$A,'RAWDATA Cars Buyers DB'!F:F)</f>
        <v>Bachelors</v>
      </c>
      <c r="G799" s="8" t="str">
        <f>_xlfn.XLOOKUP($A799,'RAWDATA Cars Buyers DB'!$A:$A,'RAWDATA Cars Buyers DB'!G:G)</f>
        <v>Clerical</v>
      </c>
      <c r="H799" s="8" t="str">
        <f>_xlfn.XLOOKUP($A799,'RAWDATA Cars Buyers DB'!$A:$A,'RAWDATA Cars Buyers DB'!H:H)</f>
        <v>No</v>
      </c>
      <c r="I799" s="8" t="str">
        <f>_xlfn.XLOOKUP($A799,'RAWDATA Cars Buyers DB'!$A:$A,'RAWDATA Cars Buyers DB'!I:I)</f>
        <v>6+ Kilometre</v>
      </c>
      <c r="J799" s="8" t="str">
        <f>_xlfn.XLOOKUP($A799,'RAWDATA Cars Buyers DB'!$A:$A,'RAWDATA Cars Buyers DB'!J:J)</f>
        <v>Saarland</v>
      </c>
      <c r="K799" s="8">
        <f>_xlfn.XLOOKUP($A799,'RAWDATA Cars Buyers DB'!$A:$A,'RAWDATA Cars Buyers DB'!K:K)</f>
        <v>47</v>
      </c>
      <c r="L799" s="10" t="str">
        <f>IF(_xlfn.XLOOKUP($A799,'RAWDATA Cars Buyers DB'!$A:$A,'RAWDATA Cars Buyers DB'!K:K)&gt;54,"Old ",IF(_xlfn.XLOOKUP($A799,'RAWDATA Cars Buyers DB'!$A:$A,'RAWDATA Cars Buyers DB'!K:K)&gt;=31,"Middle Age ",IF(_xlfn.XLOOKUP($A799,'RAWDATA Cars Buyers DB'!$A:$A,'RAWDATA Cars Buyers DB'!K:K)&lt;31,"Adolescent","Invalid")))</f>
        <v xml:space="preserve">Middle Age </v>
      </c>
      <c r="M799" s="8" t="str">
        <f>_xlfn.XLOOKUP($A799,'RAWDATA Cars Buyers DB'!$A:$A,'RAWDATA Cars Buyers DB'!L:L)</f>
        <v>No</v>
      </c>
    </row>
    <row r="800" spans="1:13">
      <c r="A800" s="6">
        <v>65123</v>
      </c>
      <c r="B800" s="10" t="str">
        <f>IF(_xlfn.XLOOKUP($A800,'RAWDATA Cars Buyers DB'!$A:$A,'RAWDATA Cars Buyers DB'!B:B)="S","Single","Married")</f>
        <v>Married</v>
      </c>
      <c r="C800" s="10" t="str">
        <f>IF(_xlfn.XLOOKUP($A800,'RAWDATA Cars Buyers DB'!$A:$A,'RAWDATA Cars Buyers DB'!C:C)="F","Female","Male")</f>
        <v>Female</v>
      </c>
      <c r="D800" s="7">
        <f>_xlfn.XLOOKUP($A800,'RAWDATA Cars Buyers DB'!$A:$A,'RAWDATA Cars Buyers DB'!D:D)</f>
        <v>75745</v>
      </c>
      <c r="E800" s="8">
        <f>_xlfn.XLOOKUP($A800,'RAWDATA Cars Buyers DB'!$A:$A,'RAWDATA Cars Buyers DB'!E:E)</f>
        <v>3</v>
      </c>
      <c r="F800" s="8" t="str">
        <f>_xlfn.XLOOKUP($A800,'RAWDATA Cars Buyers DB'!$A:$A,'RAWDATA Cars Buyers DB'!F:F)</f>
        <v>Bachelors</v>
      </c>
      <c r="G800" s="8" t="str">
        <f>_xlfn.XLOOKUP($A800,'RAWDATA Cars Buyers DB'!$A:$A,'RAWDATA Cars Buyers DB'!G:G)</f>
        <v>Professional</v>
      </c>
      <c r="H800" s="8" t="str">
        <f>_xlfn.XLOOKUP($A800,'RAWDATA Cars Buyers DB'!$A:$A,'RAWDATA Cars Buyers DB'!H:H)</f>
        <v>No</v>
      </c>
      <c r="I800" s="8" t="str">
        <f>_xlfn.XLOOKUP($A800,'RAWDATA Cars Buyers DB'!$A:$A,'RAWDATA Cars Buyers DB'!I:I)</f>
        <v>6+ Kilometre</v>
      </c>
      <c r="J800" s="8" t="str">
        <f>_xlfn.XLOOKUP($A800,'RAWDATA Cars Buyers DB'!$A:$A,'RAWDATA Cars Buyers DB'!J:J)</f>
        <v>Baden-Württemberg</v>
      </c>
      <c r="K800" s="8">
        <f>_xlfn.XLOOKUP($A800,'RAWDATA Cars Buyers DB'!$A:$A,'RAWDATA Cars Buyers DB'!K:K)</f>
        <v>50</v>
      </c>
      <c r="L800" s="10" t="str">
        <f>IF(_xlfn.XLOOKUP($A800,'RAWDATA Cars Buyers DB'!$A:$A,'RAWDATA Cars Buyers DB'!K:K)&gt;54,"Old ",IF(_xlfn.XLOOKUP($A800,'RAWDATA Cars Buyers DB'!$A:$A,'RAWDATA Cars Buyers DB'!K:K)&gt;=31,"Middle Age ",IF(_xlfn.XLOOKUP($A800,'RAWDATA Cars Buyers DB'!$A:$A,'RAWDATA Cars Buyers DB'!K:K)&lt;31,"Adolescent","Invalid")))</f>
        <v xml:space="preserve">Middle Age </v>
      </c>
      <c r="M800" s="8" t="str">
        <f>_xlfn.XLOOKUP($A800,'RAWDATA Cars Buyers DB'!$A:$A,'RAWDATA Cars Buyers DB'!L:L)</f>
        <v>No</v>
      </c>
    </row>
    <row r="801" spans="1:13">
      <c r="A801" s="6">
        <v>83477</v>
      </c>
      <c r="B801" s="10" t="str">
        <f>IF(_xlfn.XLOOKUP($A801,'RAWDATA Cars Buyers DB'!$A:$A,'RAWDATA Cars Buyers DB'!B:B)="S","Single","Married")</f>
        <v>Married</v>
      </c>
      <c r="C801" s="10" t="str">
        <f>IF(_xlfn.XLOOKUP($A801,'RAWDATA Cars Buyers DB'!$A:$A,'RAWDATA Cars Buyers DB'!C:C)="F","Female","Male")</f>
        <v>Male</v>
      </c>
      <c r="D801" s="7">
        <f>_xlfn.XLOOKUP($A801,'RAWDATA Cars Buyers DB'!$A:$A,'RAWDATA Cars Buyers DB'!D:D)</f>
        <v>70081</v>
      </c>
      <c r="E801" s="8">
        <f>_xlfn.XLOOKUP($A801,'RAWDATA Cars Buyers DB'!$A:$A,'RAWDATA Cars Buyers DB'!E:E)</f>
        <v>5</v>
      </c>
      <c r="F801" s="8" t="str">
        <f>_xlfn.XLOOKUP($A801,'RAWDATA Cars Buyers DB'!$A:$A,'RAWDATA Cars Buyers DB'!F:F)</f>
        <v>Bachelors</v>
      </c>
      <c r="G801" s="8" t="str">
        <f>_xlfn.XLOOKUP($A801,'RAWDATA Cars Buyers DB'!$A:$A,'RAWDATA Cars Buyers DB'!G:G)</f>
        <v>Clerical</v>
      </c>
      <c r="H801" s="8" t="str">
        <f>_xlfn.XLOOKUP($A801,'RAWDATA Cars Buyers DB'!$A:$A,'RAWDATA Cars Buyers DB'!H:H)</f>
        <v>No</v>
      </c>
      <c r="I801" s="8" t="str">
        <f>_xlfn.XLOOKUP($A801,'RAWDATA Cars Buyers DB'!$A:$A,'RAWDATA Cars Buyers DB'!I:I)</f>
        <v>1–2 Kilometre</v>
      </c>
      <c r="J801" s="8" t="str">
        <f>_xlfn.XLOOKUP($A801,'RAWDATA Cars Buyers DB'!$A:$A,'RAWDATA Cars Buyers DB'!J:J)</f>
        <v>North Rhine-Westphalia</v>
      </c>
      <c r="K801" s="8">
        <f>_xlfn.XLOOKUP($A801,'RAWDATA Cars Buyers DB'!$A:$A,'RAWDATA Cars Buyers DB'!K:K)</f>
        <v>38</v>
      </c>
      <c r="L801" s="10" t="str">
        <f>IF(_xlfn.XLOOKUP($A801,'RAWDATA Cars Buyers DB'!$A:$A,'RAWDATA Cars Buyers DB'!K:K)&gt;54,"Old ",IF(_xlfn.XLOOKUP($A801,'RAWDATA Cars Buyers DB'!$A:$A,'RAWDATA Cars Buyers DB'!K:K)&gt;=31,"Middle Age ",IF(_xlfn.XLOOKUP($A801,'RAWDATA Cars Buyers DB'!$A:$A,'RAWDATA Cars Buyers DB'!K:K)&lt;31,"Adolescent","Invalid")))</f>
        <v xml:space="preserve">Middle Age </v>
      </c>
      <c r="M801" s="8" t="str">
        <f>_xlfn.XLOOKUP($A801,'RAWDATA Cars Buyers DB'!$A:$A,'RAWDATA Cars Buyers DB'!L:L)</f>
        <v>No</v>
      </c>
    </row>
    <row r="802" spans="1:13">
      <c r="A802" s="6">
        <v>24388</v>
      </c>
      <c r="B802" s="10" t="str">
        <f>IF(_xlfn.XLOOKUP($A802,'RAWDATA Cars Buyers DB'!$A:$A,'RAWDATA Cars Buyers DB'!B:B)="S","Single","Married")</f>
        <v>Married</v>
      </c>
      <c r="C802" s="10" t="str">
        <f>IF(_xlfn.XLOOKUP($A802,'RAWDATA Cars Buyers DB'!$A:$A,'RAWDATA Cars Buyers DB'!C:C)="F","Female","Male")</f>
        <v>Female</v>
      </c>
      <c r="D802" s="7">
        <f>_xlfn.XLOOKUP($A802,'RAWDATA Cars Buyers DB'!$A:$A,'RAWDATA Cars Buyers DB'!D:D)</f>
        <v>90902</v>
      </c>
      <c r="E802" s="8">
        <f>_xlfn.XLOOKUP($A802,'RAWDATA Cars Buyers DB'!$A:$A,'RAWDATA Cars Buyers DB'!E:E)</f>
        <v>3</v>
      </c>
      <c r="F802" s="8" t="str">
        <f>_xlfn.XLOOKUP($A802,'RAWDATA Cars Buyers DB'!$A:$A,'RAWDATA Cars Buyers DB'!F:F)</f>
        <v>High School</v>
      </c>
      <c r="G802" s="8" t="str">
        <f>_xlfn.XLOOKUP($A802,'RAWDATA Cars Buyers DB'!$A:$A,'RAWDATA Cars Buyers DB'!G:G)</f>
        <v>Management</v>
      </c>
      <c r="H802" s="8" t="str">
        <f>_xlfn.XLOOKUP($A802,'RAWDATA Cars Buyers DB'!$A:$A,'RAWDATA Cars Buyers DB'!H:H)</f>
        <v>Yes</v>
      </c>
      <c r="I802" s="8" t="str">
        <f>_xlfn.XLOOKUP($A802,'RAWDATA Cars Buyers DB'!$A:$A,'RAWDATA Cars Buyers DB'!I:I)</f>
        <v>2–4 Kilometre</v>
      </c>
      <c r="J802" s="8" t="str">
        <f>_xlfn.XLOOKUP($A802,'RAWDATA Cars Buyers DB'!$A:$A,'RAWDATA Cars Buyers DB'!J:J)</f>
        <v>Hesse</v>
      </c>
      <c r="K802" s="8">
        <f>_xlfn.XLOOKUP($A802,'RAWDATA Cars Buyers DB'!$A:$A,'RAWDATA Cars Buyers DB'!K:K)</f>
        <v>22</v>
      </c>
      <c r="L802" s="10" t="str">
        <f>IF(_xlfn.XLOOKUP($A802,'RAWDATA Cars Buyers DB'!$A:$A,'RAWDATA Cars Buyers DB'!K:K)&gt;54,"Old ",IF(_xlfn.XLOOKUP($A802,'RAWDATA Cars Buyers DB'!$A:$A,'RAWDATA Cars Buyers DB'!K:K)&gt;=31,"Middle Age ",IF(_xlfn.XLOOKUP($A802,'RAWDATA Cars Buyers DB'!$A:$A,'RAWDATA Cars Buyers DB'!K:K)&lt;31,"Adolescent","Invalid")))</f>
        <v>Adolescent</v>
      </c>
      <c r="M802" s="8" t="str">
        <f>_xlfn.XLOOKUP($A802,'RAWDATA Cars Buyers DB'!$A:$A,'RAWDATA Cars Buyers DB'!L:L)</f>
        <v>No</v>
      </c>
    </row>
    <row r="803" spans="1:13">
      <c r="A803" s="6">
        <v>15569</v>
      </c>
      <c r="B803" s="10" t="str">
        <f>IF(_xlfn.XLOOKUP($A803,'RAWDATA Cars Buyers DB'!$A:$A,'RAWDATA Cars Buyers DB'!B:B)="S","Single","Married")</f>
        <v>Married</v>
      </c>
      <c r="C803" s="10" t="str">
        <f>IF(_xlfn.XLOOKUP($A803,'RAWDATA Cars Buyers DB'!$A:$A,'RAWDATA Cars Buyers DB'!C:C)="F","Female","Male")</f>
        <v>Female</v>
      </c>
      <c r="D803" s="7">
        <f>_xlfn.XLOOKUP($A803,'RAWDATA Cars Buyers DB'!$A:$A,'RAWDATA Cars Buyers DB'!D:D)</f>
        <v>28711</v>
      </c>
      <c r="E803" s="8">
        <f>_xlfn.XLOOKUP($A803,'RAWDATA Cars Buyers DB'!$A:$A,'RAWDATA Cars Buyers DB'!E:E)</f>
        <v>5</v>
      </c>
      <c r="F803" s="8" t="str">
        <f>_xlfn.XLOOKUP($A803,'RAWDATA Cars Buyers DB'!$A:$A,'RAWDATA Cars Buyers DB'!F:F)</f>
        <v>Graduate Degree</v>
      </c>
      <c r="G803" s="8" t="str">
        <f>_xlfn.XLOOKUP($A803,'RAWDATA Cars Buyers DB'!$A:$A,'RAWDATA Cars Buyers DB'!G:G)</f>
        <v>Professional</v>
      </c>
      <c r="H803" s="8" t="str">
        <f>_xlfn.XLOOKUP($A803,'RAWDATA Cars Buyers DB'!$A:$A,'RAWDATA Cars Buyers DB'!H:H)</f>
        <v>No</v>
      </c>
      <c r="I803" s="8" t="str">
        <f>_xlfn.XLOOKUP($A803,'RAWDATA Cars Buyers DB'!$A:$A,'RAWDATA Cars Buyers DB'!I:I)</f>
        <v>0–1 Kilometre</v>
      </c>
      <c r="J803" s="8" t="str">
        <f>_xlfn.XLOOKUP($A803,'RAWDATA Cars Buyers DB'!$A:$A,'RAWDATA Cars Buyers DB'!J:J)</f>
        <v>Saxony-Anhalt</v>
      </c>
      <c r="K803" s="8">
        <f>_xlfn.XLOOKUP($A803,'RAWDATA Cars Buyers DB'!$A:$A,'RAWDATA Cars Buyers DB'!K:K)</f>
        <v>55</v>
      </c>
      <c r="L803" s="10" t="str">
        <f>IF(_xlfn.XLOOKUP($A803,'RAWDATA Cars Buyers DB'!$A:$A,'RAWDATA Cars Buyers DB'!K:K)&gt;54,"Old ",IF(_xlfn.XLOOKUP($A803,'RAWDATA Cars Buyers DB'!$A:$A,'RAWDATA Cars Buyers DB'!K:K)&gt;=31,"Middle Age ",IF(_xlfn.XLOOKUP($A803,'RAWDATA Cars Buyers DB'!$A:$A,'RAWDATA Cars Buyers DB'!K:K)&lt;31,"Adolescent","Invalid")))</f>
        <v xml:space="preserve">Old </v>
      </c>
      <c r="M803" s="8" t="str">
        <f>_xlfn.XLOOKUP($A803,'RAWDATA Cars Buyers DB'!$A:$A,'RAWDATA Cars Buyers DB'!L:L)</f>
        <v>No</v>
      </c>
    </row>
    <row r="804" spans="1:13">
      <c r="A804" s="6">
        <v>79836</v>
      </c>
      <c r="B804" s="10" t="str">
        <f>IF(_xlfn.XLOOKUP($A804,'RAWDATA Cars Buyers DB'!$A:$A,'RAWDATA Cars Buyers DB'!B:B)="S","Single","Married")</f>
        <v>Single</v>
      </c>
      <c r="C804" s="10" t="str">
        <f>IF(_xlfn.XLOOKUP($A804,'RAWDATA Cars Buyers DB'!$A:$A,'RAWDATA Cars Buyers DB'!C:C)="F","Female","Male")</f>
        <v>Male</v>
      </c>
      <c r="D804" s="7">
        <f>_xlfn.XLOOKUP($A804,'RAWDATA Cars Buyers DB'!$A:$A,'RAWDATA Cars Buyers DB'!D:D)</f>
        <v>105132</v>
      </c>
      <c r="E804" s="8">
        <f>_xlfn.XLOOKUP($A804,'RAWDATA Cars Buyers DB'!$A:$A,'RAWDATA Cars Buyers DB'!E:E)</f>
        <v>5</v>
      </c>
      <c r="F804" s="8" t="str">
        <f>_xlfn.XLOOKUP($A804,'RAWDATA Cars Buyers DB'!$A:$A,'RAWDATA Cars Buyers DB'!F:F)</f>
        <v>Partial College</v>
      </c>
      <c r="G804" s="8" t="str">
        <f>_xlfn.XLOOKUP($A804,'RAWDATA Cars Buyers DB'!$A:$A,'RAWDATA Cars Buyers DB'!G:G)</f>
        <v>Skilled Manual</v>
      </c>
      <c r="H804" s="8" t="str">
        <f>_xlfn.XLOOKUP($A804,'RAWDATA Cars Buyers DB'!$A:$A,'RAWDATA Cars Buyers DB'!H:H)</f>
        <v>No</v>
      </c>
      <c r="I804" s="8" t="str">
        <f>_xlfn.XLOOKUP($A804,'RAWDATA Cars Buyers DB'!$A:$A,'RAWDATA Cars Buyers DB'!I:I)</f>
        <v>6+ Kilometre</v>
      </c>
      <c r="J804" s="8" t="str">
        <f>_xlfn.XLOOKUP($A804,'RAWDATA Cars Buyers DB'!$A:$A,'RAWDATA Cars Buyers DB'!J:J)</f>
        <v>Bremen</v>
      </c>
      <c r="K804" s="8">
        <f>_xlfn.XLOOKUP($A804,'RAWDATA Cars Buyers DB'!$A:$A,'RAWDATA Cars Buyers DB'!K:K)</f>
        <v>62</v>
      </c>
      <c r="L804" s="10" t="str">
        <f>IF(_xlfn.XLOOKUP($A804,'RAWDATA Cars Buyers DB'!$A:$A,'RAWDATA Cars Buyers DB'!K:K)&gt;54,"Old ",IF(_xlfn.XLOOKUP($A804,'RAWDATA Cars Buyers DB'!$A:$A,'RAWDATA Cars Buyers DB'!K:K)&gt;=31,"Middle Age ",IF(_xlfn.XLOOKUP($A804,'RAWDATA Cars Buyers DB'!$A:$A,'RAWDATA Cars Buyers DB'!K:K)&lt;31,"Adolescent","Invalid")))</f>
        <v xml:space="preserve">Old </v>
      </c>
      <c r="M804" s="8" t="str">
        <f>_xlfn.XLOOKUP($A804,'RAWDATA Cars Buyers DB'!$A:$A,'RAWDATA Cars Buyers DB'!L:L)</f>
        <v>Yes</v>
      </c>
    </row>
    <row r="805" spans="1:13">
      <c r="A805" s="6">
        <v>46586</v>
      </c>
      <c r="B805" s="10" t="str">
        <f>IF(_xlfn.XLOOKUP($A805,'RAWDATA Cars Buyers DB'!$A:$A,'RAWDATA Cars Buyers DB'!B:B)="S","Single","Married")</f>
        <v>Married</v>
      </c>
      <c r="C805" s="10" t="str">
        <f>IF(_xlfn.XLOOKUP($A805,'RAWDATA Cars Buyers DB'!$A:$A,'RAWDATA Cars Buyers DB'!C:C)="F","Female","Male")</f>
        <v>Female</v>
      </c>
      <c r="D805" s="7">
        <f>_xlfn.XLOOKUP($A805,'RAWDATA Cars Buyers DB'!$A:$A,'RAWDATA Cars Buyers DB'!D:D)</f>
        <v>38793</v>
      </c>
      <c r="E805" s="8">
        <f>_xlfn.XLOOKUP($A805,'RAWDATA Cars Buyers DB'!$A:$A,'RAWDATA Cars Buyers DB'!E:E)</f>
        <v>2</v>
      </c>
      <c r="F805" s="8" t="str">
        <f>_xlfn.XLOOKUP($A805,'RAWDATA Cars Buyers DB'!$A:$A,'RAWDATA Cars Buyers DB'!F:F)</f>
        <v>Bachelors</v>
      </c>
      <c r="G805" s="8" t="str">
        <f>_xlfn.XLOOKUP($A805,'RAWDATA Cars Buyers DB'!$A:$A,'RAWDATA Cars Buyers DB'!G:G)</f>
        <v>Professional</v>
      </c>
      <c r="H805" s="8" t="str">
        <f>_xlfn.XLOOKUP($A805,'RAWDATA Cars Buyers DB'!$A:$A,'RAWDATA Cars Buyers DB'!H:H)</f>
        <v>No</v>
      </c>
      <c r="I805" s="8" t="str">
        <f>_xlfn.XLOOKUP($A805,'RAWDATA Cars Buyers DB'!$A:$A,'RAWDATA Cars Buyers DB'!I:I)</f>
        <v>0–1 Kilometre</v>
      </c>
      <c r="J805" s="8" t="str">
        <f>_xlfn.XLOOKUP($A805,'RAWDATA Cars Buyers DB'!$A:$A,'RAWDATA Cars Buyers DB'!J:J)</f>
        <v>Lower Saxony</v>
      </c>
      <c r="K805" s="8">
        <f>_xlfn.XLOOKUP($A805,'RAWDATA Cars Buyers DB'!$A:$A,'RAWDATA Cars Buyers DB'!K:K)</f>
        <v>34</v>
      </c>
      <c r="L805" s="10" t="str">
        <f>IF(_xlfn.XLOOKUP($A805,'RAWDATA Cars Buyers DB'!$A:$A,'RAWDATA Cars Buyers DB'!K:K)&gt;54,"Old ",IF(_xlfn.XLOOKUP($A805,'RAWDATA Cars Buyers DB'!$A:$A,'RAWDATA Cars Buyers DB'!K:K)&gt;=31,"Middle Age ",IF(_xlfn.XLOOKUP($A805,'RAWDATA Cars Buyers DB'!$A:$A,'RAWDATA Cars Buyers DB'!K:K)&lt;31,"Adolescent","Invalid")))</f>
        <v xml:space="preserve">Middle Age </v>
      </c>
      <c r="M805" s="8" t="str">
        <f>_xlfn.XLOOKUP($A805,'RAWDATA Cars Buyers DB'!$A:$A,'RAWDATA Cars Buyers DB'!L:L)</f>
        <v>Yes</v>
      </c>
    </row>
    <row r="806" spans="1:13">
      <c r="A806" s="6">
        <v>22015</v>
      </c>
      <c r="B806" s="10" t="str">
        <f>IF(_xlfn.XLOOKUP($A806,'RAWDATA Cars Buyers DB'!$A:$A,'RAWDATA Cars Buyers DB'!B:B)="S","Single","Married")</f>
        <v>Single</v>
      </c>
      <c r="C806" s="10" t="str">
        <f>IF(_xlfn.XLOOKUP($A806,'RAWDATA Cars Buyers DB'!$A:$A,'RAWDATA Cars Buyers DB'!C:C)="F","Female","Male")</f>
        <v>Male</v>
      </c>
      <c r="D806" s="7">
        <f>_xlfn.XLOOKUP($A806,'RAWDATA Cars Buyers DB'!$A:$A,'RAWDATA Cars Buyers DB'!D:D)</f>
        <v>28199</v>
      </c>
      <c r="E806" s="8">
        <f>_xlfn.XLOOKUP($A806,'RAWDATA Cars Buyers DB'!$A:$A,'RAWDATA Cars Buyers DB'!E:E)</f>
        <v>3</v>
      </c>
      <c r="F806" s="8" t="str">
        <f>_xlfn.XLOOKUP($A806,'RAWDATA Cars Buyers DB'!$A:$A,'RAWDATA Cars Buyers DB'!F:F)</f>
        <v>Graduate Degree</v>
      </c>
      <c r="G806" s="8" t="str">
        <f>_xlfn.XLOOKUP($A806,'RAWDATA Cars Buyers DB'!$A:$A,'RAWDATA Cars Buyers DB'!G:G)</f>
        <v>Skilled Manual</v>
      </c>
      <c r="H806" s="8" t="str">
        <f>_xlfn.XLOOKUP($A806,'RAWDATA Cars Buyers DB'!$A:$A,'RAWDATA Cars Buyers DB'!H:H)</f>
        <v>Yes</v>
      </c>
      <c r="I806" s="8" t="str">
        <f>_xlfn.XLOOKUP($A806,'RAWDATA Cars Buyers DB'!$A:$A,'RAWDATA Cars Buyers DB'!I:I)</f>
        <v>4–6 Kilometre</v>
      </c>
      <c r="J806" s="8" t="str">
        <f>_xlfn.XLOOKUP($A806,'RAWDATA Cars Buyers DB'!$A:$A,'RAWDATA Cars Buyers DB'!J:J)</f>
        <v>Schleswig-Holstein</v>
      </c>
      <c r="K806" s="8">
        <f>_xlfn.XLOOKUP($A806,'RAWDATA Cars Buyers DB'!$A:$A,'RAWDATA Cars Buyers DB'!K:K)</f>
        <v>52</v>
      </c>
      <c r="L806" s="10" t="str">
        <f>IF(_xlfn.XLOOKUP($A806,'RAWDATA Cars Buyers DB'!$A:$A,'RAWDATA Cars Buyers DB'!K:K)&gt;54,"Old ",IF(_xlfn.XLOOKUP($A806,'RAWDATA Cars Buyers DB'!$A:$A,'RAWDATA Cars Buyers DB'!K:K)&gt;=31,"Middle Age ",IF(_xlfn.XLOOKUP($A806,'RAWDATA Cars Buyers DB'!$A:$A,'RAWDATA Cars Buyers DB'!K:K)&lt;31,"Adolescent","Invalid")))</f>
        <v xml:space="preserve">Middle Age </v>
      </c>
      <c r="M806" s="8" t="str">
        <f>_xlfn.XLOOKUP($A806,'RAWDATA Cars Buyers DB'!$A:$A,'RAWDATA Cars Buyers DB'!L:L)</f>
        <v>Yes</v>
      </c>
    </row>
    <row r="807" spans="1:13">
      <c r="A807" s="6">
        <v>55002</v>
      </c>
      <c r="B807" s="10" t="str">
        <f>IF(_xlfn.XLOOKUP($A807,'RAWDATA Cars Buyers DB'!$A:$A,'RAWDATA Cars Buyers DB'!B:B)="S","Single","Married")</f>
        <v>Single</v>
      </c>
      <c r="C807" s="10" t="str">
        <f>IF(_xlfn.XLOOKUP($A807,'RAWDATA Cars Buyers DB'!$A:$A,'RAWDATA Cars Buyers DB'!C:C)="F","Female","Male")</f>
        <v>Male</v>
      </c>
      <c r="D807" s="7">
        <f>_xlfn.XLOOKUP($A807,'RAWDATA Cars Buyers DB'!$A:$A,'RAWDATA Cars Buyers DB'!D:D)</f>
        <v>96253</v>
      </c>
      <c r="E807" s="8">
        <f>_xlfn.XLOOKUP($A807,'RAWDATA Cars Buyers DB'!$A:$A,'RAWDATA Cars Buyers DB'!E:E)</f>
        <v>1</v>
      </c>
      <c r="F807" s="8" t="str">
        <f>_xlfn.XLOOKUP($A807,'RAWDATA Cars Buyers DB'!$A:$A,'RAWDATA Cars Buyers DB'!F:F)</f>
        <v>Partial College</v>
      </c>
      <c r="G807" s="8" t="str">
        <f>_xlfn.XLOOKUP($A807,'RAWDATA Cars Buyers DB'!$A:$A,'RAWDATA Cars Buyers DB'!G:G)</f>
        <v>Clerical</v>
      </c>
      <c r="H807" s="8" t="str">
        <f>_xlfn.XLOOKUP($A807,'RAWDATA Cars Buyers DB'!$A:$A,'RAWDATA Cars Buyers DB'!H:H)</f>
        <v>Yes</v>
      </c>
      <c r="I807" s="8" t="str">
        <f>_xlfn.XLOOKUP($A807,'RAWDATA Cars Buyers DB'!$A:$A,'RAWDATA Cars Buyers DB'!I:I)</f>
        <v>0–1 Kilometre</v>
      </c>
      <c r="J807" s="8" t="str">
        <f>_xlfn.XLOOKUP($A807,'RAWDATA Cars Buyers DB'!$A:$A,'RAWDATA Cars Buyers DB'!J:J)</f>
        <v>Bavaria</v>
      </c>
      <c r="K807" s="8">
        <f>_xlfn.XLOOKUP($A807,'RAWDATA Cars Buyers DB'!$A:$A,'RAWDATA Cars Buyers DB'!K:K)</f>
        <v>60</v>
      </c>
      <c r="L807" s="10" t="str">
        <f>IF(_xlfn.XLOOKUP($A807,'RAWDATA Cars Buyers DB'!$A:$A,'RAWDATA Cars Buyers DB'!K:K)&gt;54,"Old ",IF(_xlfn.XLOOKUP($A807,'RAWDATA Cars Buyers DB'!$A:$A,'RAWDATA Cars Buyers DB'!K:K)&gt;=31,"Middle Age ",IF(_xlfn.XLOOKUP($A807,'RAWDATA Cars Buyers DB'!$A:$A,'RAWDATA Cars Buyers DB'!K:K)&lt;31,"Adolescent","Invalid")))</f>
        <v xml:space="preserve">Old </v>
      </c>
      <c r="M807" s="8" t="str">
        <f>_xlfn.XLOOKUP($A807,'RAWDATA Cars Buyers DB'!$A:$A,'RAWDATA Cars Buyers DB'!L:L)</f>
        <v>No</v>
      </c>
    </row>
    <row r="808" spans="1:13">
      <c r="A808" s="6">
        <v>16254</v>
      </c>
      <c r="B808" s="10" t="str">
        <f>IF(_xlfn.XLOOKUP($A808,'RAWDATA Cars Buyers DB'!$A:$A,'RAWDATA Cars Buyers DB'!B:B)="S","Single","Married")</f>
        <v>Single</v>
      </c>
      <c r="C808" s="10" t="str">
        <f>IF(_xlfn.XLOOKUP($A808,'RAWDATA Cars Buyers DB'!$A:$A,'RAWDATA Cars Buyers DB'!C:C)="F","Female","Male")</f>
        <v>Female</v>
      </c>
      <c r="D808" s="7">
        <f>_xlfn.XLOOKUP($A808,'RAWDATA Cars Buyers DB'!$A:$A,'RAWDATA Cars Buyers DB'!D:D)</f>
        <v>56191</v>
      </c>
      <c r="E808" s="8">
        <f>_xlfn.XLOOKUP($A808,'RAWDATA Cars Buyers DB'!$A:$A,'RAWDATA Cars Buyers DB'!E:E)</f>
        <v>5</v>
      </c>
      <c r="F808" s="8" t="str">
        <f>_xlfn.XLOOKUP($A808,'RAWDATA Cars Buyers DB'!$A:$A,'RAWDATA Cars Buyers DB'!F:F)</f>
        <v>Partial College</v>
      </c>
      <c r="G808" s="8" t="str">
        <f>_xlfn.XLOOKUP($A808,'RAWDATA Cars Buyers DB'!$A:$A,'RAWDATA Cars Buyers DB'!G:G)</f>
        <v>Clerical</v>
      </c>
      <c r="H808" s="8" t="str">
        <f>_xlfn.XLOOKUP($A808,'RAWDATA Cars Buyers DB'!$A:$A,'RAWDATA Cars Buyers DB'!H:H)</f>
        <v>No</v>
      </c>
      <c r="I808" s="8" t="str">
        <f>_xlfn.XLOOKUP($A808,'RAWDATA Cars Buyers DB'!$A:$A,'RAWDATA Cars Buyers DB'!I:I)</f>
        <v>1–2 Kilometre</v>
      </c>
      <c r="J808" s="8" t="str">
        <f>_xlfn.XLOOKUP($A808,'RAWDATA Cars Buyers DB'!$A:$A,'RAWDATA Cars Buyers DB'!J:J)</f>
        <v>Mecklenburg-Vorpommern</v>
      </c>
      <c r="K808" s="8">
        <f>_xlfn.XLOOKUP($A808,'RAWDATA Cars Buyers DB'!$A:$A,'RAWDATA Cars Buyers DB'!K:K)</f>
        <v>62</v>
      </c>
      <c r="L808" s="10" t="str">
        <f>IF(_xlfn.XLOOKUP($A808,'RAWDATA Cars Buyers DB'!$A:$A,'RAWDATA Cars Buyers DB'!K:K)&gt;54,"Old ",IF(_xlfn.XLOOKUP($A808,'RAWDATA Cars Buyers DB'!$A:$A,'RAWDATA Cars Buyers DB'!K:K)&gt;=31,"Middle Age ",IF(_xlfn.XLOOKUP($A808,'RAWDATA Cars Buyers DB'!$A:$A,'RAWDATA Cars Buyers DB'!K:K)&lt;31,"Adolescent","Invalid")))</f>
        <v xml:space="preserve">Old </v>
      </c>
      <c r="M808" s="8" t="str">
        <f>_xlfn.XLOOKUP($A808,'RAWDATA Cars Buyers DB'!$A:$A,'RAWDATA Cars Buyers DB'!L:L)</f>
        <v>No</v>
      </c>
    </row>
    <row r="809" spans="1:13">
      <c r="A809" s="6">
        <v>27144</v>
      </c>
      <c r="B809" s="10" t="str">
        <f>IF(_xlfn.XLOOKUP($A809,'RAWDATA Cars Buyers DB'!$A:$A,'RAWDATA Cars Buyers DB'!B:B)="S","Single","Married")</f>
        <v>Married</v>
      </c>
      <c r="C809" s="10" t="str">
        <f>IF(_xlfn.XLOOKUP($A809,'RAWDATA Cars Buyers DB'!$A:$A,'RAWDATA Cars Buyers DB'!C:C)="F","Female","Male")</f>
        <v>Male</v>
      </c>
      <c r="D809" s="7">
        <f>_xlfn.XLOOKUP($A809,'RAWDATA Cars Buyers DB'!$A:$A,'RAWDATA Cars Buyers DB'!D:D)</f>
        <v>30211</v>
      </c>
      <c r="E809" s="8">
        <f>_xlfn.XLOOKUP($A809,'RAWDATA Cars Buyers DB'!$A:$A,'RAWDATA Cars Buyers DB'!E:E)</f>
        <v>4</v>
      </c>
      <c r="F809" s="8" t="str">
        <f>_xlfn.XLOOKUP($A809,'RAWDATA Cars Buyers DB'!$A:$A,'RAWDATA Cars Buyers DB'!F:F)</f>
        <v>Partial College</v>
      </c>
      <c r="G809" s="8" t="str">
        <f>_xlfn.XLOOKUP($A809,'RAWDATA Cars Buyers DB'!$A:$A,'RAWDATA Cars Buyers DB'!G:G)</f>
        <v>Management</v>
      </c>
      <c r="H809" s="8" t="str">
        <f>_xlfn.XLOOKUP($A809,'RAWDATA Cars Buyers DB'!$A:$A,'RAWDATA Cars Buyers DB'!H:H)</f>
        <v>No</v>
      </c>
      <c r="I809" s="8" t="str">
        <f>_xlfn.XLOOKUP($A809,'RAWDATA Cars Buyers DB'!$A:$A,'RAWDATA Cars Buyers DB'!I:I)</f>
        <v>0–1 Kilometre</v>
      </c>
      <c r="J809" s="8" t="str">
        <f>_xlfn.XLOOKUP($A809,'RAWDATA Cars Buyers DB'!$A:$A,'RAWDATA Cars Buyers DB'!J:J)</f>
        <v>Hamburg</v>
      </c>
      <c r="K809" s="8">
        <f>_xlfn.XLOOKUP($A809,'RAWDATA Cars Buyers DB'!$A:$A,'RAWDATA Cars Buyers DB'!K:K)</f>
        <v>64</v>
      </c>
      <c r="L809" s="10" t="str">
        <f>IF(_xlfn.XLOOKUP($A809,'RAWDATA Cars Buyers DB'!$A:$A,'RAWDATA Cars Buyers DB'!K:K)&gt;54,"Old ",IF(_xlfn.XLOOKUP($A809,'RAWDATA Cars Buyers DB'!$A:$A,'RAWDATA Cars Buyers DB'!K:K)&gt;=31,"Middle Age ",IF(_xlfn.XLOOKUP($A809,'RAWDATA Cars Buyers DB'!$A:$A,'RAWDATA Cars Buyers DB'!K:K)&lt;31,"Adolescent","Invalid")))</f>
        <v xml:space="preserve">Old </v>
      </c>
      <c r="M809" s="8" t="str">
        <f>_xlfn.XLOOKUP($A809,'RAWDATA Cars Buyers DB'!$A:$A,'RAWDATA Cars Buyers DB'!L:L)</f>
        <v>No</v>
      </c>
    </row>
    <row r="810" spans="1:13">
      <c r="A810" s="6">
        <v>34214</v>
      </c>
      <c r="B810" s="10" t="str">
        <f>IF(_xlfn.XLOOKUP($A810,'RAWDATA Cars Buyers DB'!$A:$A,'RAWDATA Cars Buyers DB'!B:B)="S","Single","Married")</f>
        <v>Married</v>
      </c>
      <c r="C810" s="10" t="str">
        <f>IF(_xlfn.XLOOKUP($A810,'RAWDATA Cars Buyers DB'!$A:$A,'RAWDATA Cars Buyers DB'!C:C)="F","Female","Male")</f>
        <v>Male</v>
      </c>
      <c r="D810" s="7">
        <f>_xlfn.XLOOKUP($A810,'RAWDATA Cars Buyers DB'!$A:$A,'RAWDATA Cars Buyers DB'!D:D)</f>
        <v>83069</v>
      </c>
      <c r="E810" s="8">
        <f>_xlfn.XLOOKUP($A810,'RAWDATA Cars Buyers DB'!$A:$A,'RAWDATA Cars Buyers DB'!E:E)</f>
        <v>4</v>
      </c>
      <c r="F810" s="8" t="str">
        <f>_xlfn.XLOOKUP($A810,'RAWDATA Cars Buyers DB'!$A:$A,'RAWDATA Cars Buyers DB'!F:F)</f>
        <v>Graduate Degree</v>
      </c>
      <c r="G810" s="8" t="str">
        <f>_xlfn.XLOOKUP($A810,'RAWDATA Cars Buyers DB'!$A:$A,'RAWDATA Cars Buyers DB'!G:G)</f>
        <v>Skilled Manual</v>
      </c>
      <c r="H810" s="8" t="str">
        <f>_xlfn.XLOOKUP($A810,'RAWDATA Cars Buyers DB'!$A:$A,'RAWDATA Cars Buyers DB'!H:H)</f>
        <v>No</v>
      </c>
      <c r="I810" s="8" t="str">
        <f>_xlfn.XLOOKUP($A810,'RAWDATA Cars Buyers DB'!$A:$A,'RAWDATA Cars Buyers DB'!I:I)</f>
        <v>0–1 Kilometre</v>
      </c>
      <c r="J810" s="8" t="str">
        <f>_xlfn.XLOOKUP($A810,'RAWDATA Cars Buyers DB'!$A:$A,'RAWDATA Cars Buyers DB'!J:J)</f>
        <v>Bremen</v>
      </c>
      <c r="K810" s="8">
        <f>_xlfn.XLOOKUP($A810,'RAWDATA Cars Buyers DB'!$A:$A,'RAWDATA Cars Buyers DB'!K:K)</f>
        <v>45</v>
      </c>
      <c r="L810" s="10" t="str">
        <f>IF(_xlfn.XLOOKUP($A810,'RAWDATA Cars Buyers DB'!$A:$A,'RAWDATA Cars Buyers DB'!K:K)&gt;54,"Old ",IF(_xlfn.XLOOKUP($A810,'RAWDATA Cars Buyers DB'!$A:$A,'RAWDATA Cars Buyers DB'!K:K)&gt;=31,"Middle Age ",IF(_xlfn.XLOOKUP($A810,'RAWDATA Cars Buyers DB'!$A:$A,'RAWDATA Cars Buyers DB'!K:K)&lt;31,"Adolescent","Invalid")))</f>
        <v xml:space="preserve">Middle Age </v>
      </c>
      <c r="M810" s="8" t="str">
        <f>_xlfn.XLOOKUP($A810,'RAWDATA Cars Buyers DB'!$A:$A,'RAWDATA Cars Buyers DB'!L:L)</f>
        <v>Yes</v>
      </c>
    </row>
    <row r="811" spans="1:13">
      <c r="A811" s="6">
        <v>90719</v>
      </c>
      <c r="B811" s="10" t="str">
        <f>IF(_xlfn.XLOOKUP($A811,'RAWDATA Cars Buyers DB'!$A:$A,'RAWDATA Cars Buyers DB'!B:B)="S","Single","Married")</f>
        <v>Single</v>
      </c>
      <c r="C811" s="10" t="str">
        <f>IF(_xlfn.XLOOKUP($A811,'RAWDATA Cars Buyers DB'!$A:$A,'RAWDATA Cars Buyers DB'!C:C)="F","Female","Male")</f>
        <v>Female</v>
      </c>
      <c r="D811" s="7">
        <f>_xlfn.XLOOKUP($A811,'RAWDATA Cars Buyers DB'!$A:$A,'RAWDATA Cars Buyers DB'!D:D)</f>
        <v>108896</v>
      </c>
      <c r="E811" s="8">
        <f>_xlfn.XLOOKUP($A811,'RAWDATA Cars Buyers DB'!$A:$A,'RAWDATA Cars Buyers DB'!E:E)</f>
        <v>1</v>
      </c>
      <c r="F811" s="8" t="str">
        <f>_xlfn.XLOOKUP($A811,'RAWDATA Cars Buyers DB'!$A:$A,'RAWDATA Cars Buyers DB'!F:F)</f>
        <v>Graduate Degree</v>
      </c>
      <c r="G811" s="8" t="str">
        <f>_xlfn.XLOOKUP($A811,'RAWDATA Cars Buyers DB'!$A:$A,'RAWDATA Cars Buyers DB'!G:G)</f>
        <v>Clerical</v>
      </c>
      <c r="H811" s="8" t="str">
        <f>_xlfn.XLOOKUP($A811,'RAWDATA Cars Buyers DB'!$A:$A,'RAWDATA Cars Buyers DB'!H:H)</f>
        <v>Yes</v>
      </c>
      <c r="I811" s="8" t="str">
        <f>_xlfn.XLOOKUP($A811,'RAWDATA Cars Buyers DB'!$A:$A,'RAWDATA Cars Buyers DB'!I:I)</f>
        <v>0–1 Kilometre</v>
      </c>
      <c r="J811" s="8" t="str">
        <f>_xlfn.XLOOKUP($A811,'RAWDATA Cars Buyers DB'!$A:$A,'RAWDATA Cars Buyers DB'!J:J)</f>
        <v>Thuringia</v>
      </c>
      <c r="K811" s="8">
        <f>_xlfn.XLOOKUP($A811,'RAWDATA Cars Buyers DB'!$A:$A,'RAWDATA Cars Buyers DB'!K:K)</f>
        <v>35</v>
      </c>
      <c r="L811" s="10" t="str">
        <f>IF(_xlfn.XLOOKUP($A811,'RAWDATA Cars Buyers DB'!$A:$A,'RAWDATA Cars Buyers DB'!K:K)&gt;54,"Old ",IF(_xlfn.XLOOKUP($A811,'RAWDATA Cars Buyers DB'!$A:$A,'RAWDATA Cars Buyers DB'!K:K)&gt;=31,"Middle Age ",IF(_xlfn.XLOOKUP($A811,'RAWDATA Cars Buyers DB'!$A:$A,'RAWDATA Cars Buyers DB'!K:K)&lt;31,"Adolescent","Invalid")))</f>
        <v xml:space="preserve">Middle Age </v>
      </c>
      <c r="M811" s="8" t="str">
        <f>_xlfn.XLOOKUP($A811,'RAWDATA Cars Buyers DB'!$A:$A,'RAWDATA Cars Buyers DB'!L:L)</f>
        <v>No</v>
      </c>
    </row>
    <row r="812" spans="1:13">
      <c r="A812" s="6">
        <v>81774</v>
      </c>
      <c r="B812" s="10" t="str">
        <f>IF(_xlfn.XLOOKUP($A812,'RAWDATA Cars Buyers DB'!$A:$A,'RAWDATA Cars Buyers DB'!B:B)="S","Single","Married")</f>
        <v>Single</v>
      </c>
      <c r="C812" s="10" t="str">
        <f>IF(_xlfn.XLOOKUP($A812,'RAWDATA Cars Buyers DB'!$A:$A,'RAWDATA Cars Buyers DB'!C:C)="F","Female","Male")</f>
        <v>Female</v>
      </c>
      <c r="D812" s="7">
        <f>_xlfn.XLOOKUP($A812,'RAWDATA Cars Buyers DB'!$A:$A,'RAWDATA Cars Buyers DB'!D:D)</f>
        <v>76746</v>
      </c>
      <c r="E812" s="8">
        <f>_xlfn.XLOOKUP($A812,'RAWDATA Cars Buyers DB'!$A:$A,'RAWDATA Cars Buyers DB'!E:E)</f>
        <v>4</v>
      </c>
      <c r="F812" s="8" t="str">
        <f>_xlfn.XLOOKUP($A812,'RAWDATA Cars Buyers DB'!$A:$A,'RAWDATA Cars Buyers DB'!F:F)</f>
        <v>High School</v>
      </c>
      <c r="G812" s="8" t="str">
        <f>_xlfn.XLOOKUP($A812,'RAWDATA Cars Buyers DB'!$A:$A,'RAWDATA Cars Buyers DB'!G:G)</f>
        <v>Skilled Manual</v>
      </c>
      <c r="H812" s="8" t="str">
        <f>_xlfn.XLOOKUP($A812,'RAWDATA Cars Buyers DB'!$A:$A,'RAWDATA Cars Buyers DB'!H:H)</f>
        <v>No</v>
      </c>
      <c r="I812" s="8" t="str">
        <f>_xlfn.XLOOKUP($A812,'RAWDATA Cars Buyers DB'!$A:$A,'RAWDATA Cars Buyers DB'!I:I)</f>
        <v>2–4 Kilometre</v>
      </c>
      <c r="J812" s="8" t="str">
        <f>_xlfn.XLOOKUP($A812,'RAWDATA Cars Buyers DB'!$A:$A,'RAWDATA Cars Buyers DB'!J:J)</f>
        <v>Saxony</v>
      </c>
      <c r="K812" s="8">
        <f>_xlfn.XLOOKUP($A812,'RAWDATA Cars Buyers DB'!$A:$A,'RAWDATA Cars Buyers DB'!K:K)</f>
        <v>55</v>
      </c>
      <c r="L812" s="10" t="str">
        <f>IF(_xlfn.XLOOKUP($A812,'RAWDATA Cars Buyers DB'!$A:$A,'RAWDATA Cars Buyers DB'!K:K)&gt;54,"Old ",IF(_xlfn.XLOOKUP($A812,'RAWDATA Cars Buyers DB'!$A:$A,'RAWDATA Cars Buyers DB'!K:K)&gt;=31,"Middle Age ",IF(_xlfn.XLOOKUP($A812,'RAWDATA Cars Buyers DB'!$A:$A,'RAWDATA Cars Buyers DB'!K:K)&lt;31,"Adolescent","Invalid")))</f>
        <v xml:space="preserve">Old </v>
      </c>
      <c r="M812" s="8" t="str">
        <f>_xlfn.XLOOKUP($A812,'RAWDATA Cars Buyers DB'!$A:$A,'RAWDATA Cars Buyers DB'!L:L)</f>
        <v>No</v>
      </c>
    </row>
    <row r="813" spans="1:13">
      <c r="A813" s="6">
        <v>16090</v>
      </c>
      <c r="B813" s="10" t="str">
        <f>IF(_xlfn.XLOOKUP($A813,'RAWDATA Cars Buyers DB'!$A:$A,'RAWDATA Cars Buyers DB'!B:B)="S","Single","Married")</f>
        <v>Single</v>
      </c>
      <c r="C813" s="10" t="str">
        <f>IF(_xlfn.XLOOKUP($A813,'RAWDATA Cars Buyers DB'!$A:$A,'RAWDATA Cars Buyers DB'!C:C)="F","Female","Male")</f>
        <v>Male</v>
      </c>
      <c r="D813" s="7">
        <f>_xlfn.XLOOKUP($A813,'RAWDATA Cars Buyers DB'!$A:$A,'RAWDATA Cars Buyers DB'!D:D)</f>
        <v>41542</v>
      </c>
      <c r="E813" s="8">
        <f>_xlfn.XLOOKUP($A813,'RAWDATA Cars Buyers DB'!$A:$A,'RAWDATA Cars Buyers DB'!E:E)</f>
        <v>0</v>
      </c>
      <c r="F813" s="8" t="str">
        <f>_xlfn.XLOOKUP($A813,'RAWDATA Cars Buyers DB'!$A:$A,'RAWDATA Cars Buyers DB'!F:F)</f>
        <v>Graduate Degree</v>
      </c>
      <c r="G813" s="8" t="str">
        <f>_xlfn.XLOOKUP($A813,'RAWDATA Cars Buyers DB'!$A:$A,'RAWDATA Cars Buyers DB'!G:G)</f>
        <v>Clerical</v>
      </c>
      <c r="H813" s="8" t="str">
        <f>_xlfn.XLOOKUP($A813,'RAWDATA Cars Buyers DB'!$A:$A,'RAWDATA Cars Buyers DB'!H:H)</f>
        <v>No</v>
      </c>
      <c r="I813" s="8" t="str">
        <f>_xlfn.XLOOKUP($A813,'RAWDATA Cars Buyers DB'!$A:$A,'RAWDATA Cars Buyers DB'!I:I)</f>
        <v>2–4 Kilometre</v>
      </c>
      <c r="J813" s="8" t="str">
        <f>_xlfn.XLOOKUP($A813,'RAWDATA Cars Buyers DB'!$A:$A,'RAWDATA Cars Buyers DB'!J:J)</f>
        <v>Hesse</v>
      </c>
      <c r="K813" s="8">
        <f>_xlfn.XLOOKUP($A813,'RAWDATA Cars Buyers DB'!$A:$A,'RAWDATA Cars Buyers DB'!K:K)</f>
        <v>52</v>
      </c>
      <c r="L813" s="10" t="str">
        <f>IF(_xlfn.XLOOKUP($A813,'RAWDATA Cars Buyers DB'!$A:$A,'RAWDATA Cars Buyers DB'!K:K)&gt;54,"Old ",IF(_xlfn.XLOOKUP($A813,'RAWDATA Cars Buyers DB'!$A:$A,'RAWDATA Cars Buyers DB'!K:K)&gt;=31,"Middle Age ",IF(_xlfn.XLOOKUP($A813,'RAWDATA Cars Buyers DB'!$A:$A,'RAWDATA Cars Buyers DB'!K:K)&lt;31,"Adolescent","Invalid")))</f>
        <v xml:space="preserve">Middle Age </v>
      </c>
      <c r="M813" s="8" t="str">
        <f>_xlfn.XLOOKUP($A813,'RAWDATA Cars Buyers DB'!$A:$A,'RAWDATA Cars Buyers DB'!L:L)</f>
        <v>Yes</v>
      </c>
    </row>
    <row r="814" spans="1:13">
      <c r="A814" s="6">
        <v>21637</v>
      </c>
      <c r="B814" s="10" t="str">
        <f>IF(_xlfn.XLOOKUP($A814,'RAWDATA Cars Buyers DB'!$A:$A,'RAWDATA Cars Buyers DB'!B:B)="S","Single","Married")</f>
        <v>Married</v>
      </c>
      <c r="C814" s="10" t="str">
        <f>IF(_xlfn.XLOOKUP($A814,'RAWDATA Cars Buyers DB'!$A:$A,'RAWDATA Cars Buyers DB'!C:C)="F","Female","Male")</f>
        <v>Male</v>
      </c>
      <c r="D814" s="7">
        <f>_xlfn.XLOOKUP($A814,'RAWDATA Cars Buyers DB'!$A:$A,'RAWDATA Cars Buyers DB'!D:D)</f>
        <v>51312</v>
      </c>
      <c r="E814" s="8">
        <f>_xlfn.XLOOKUP($A814,'RAWDATA Cars Buyers DB'!$A:$A,'RAWDATA Cars Buyers DB'!E:E)</f>
        <v>5</v>
      </c>
      <c r="F814" s="8" t="str">
        <f>_xlfn.XLOOKUP($A814,'RAWDATA Cars Buyers DB'!$A:$A,'RAWDATA Cars Buyers DB'!F:F)</f>
        <v>Graduate Degree</v>
      </c>
      <c r="G814" s="8" t="str">
        <f>_xlfn.XLOOKUP($A814,'RAWDATA Cars Buyers DB'!$A:$A,'RAWDATA Cars Buyers DB'!G:G)</f>
        <v>Professional</v>
      </c>
      <c r="H814" s="8" t="str">
        <f>_xlfn.XLOOKUP($A814,'RAWDATA Cars Buyers DB'!$A:$A,'RAWDATA Cars Buyers DB'!H:H)</f>
        <v>No</v>
      </c>
      <c r="I814" s="8" t="str">
        <f>_xlfn.XLOOKUP($A814,'RAWDATA Cars Buyers DB'!$A:$A,'RAWDATA Cars Buyers DB'!I:I)</f>
        <v>4–6 Kilometre</v>
      </c>
      <c r="J814" s="8" t="str">
        <f>_xlfn.XLOOKUP($A814,'RAWDATA Cars Buyers DB'!$A:$A,'RAWDATA Cars Buyers DB'!J:J)</f>
        <v>Berlin</v>
      </c>
      <c r="K814" s="8">
        <f>_xlfn.XLOOKUP($A814,'RAWDATA Cars Buyers DB'!$A:$A,'RAWDATA Cars Buyers DB'!K:K)</f>
        <v>39</v>
      </c>
      <c r="L814" s="10" t="str">
        <f>IF(_xlfn.XLOOKUP($A814,'RAWDATA Cars Buyers DB'!$A:$A,'RAWDATA Cars Buyers DB'!K:K)&gt;54,"Old ",IF(_xlfn.XLOOKUP($A814,'RAWDATA Cars Buyers DB'!$A:$A,'RAWDATA Cars Buyers DB'!K:K)&gt;=31,"Middle Age ",IF(_xlfn.XLOOKUP($A814,'RAWDATA Cars Buyers DB'!$A:$A,'RAWDATA Cars Buyers DB'!K:K)&lt;31,"Adolescent","Invalid")))</f>
        <v xml:space="preserve">Middle Age </v>
      </c>
      <c r="M814" s="8" t="str">
        <f>_xlfn.XLOOKUP($A814,'RAWDATA Cars Buyers DB'!$A:$A,'RAWDATA Cars Buyers DB'!L:L)</f>
        <v>No</v>
      </c>
    </row>
    <row r="815" spans="1:13">
      <c r="A815" s="6">
        <v>32415</v>
      </c>
      <c r="B815" s="10" t="str">
        <f>IF(_xlfn.XLOOKUP($A815,'RAWDATA Cars Buyers DB'!$A:$A,'RAWDATA Cars Buyers DB'!B:B)="S","Single","Married")</f>
        <v>Married</v>
      </c>
      <c r="C815" s="10" t="str">
        <f>IF(_xlfn.XLOOKUP($A815,'RAWDATA Cars Buyers DB'!$A:$A,'RAWDATA Cars Buyers DB'!C:C)="F","Female","Male")</f>
        <v>Female</v>
      </c>
      <c r="D815" s="7">
        <f>_xlfn.XLOOKUP($A815,'RAWDATA Cars Buyers DB'!$A:$A,'RAWDATA Cars Buyers DB'!D:D)</f>
        <v>65242</v>
      </c>
      <c r="E815" s="8">
        <f>_xlfn.XLOOKUP($A815,'RAWDATA Cars Buyers DB'!$A:$A,'RAWDATA Cars Buyers DB'!E:E)</f>
        <v>1</v>
      </c>
      <c r="F815" s="8" t="str">
        <f>_xlfn.XLOOKUP($A815,'RAWDATA Cars Buyers DB'!$A:$A,'RAWDATA Cars Buyers DB'!F:F)</f>
        <v>Graduate Degree</v>
      </c>
      <c r="G815" s="8" t="str">
        <f>_xlfn.XLOOKUP($A815,'RAWDATA Cars Buyers DB'!$A:$A,'RAWDATA Cars Buyers DB'!G:G)</f>
        <v>Clerical</v>
      </c>
      <c r="H815" s="8" t="str">
        <f>_xlfn.XLOOKUP($A815,'RAWDATA Cars Buyers DB'!$A:$A,'RAWDATA Cars Buyers DB'!H:H)</f>
        <v>Yes</v>
      </c>
      <c r="I815" s="8" t="str">
        <f>_xlfn.XLOOKUP($A815,'RAWDATA Cars Buyers DB'!$A:$A,'RAWDATA Cars Buyers DB'!I:I)</f>
        <v>1–2 Kilometre</v>
      </c>
      <c r="J815" s="8" t="str">
        <f>_xlfn.XLOOKUP($A815,'RAWDATA Cars Buyers DB'!$A:$A,'RAWDATA Cars Buyers DB'!J:J)</f>
        <v>Hesse</v>
      </c>
      <c r="K815" s="8">
        <f>_xlfn.XLOOKUP($A815,'RAWDATA Cars Buyers DB'!$A:$A,'RAWDATA Cars Buyers DB'!K:K)</f>
        <v>32</v>
      </c>
      <c r="L815" s="10" t="str">
        <f>IF(_xlfn.XLOOKUP($A815,'RAWDATA Cars Buyers DB'!$A:$A,'RAWDATA Cars Buyers DB'!K:K)&gt;54,"Old ",IF(_xlfn.XLOOKUP($A815,'RAWDATA Cars Buyers DB'!$A:$A,'RAWDATA Cars Buyers DB'!K:K)&gt;=31,"Middle Age ",IF(_xlfn.XLOOKUP($A815,'RAWDATA Cars Buyers DB'!$A:$A,'RAWDATA Cars Buyers DB'!K:K)&lt;31,"Adolescent","Invalid")))</f>
        <v xml:space="preserve">Middle Age </v>
      </c>
      <c r="M815" s="8" t="str">
        <f>_xlfn.XLOOKUP($A815,'RAWDATA Cars Buyers DB'!$A:$A,'RAWDATA Cars Buyers DB'!L:L)</f>
        <v>No</v>
      </c>
    </row>
    <row r="816" spans="1:13">
      <c r="A816" s="6">
        <v>34071</v>
      </c>
      <c r="B816" s="10" t="str">
        <f>IF(_xlfn.XLOOKUP($A816,'RAWDATA Cars Buyers DB'!$A:$A,'RAWDATA Cars Buyers DB'!B:B)="S","Single","Married")</f>
        <v>Single</v>
      </c>
      <c r="C816" s="10" t="str">
        <f>IF(_xlfn.XLOOKUP($A816,'RAWDATA Cars Buyers DB'!$A:$A,'RAWDATA Cars Buyers DB'!C:C)="F","Female","Male")</f>
        <v>Male</v>
      </c>
      <c r="D816" s="7">
        <f>_xlfn.XLOOKUP($A816,'RAWDATA Cars Buyers DB'!$A:$A,'RAWDATA Cars Buyers DB'!D:D)</f>
        <v>113783</v>
      </c>
      <c r="E816" s="8">
        <f>_xlfn.XLOOKUP($A816,'RAWDATA Cars Buyers DB'!$A:$A,'RAWDATA Cars Buyers DB'!E:E)</f>
        <v>3</v>
      </c>
      <c r="F816" s="8" t="str">
        <f>_xlfn.XLOOKUP($A816,'RAWDATA Cars Buyers DB'!$A:$A,'RAWDATA Cars Buyers DB'!F:F)</f>
        <v>Partial College</v>
      </c>
      <c r="G816" s="8" t="str">
        <f>_xlfn.XLOOKUP($A816,'RAWDATA Cars Buyers DB'!$A:$A,'RAWDATA Cars Buyers DB'!G:G)</f>
        <v>Management</v>
      </c>
      <c r="H816" s="8" t="str">
        <f>_xlfn.XLOOKUP($A816,'RAWDATA Cars Buyers DB'!$A:$A,'RAWDATA Cars Buyers DB'!H:H)</f>
        <v>No</v>
      </c>
      <c r="I816" s="8" t="str">
        <f>_xlfn.XLOOKUP($A816,'RAWDATA Cars Buyers DB'!$A:$A,'RAWDATA Cars Buyers DB'!I:I)</f>
        <v>0–1 Kilometre</v>
      </c>
      <c r="J816" s="8" t="str">
        <f>_xlfn.XLOOKUP($A816,'RAWDATA Cars Buyers DB'!$A:$A,'RAWDATA Cars Buyers DB'!J:J)</f>
        <v>North Rhine-Westphalia</v>
      </c>
      <c r="K816" s="8">
        <f>_xlfn.XLOOKUP($A816,'RAWDATA Cars Buyers DB'!$A:$A,'RAWDATA Cars Buyers DB'!K:K)</f>
        <v>52</v>
      </c>
      <c r="L816" s="10" t="str">
        <f>IF(_xlfn.XLOOKUP($A816,'RAWDATA Cars Buyers DB'!$A:$A,'RAWDATA Cars Buyers DB'!K:K)&gt;54,"Old ",IF(_xlfn.XLOOKUP($A816,'RAWDATA Cars Buyers DB'!$A:$A,'RAWDATA Cars Buyers DB'!K:K)&gt;=31,"Middle Age ",IF(_xlfn.XLOOKUP($A816,'RAWDATA Cars Buyers DB'!$A:$A,'RAWDATA Cars Buyers DB'!K:K)&lt;31,"Adolescent","Invalid")))</f>
        <v xml:space="preserve">Middle Age </v>
      </c>
      <c r="M816" s="8" t="str">
        <f>_xlfn.XLOOKUP($A816,'RAWDATA Cars Buyers DB'!$A:$A,'RAWDATA Cars Buyers DB'!L:L)</f>
        <v>No</v>
      </c>
    </row>
    <row r="817" spans="1:13">
      <c r="A817" s="6">
        <v>68243</v>
      </c>
      <c r="B817" s="10" t="str">
        <f>IF(_xlfn.XLOOKUP($A817,'RAWDATA Cars Buyers DB'!$A:$A,'RAWDATA Cars Buyers DB'!B:B)="S","Single","Married")</f>
        <v>Single</v>
      </c>
      <c r="C817" s="10" t="str">
        <f>IF(_xlfn.XLOOKUP($A817,'RAWDATA Cars Buyers DB'!$A:$A,'RAWDATA Cars Buyers DB'!C:C)="F","Female","Male")</f>
        <v>Male</v>
      </c>
      <c r="D817" s="7">
        <f>_xlfn.XLOOKUP($A817,'RAWDATA Cars Buyers DB'!$A:$A,'RAWDATA Cars Buyers DB'!D:D)</f>
        <v>107893</v>
      </c>
      <c r="E817" s="8">
        <f>_xlfn.XLOOKUP($A817,'RAWDATA Cars Buyers DB'!$A:$A,'RAWDATA Cars Buyers DB'!E:E)</f>
        <v>5</v>
      </c>
      <c r="F817" s="8" t="str">
        <f>_xlfn.XLOOKUP($A817,'RAWDATA Cars Buyers DB'!$A:$A,'RAWDATA Cars Buyers DB'!F:F)</f>
        <v>Bachelors</v>
      </c>
      <c r="G817" s="8" t="str">
        <f>_xlfn.XLOOKUP($A817,'RAWDATA Cars Buyers DB'!$A:$A,'RAWDATA Cars Buyers DB'!G:G)</f>
        <v>Professional</v>
      </c>
      <c r="H817" s="8" t="str">
        <f>_xlfn.XLOOKUP($A817,'RAWDATA Cars Buyers DB'!$A:$A,'RAWDATA Cars Buyers DB'!H:H)</f>
        <v>No</v>
      </c>
      <c r="I817" s="8" t="str">
        <f>_xlfn.XLOOKUP($A817,'RAWDATA Cars Buyers DB'!$A:$A,'RAWDATA Cars Buyers DB'!I:I)</f>
        <v>0–1 Kilometre</v>
      </c>
      <c r="J817" s="8" t="str">
        <f>_xlfn.XLOOKUP($A817,'RAWDATA Cars Buyers DB'!$A:$A,'RAWDATA Cars Buyers DB'!J:J)</f>
        <v>Berlin</v>
      </c>
      <c r="K817" s="8">
        <f>_xlfn.XLOOKUP($A817,'RAWDATA Cars Buyers DB'!$A:$A,'RAWDATA Cars Buyers DB'!K:K)</f>
        <v>24</v>
      </c>
      <c r="L817" s="10" t="str">
        <f>IF(_xlfn.XLOOKUP($A817,'RAWDATA Cars Buyers DB'!$A:$A,'RAWDATA Cars Buyers DB'!K:K)&gt;54,"Old ",IF(_xlfn.XLOOKUP($A817,'RAWDATA Cars Buyers DB'!$A:$A,'RAWDATA Cars Buyers DB'!K:K)&gt;=31,"Middle Age ",IF(_xlfn.XLOOKUP($A817,'RAWDATA Cars Buyers DB'!$A:$A,'RAWDATA Cars Buyers DB'!K:K)&lt;31,"Adolescent","Invalid")))</f>
        <v>Adolescent</v>
      </c>
      <c r="M817" s="8" t="str">
        <f>_xlfn.XLOOKUP($A817,'RAWDATA Cars Buyers DB'!$A:$A,'RAWDATA Cars Buyers DB'!L:L)</f>
        <v>No</v>
      </c>
    </row>
    <row r="818" spans="1:13">
      <c r="A818" s="6">
        <v>51240</v>
      </c>
      <c r="B818" s="10" t="str">
        <f>IF(_xlfn.XLOOKUP($A818,'RAWDATA Cars Buyers DB'!$A:$A,'RAWDATA Cars Buyers DB'!B:B)="S","Single","Married")</f>
        <v>Single</v>
      </c>
      <c r="C818" s="10" t="str">
        <f>IF(_xlfn.XLOOKUP($A818,'RAWDATA Cars Buyers DB'!$A:$A,'RAWDATA Cars Buyers DB'!C:C)="F","Female","Male")</f>
        <v>Male</v>
      </c>
      <c r="D818" s="7">
        <f>_xlfn.XLOOKUP($A818,'RAWDATA Cars Buyers DB'!$A:$A,'RAWDATA Cars Buyers DB'!D:D)</f>
        <v>75388</v>
      </c>
      <c r="E818" s="8">
        <f>_xlfn.XLOOKUP($A818,'RAWDATA Cars Buyers DB'!$A:$A,'RAWDATA Cars Buyers DB'!E:E)</f>
        <v>1</v>
      </c>
      <c r="F818" s="8" t="str">
        <f>_xlfn.XLOOKUP($A818,'RAWDATA Cars Buyers DB'!$A:$A,'RAWDATA Cars Buyers DB'!F:F)</f>
        <v>High School</v>
      </c>
      <c r="G818" s="8" t="str">
        <f>_xlfn.XLOOKUP($A818,'RAWDATA Cars Buyers DB'!$A:$A,'RAWDATA Cars Buyers DB'!G:G)</f>
        <v>Management</v>
      </c>
      <c r="H818" s="8" t="str">
        <f>_xlfn.XLOOKUP($A818,'RAWDATA Cars Buyers DB'!$A:$A,'RAWDATA Cars Buyers DB'!H:H)</f>
        <v>Yes</v>
      </c>
      <c r="I818" s="8" t="str">
        <f>_xlfn.XLOOKUP($A818,'RAWDATA Cars Buyers DB'!$A:$A,'RAWDATA Cars Buyers DB'!I:I)</f>
        <v>0–1 Kilometre</v>
      </c>
      <c r="J818" s="8" t="str">
        <f>_xlfn.XLOOKUP($A818,'RAWDATA Cars Buyers DB'!$A:$A,'RAWDATA Cars Buyers DB'!J:J)</f>
        <v>Berlin</v>
      </c>
      <c r="K818" s="8">
        <f>_xlfn.XLOOKUP($A818,'RAWDATA Cars Buyers DB'!$A:$A,'RAWDATA Cars Buyers DB'!K:K)</f>
        <v>56</v>
      </c>
      <c r="L818" s="10" t="str">
        <f>IF(_xlfn.XLOOKUP($A818,'RAWDATA Cars Buyers DB'!$A:$A,'RAWDATA Cars Buyers DB'!K:K)&gt;54,"Old ",IF(_xlfn.XLOOKUP($A818,'RAWDATA Cars Buyers DB'!$A:$A,'RAWDATA Cars Buyers DB'!K:K)&gt;=31,"Middle Age ",IF(_xlfn.XLOOKUP($A818,'RAWDATA Cars Buyers DB'!$A:$A,'RAWDATA Cars Buyers DB'!K:K)&lt;31,"Adolescent","Invalid")))</f>
        <v xml:space="preserve">Old </v>
      </c>
      <c r="M818" s="8" t="str">
        <f>_xlfn.XLOOKUP($A818,'RAWDATA Cars Buyers DB'!$A:$A,'RAWDATA Cars Buyers DB'!L:L)</f>
        <v>Yes</v>
      </c>
    </row>
    <row r="819" spans="1:13">
      <c r="A819" s="6">
        <v>93807</v>
      </c>
      <c r="B819" s="10" t="str">
        <f>IF(_xlfn.XLOOKUP($A819,'RAWDATA Cars Buyers DB'!$A:$A,'RAWDATA Cars Buyers DB'!B:B)="S","Single","Married")</f>
        <v>Single</v>
      </c>
      <c r="C819" s="10" t="str">
        <f>IF(_xlfn.XLOOKUP($A819,'RAWDATA Cars Buyers DB'!$A:$A,'RAWDATA Cars Buyers DB'!C:C)="F","Female","Male")</f>
        <v>Male</v>
      </c>
      <c r="D819" s="7">
        <f>_xlfn.XLOOKUP($A819,'RAWDATA Cars Buyers DB'!$A:$A,'RAWDATA Cars Buyers DB'!D:D)</f>
        <v>47691</v>
      </c>
      <c r="E819" s="8">
        <f>_xlfn.XLOOKUP($A819,'RAWDATA Cars Buyers DB'!$A:$A,'RAWDATA Cars Buyers DB'!E:E)</f>
        <v>2</v>
      </c>
      <c r="F819" s="8" t="str">
        <f>_xlfn.XLOOKUP($A819,'RAWDATA Cars Buyers DB'!$A:$A,'RAWDATA Cars Buyers DB'!F:F)</f>
        <v>Bachelors</v>
      </c>
      <c r="G819" s="8" t="str">
        <f>_xlfn.XLOOKUP($A819,'RAWDATA Cars Buyers DB'!$A:$A,'RAWDATA Cars Buyers DB'!G:G)</f>
        <v>Professional</v>
      </c>
      <c r="H819" s="8" t="str">
        <f>_xlfn.XLOOKUP($A819,'RAWDATA Cars Buyers DB'!$A:$A,'RAWDATA Cars Buyers DB'!H:H)</f>
        <v>Yes</v>
      </c>
      <c r="I819" s="8" t="str">
        <f>_xlfn.XLOOKUP($A819,'RAWDATA Cars Buyers DB'!$A:$A,'RAWDATA Cars Buyers DB'!I:I)</f>
        <v>0–1 Kilometre</v>
      </c>
      <c r="J819" s="8" t="str">
        <f>_xlfn.XLOOKUP($A819,'RAWDATA Cars Buyers DB'!$A:$A,'RAWDATA Cars Buyers DB'!J:J)</f>
        <v>Mecklenburg-Vorpommern</v>
      </c>
      <c r="K819" s="8">
        <f>_xlfn.XLOOKUP($A819,'RAWDATA Cars Buyers DB'!$A:$A,'RAWDATA Cars Buyers DB'!K:K)</f>
        <v>33</v>
      </c>
      <c r="L819" s="10" t="str">
        <f>IF(_xlfn.XLOOKUP($A819,'RAWDATA Cars Buyers DB'!$A:$A,'RAWDATA Cars Buyers DB'!K:K)&gt;54,"Old ",IF(_xlfn.XLOOKUP($A819,'RAWDATA Cars Buyers DB'!$A:$A,'RAWDATA Cars Buyers DB'!K:K)&gt;=31,"Middle Age ",IF(_xlfn.XLOOKUP($A819,'RAWDATA Cars Buyers DB'!$A:$A,'RAWDATA Cars Buyers DB'!K:K)&lt;31,"Adolescent","Invalid")))</f>
        <v xml:space="preserve">Middle Age </v>
      </c>
      <c r="M819" s="8" t="str">
        <f>_xlfn.XLOOKUP($A819,'RAWDATA Cars Buyers DB'!$A:$A,'RAWDATA Cars Buyers DB'!L:L)</f>
        <v>Yes</v>
      </c>
    </row>
    <row r="820" spans="1:13">
      <c r="A820" s="6">
        <v>43434</v>
      </c>
      <c r="B820" s="10" t="str">
        <f>IF(_xlfn.XLOOKUP($A820,'RAWDATA Cars Buyers DB'!$A:$A,'RAWDATA Cars Buyers DB'!B:B)="S","Single","Married")</f>
        <v>Single</v>
      </c>
      <c r="C820" s="10" t="str">
        <f>IF(_xlfn.XLOOKUP($A820,'RAWDATA Cars Buyers DB'!$A:$A,'RAWDATA Cars Buyers DB'!C:C)="F","Female","Male")</f>
        <v>Male</v>
      </c>
      <c r="D820" s="7">
        <f>_xlfn.XLOOKUP($A820,'RAWDATA Cars Buyers DB'!$A:$A,'RAWDATA Cars Buyers DB'!D:D)</f>
        <v>97960</v>
      </c>
      <c r="E820" s="8">
        <f>_xlfn.XLOOKUP($A820,'RAWDATA Cars Buyers DB'!$A:$A,'RAWDATA Cars Buyers DB'!E:E)</f>
        <v>3</v>
      </c>
      <c r="F820" s="8" t="str">
        <f>_xlfn.XLOOKUP($A820,'RAWDATA Cars Buyers DB'!$A:$A,'RAWDATA Cars Buyers DB'!F:F)</f>
        <v>Bachelors</v>
      </c>
      <c r="G820" s="8" t="str">
        <f>_xlfn.XLOOKUP($A820,'RAWDATA Cars Buyers DB'!$A:$A,'RAWDATA Cars Buyers DB'!G:G)</f>
        <v>Skilled Manual</v>
      </c>
      <c r="H820" s="8" t="str">
        <f>_xlfn.XLOOKUP($A820,'RAWDATA Cars Buyers DB'!$A:$A,'RAWDATA Cars Buyers DB'!H:H)</f>
        <v>No</v>
      </c>
      <c r="I820" s="8" t="str">
        <f>_xlfn.XLOOKUP($A820,'RAWDATA Cars Buyers DB'!$A:$A,'RAWDATA Cars Buyers DB'!I:I)</f>
        <v>2–4 Kilometre</v>
      </c>
      <c r="J820" s="8" t="str">
        <f>_xlfn.XLOOKUP($A820,'RAWDATA Cars Buyers DB'!$A:$A,'RAWDATA Cars Buyers DB'!J:J)</f>
        <v>North Rhine-Westphalia</v>
      </c>
      <c r="K820" s="8">
        <f>_xlfn.XLOOKUP($A820,'RAWDATA Cars Buyers DB'!$A:$A,'RAWDATA Cars Buyers DB'!K:K)</f>
        <v>46</v>
      </c>
      <c r="L820" s="10" t="str">
        <f>IF(_xlfn.XLOOKUP($A820,'RAWDATA Cars Buyers DB'!$A:$A,'RAWDATA Cars Buyers DB'!K:K)&gt;54,"Old ",IF(_xlfn.XLOOKUP($A820,'RAWDATA Cars Buyers DB'!$A:$A,'RAWDATA Cars Buyers DB'!K:K)&gt;=31,"Middle Age ",IF(_xlfn.XLOOKUP($A820,'RAWDATA Cars Buyers DB'!$A:$A,'RAWDATA Cars Buyers DB'!K:K)&lt;31,"Adolescent","Invalid")))</f>
        <v xml:space="preserve">Middle Age </v>
      </c>
      <c r="M820" s="8" t="str">
        <f>_xlfn.XLOOKUP($A820,'RAWDATA Cars Buyers DB'!$A:$A,'RAWDATA Cars Buyers DB'!L:L)</f>
        <v>Yes</v>
      </c>
    </row>
    <row r="821" spans="1:13">
      <c r="A821" s="6">
        <v>79724</v>
      </c>
      <c r="B821" s="10" t="str">
        <f>IF(_xlfn.XLOOKUP($A821,'RAWDATA Cars Buyers DB'!$A:$A,'RAWDATA Cars Buyers DB'!B:B)="S","Single","Married")</f>
        <v>Married</v>
      </c>
      <c r="C821" s="10" t="str">
        <f>IF(_xlfn.XLOOKUP($A821,'RAWDATA Cars Buyers DB'!$A:$A,'RAWDATA Cars Buyers DB'!C:C)="F","Female","Male")</f>
        <v>Male</v>
      </c>
      <c r="D821" s="7">
        <f>_xlfn.XLOOKUP($A821,'RAWDATA Cars Buyers DB'!$A:$A,'RAWDATA Cars Buyers DB'!D:D)</f>
        <v>104388</v>
      </c>
      <c r="E821" s="8">
        <f>_xlfn.XLOOKUP($A821,'RAWDATA Cars Buyers DB'!$A:$A,'RAWDATA Cars Buyers DB'!E:E)</f>
        <v>2</v>
      </c>
      <c r="F821" s="8" t="str">
        <f>_xlfn.XLOOKUP($A821,'RAWDATA Cars Buyers DB'!$A:$A,'RAWDATA Cars Buyers DB'!F:F)</f>
        <v>Graduate Degree</v>
      </c>
      <c r="G821" s="8" t="str">
        <f>_xlfn.XLOOKUP($A821,'RAWDATA Cars Buyers DB'!$A:$A,'RAWDATA Cars Buyers DB'!G:G)</f>
        <v>Management</v>
      </c>
      <c r="H821" s="8" t="str">
        <f>_xlfn.XLOOKUP($A821,'RAWDATA Cars Buyers DB'!$A:$A,'RAWDATA Cars Buyers DB'!H:H)</f>
        <v>Yes</v>
      </c>
      <c r="I821" s="8" t="str">
        <f>_xlfn.XLOOKUP($A821,'RAWDATA Cars Buyers DB'!$A:$A,'RAWDATA Cars Buyers DB'!I:I)</f>
        <v>4–6 Kilometre</v>
      </c>
      <c r="J821" s="8" t="str">
        <f>_xlfn.XLOOKUP($A821,'RAWDATA Cars Buyers DB'!$A:$A,'RAWDATA Cars Buyers DB'!J:J)</f>
        <v>Bavaria</v>
      </c>
      <c r="K821" s="8">
        <f>_xlfn.XLOOKUP($A821,'RAWDATA Cars Buyers DB'!$A:$A,'RAWDATA Cars Buyers DB'!K:K)</f>
        <v>42</v>
      </c>
      <c r="L821" s="10" t="str">
        <f>IF(_xlfn.XLOOKUP($A821,'RAWDATA Cars Buyers DB'!$A:$A,'RAWDATA Cars Buyers DB'!K:K)&gt;54,"Old ",IF(_xlfn.XLOOKUP($A821,'RAWDATA Cars Buyers DB'!$A:$A,'RAWDATA Cars Buyers DB'!K:K)&gt;=31,"Middle Age ",IF(_xlfn.XLOOKUP($A821,'RAWDATA Cars Buyers DB'!$A:$A,'RAWDATA Cars Buyers DB'!K:K)&lt;31,"Adolescent","Invalid")))</f>
        <v xml:space="preserve">Middle Age </v>
      </c>
      <c r="M821" s="8" t="str">
        <f>_xlfn.XLOOKUP($A821,'RAWDATA Cars Buyers DB'!$A:$A,'RAWDATA Cars Buyers DB'!L:L)</f>
        <v>No</v>
      </c>
    </row>
    <row r="822" spans="1:13">
      <c r="A822" s="6">
        <v>85697</v>
      </c>
      <c r="B822" s="10" t="str">
        <f>IF(_xlfn.XLOOKUP($A822,'RAWDATA Cars Buyers DB'!$A:$A,'RAWDATA Cars Buyers DB'!B:B)="S","Single","Married")</f>
        <v>Married</v>
      </c>
      <c r="C822" s="10" t="str">
        <f>IF(_xlfn.XLOOKUP($A822,'RAWDATA Cars Buyers DB'!$A:$A,'RAWDATA Cars Buyers DB'!C:C)="F","Female","Male")</f>
        <v>Male</v>
      </c>
      <c r="D822" s="7">
        <f>_xlfn.XLOOKUP($A822,'RAWDATA Cars Buyers DB'!$A:$A,'RAWDATA Cars Buyers DB'!D:D)</f>
        <v>42601</v>
      </c>
      <c r="E822" s="8">
        <f>_xlfn.XLOOKUP($A822,'RAWDATA Cars Buyers DB'!$A:$A,'RAWDATA Cars Buyers DB'!E:E)</f>
        <v>5</v>
      </c>
      <c r="F822" s="8" t="str">
        <f>_xlfn.XLOOKUP($A822,'RAWDATA Cars Buyers DB'!$A:$A,'RAWDATA Cars Buyers DB'!F:F)</f>
        <v>High School</v>
      </c>
      <c r="G822" s="8" t="str">
        <f>_xlfn.XLOOKUP($A822,'RAWDATA Cars Buyers DB'!$A:$A,'RAWDATA Cars Buyers DB'!G:G)</f>
        <v>Clerical</v>
      </c>
      <c r="H822" s="8" t="str">
        <f>_xlfn.XLOOKUP($A822,'RAWDATA Cars Buyers DB'!$A:$A,'RAWDATA Cars Buyers DB'!H:H)</f>
        <v>No</v>
      </c>
      <c r="I822" s="8" t="str">
        <f>_xlfn.XLOOKUP($A822,'RAWDATA Cars Buyers DB'!$A:$A,'RAWDATA Cars Buyers DB'!I:I)</f>
        <v>6+ Kilometre</v>
      </c>
      <c r="J822" s="8" t="str">
        <f>_xlfn.XLOOKUP($A822,'RAWDATA Cars Buyers DB'!$A:$A,'RAWDATA Cars Buyers DB'!J:J)</f>
        <v>Saarland</v>
      </c>
      <c r="K822" s="8">
        <f>_xlfn.XLOOKUP($A822,'RAWDATA Cars Buyers DB'!$A:$A,'RAWDATA Cars Buyers DB'!K:K)</f>
        <v>33</v>
      </c>
      <c r="L822" s="10" t="str">
        <f>IF(_xlfn.XLOOKUP($A822,'RAWDATA Cars Buyers DB'!$A:$A,'RAWDATA Cars Buyers DB'!K:K)&gt;54,"Old ",IF(_xlfn.XLOOKUP($A822,'RAWDATA Cars Buyers DB'!$A:$A,'RAWDATA Cars Buyers DB'!K:K)&gt;=31,"Middle Age ",IF(_xlfn.XLOOKUP($A822,'RAWDATA Cars Buyers DB'!$A:$A,'RAWDATA Cars Buyers DB'!K:K)&lt;31,"Adolescent","Invalid")))</f>
        <v xml:space="preserve">Middle Age </v>
      </c>
      <c r="M822" s="8" t="str">
        <f>_xlfn.XLOOKUP($A822,'RAWDATA Cars Buyers DB'!$A:$A,'RAWDATA Cars Buyers DB'!L:L)</f>
        <v>Yes</v>
      </c>
    </row>
    <row r="823" spans="1:13">
      <c r="A823" s="6">
        <v>38732</v>
      </c>
      <c r="B823" s="10" t="str">
        <f>IF(_xlfn.XLOOKUP($A823,'RAWDATA Cars Buyers DB'!$A:$A,'RAWDATA Cars Buyers DB'!B:B)="S","Single","Married")</f>
        <v>Married</v>
      </c>
      <c r="C823" s="10" t="str">
        <f>IF(_xlfn.XLOOKUP($A823,'RAWDATA Cars Buyers DB'!$A:$A,'RAWDATA Cars Buyers DB'!C:C)="F","Female","Male")</f>
        <v>Female</v>
      </c>
      <c r="D823" s="7">
        <f>_xlfn.XLOOKUP($A823,'RAWDATA Cars Buyers DB'!$A:$A,'RAWDATA Cars Buyers DB'!D:D)</f>
        <v>38020</v>
      </c>
      <c r="E823" s="8">
        <f>_xlfn.XLOOKUP($A823,'RAWDATA Cars Buyers DB'!$A:$A,'RAWDATA Cars Buyers DB'!E:E)</f>
        <v>3</v>
      </c>
      <c r="F823" s="8" t="str">
        <f>_xlfn.XLOOKUP($A823,'RAWDATA Cars Buyers DB'!$A:$A,'RAWDATA Cars Buyers DB'!F:F)</f>
        <v>Bachelors</v>
      </c>
      <c r="G823" s="8" t="str">
        <f>_xlfn.XLOOKUP($A823,'RAWDATA Cars Buyers DB'!$A:$A,'RAWDATA Cars Buyers DB'!G:G)</f>
        <v>Skilled Manual</v>
      </c>
      <c r="H823" s="8" t="str">
        <f>_xlfn.XLOOKUP($A823,'RAWDATA Cars Buyers DB'!$A:$A,'RAWDATA Cars Buyers DB'!H:H)</f>
        <v>Yes</v>
      </c>
      <c r="I823" s="8" t="str">
        <f>_xlfn.XLOOKUP($A823,'RAWDATA Cars Buyers DB'!$A:$A,'RAWDATA Cars Buyers DB'!I:I)</f>
        <v>1–2 Kilometre</v>
      </c>
      <c r="J823" s="8" t="str">
        <f>_xlfn.XLOOKUP($A823,'RAWDATA Cars Buyers DB'!$A:$A,'RAWDATA Cars Buyers DB'!J:J)</f>
        <v>Berlin</v>
      </c>
      <c r="K823" s="8">
        <f>_xlfn.XLOOKUP($A823,'RAWDATA Cars Buyers DB'!$A:$A,'RAWDATA Cars Buyers DB'!K:K)</f>
        <v>59</v>
      </c>
      <c r="L823" s="10" t="str">
        <f>IF(_xlfn.XLOOKUP($A823,'RAWDATA Cars Buyers DB'!$A:$A,'RAWDATA Cars Buyers DB'!K:K)&gt;54,"Old ",IF(_xlfn.XLOOKUP($A823,'RAWDATA Cars Buyers DB'!$A:$A,'RAWDATA Cars Buyers DB'!K:K)&gt;=31,"Middle Age ",IF(_xlfn.XLOOKUP($A823,'RAWDATA Cars Buyers DB'!$A:$A,'RAWDATA Cars Buyers DB'!K:K)&lt;31,"Adolescent","Invalid")))</f>
        <v xml:space="preserve">Old </v>
      </c>
      <c r="M823" s="8" t="str">
        <f>_xlfn.XLOOKUP($A823,'RAWDATA Cars Buyers DB'!$A:$A,'RAWDATA Cars Buyers DB'!L:L)</f>
        <v>No</v>
      </c>
    </row>
    <row r="824" spans="1:13">
      <c r="A824" s="6">
        <v>21314</v>
      </c>
      <c r="B824" s="10" t="str">
        <f>IF(_xlfn.XLOOKUP($A824,'RAWDATA Cars Buyers DB'!$A:$A,'RAWDATA Cars Buyers DB'!B:B)="S","Single","Married")</f>
        <v>Married</v>
      </c>
      <c r="C824" s="10" t="str">
        <f>IF(_xlfn.XLOOKUP($A824,'RAWDATA Cars Buyers DB'!$A:$A,'RAWDATA Cars Buyers DB'!C:C)="F","Female","Male")</f>
        <v>Female</v>
      </c>
      <c r="D824" s="7">
        <f>_xlfn.XLOOKUP($A824,'RAWDATA Cars Buyers DB'!$A:$A,'RAWDATA Cars Buyers DB'!D:D)</f>
        <v>28155</v>
      </c>
      <c r="E824" s="8">
        <f>_xlfn.XLOOKUP($A824,'RAWDATA Cars Buyers DB'!$A:$A,'RAWDATA Cars Buyers DB'!E:E)</f>
        <v>4</v>
      </c>
      <c r="F824" s="8" t="str">
        <f>_xlfn.XLOOKUP($A824,'RAWDATA Cars Buyers DB'!$A:$A,'RAWDATA Cars Buyers DB'!F:F)</f>
        <v>Bachelors</v>
      </c>
      <c r="G824" s="8" t="str">
        <f>_xlfn.XLOOKUP($A824,'RAWDATA Cars Buyers DB'!$A:$A,'RAWDATA Cars Buyers DB'!G:G)</f>
        <v>Clerical</v>
      </c>
      <c r="H824" s="8" t="str">
        <f>_xlfn.XLOOKUP($A824,'RAWDATA Cars Buyers DB'!$A:$A,'RAWDATA Cars Buyers DB'!H:H)</f>
        <v>Yes</v>
      </c>
      <c r="I824" s="8" t="str">
        <f>_xlfn.XLOOKUP($A824,'RAWDATA Cars Buyers DB'!$A:$A,'RAWDATA Cars Buyers DB'!I:I)</f>
        <v>0–1 Kilometre</v>
      </c>
      <c r="J824" s="8" t="str">
        <f>_xlfn.XLOOKUP($A824,'RAWDATA Cars Buyers DB'!$A:$A,'RAWDATA Cars Buyers DB'!J:J)</f>
        <v>North Rhine-Westphalia</v>
      </c>
      <c r="K824" s="8">
        <f>_xlfn.XLOOKUP($A824,'RAWDATA Cars Buyers DB'!$A:$A,'RAWDATA Cars Buyers DB'!K:K)</f>
        <v>23</v>
      </c>
      <c r="L824" s="10" t="str">
        <f>IF(_xlfn.XLOOKUP($A824,'RAWDATA Cars Buyers DB'!$A:$A,'RAWDATA Cars Buyers DB'!K:K)&gt;54,"Old ",IF(_xlfn.XLOOKUP($A824,'RAWDATA Cars Buyers DB'!$A:$A,'RAWDATA Cars Buyers DB'!K:K)&gt;=31,"Middle Age ",IF(_xlfn.XLOOKUP($A824,'RAWDATA Cars Buyers DB'!$A:$A,'RAWDATA Cars Buyers DB'!K:K)&lt;31,"Adolescent","Invalid")))</f>
        <v>Adolescent</v>
      </c>
      <c r="M824" s="8" t="str">
        <f>_xlfn.XLOOKUP($A824,'RAWDATA Cars Buyers DB'!$A:$A,'RAWDATA Cars Buyers DB'!L:L)</f>
        <v>No</v>
      </c>
    </row>
    <row r="825" spans="1:13">
      <c r="A825" s="6">
        <v>33954</v>
      </c>
      <c r="B825" s="10" t="str">
        <f>IF(_xlfn.XLOOKUP($A825,'RAWDATA Cars Buyers DB'!$A:$A,'RAWDATA Cars Buyers DB'!B:B)="S","Single","Married")</f>
        <v>Single</v>
      </c>
      <c r="C825" s="10" t="str">
        <f>IF(_xlfn.XLOOKUP($A825,'RAWDATA Cars Buyers DB'!$A:$A,'RAWDATA Cars Buyers DB'!C:C)="F","Female","Male")</f>
        <v>Female</v>
      </c>
      <c r="D825" s="7">
        <f>_xlfn.XLOOKUP($A825,'RAWDATA Cars Buyers DB'!$A:$A,'RAWDATA Cars Buyers DB'!D:D)</f>
        <v>89119</v>
      </c>
      <c r="E825" s="8">
        <f>_xlfn.XLOOKUP($A825,'RAWDATA Cars Buyers DB'!$A:$A,'RAWDATA Cars Buyers DB'!E:E)</f>
        <v>1</v>
      </c>
      <c r="F825" s="8" t="str">
        <f>_xlfn.XLOOKUP($A825,'RAWDATA Cars Buyers DB'!$A:$A,'RAWDATA Cars Buyers DB'!F:F)</f>
        <v>High School</v>
      </c>
      <c r="G825" s="8" t="str">
        <f>_xlfn.XLOOKUP($A825,'RAWDATA Cars Buyers DB'!$A:$A,'RAWDATA Cars Buyers DB'!G:G)</f>
        <v>Professional</v>
      </c>
      <c r="H825" s="8" t="str">
        <f>_xlfn.XLOOKUP($A825,'RAWDATA Cars Buyers DB'!$A:$A,'RAWDATA Cars Buyers DB'!H:H)</f>
        <v>No</v>
      </c>
      <c r="I825" s="8" t="str">
        <f>_xlfn.XLOOKUP($A825,'RAWDATA Cars Buyers DB'!$A:$A,'RAWDATA Cars Buyers DB'!I:I)</f>
        <v>4–6 Kilometre</v>
      </c>
      <c r="J825" s="8" t="str">
        <f>_xlfn.XLOOKUP($A825,'RAWDATA Cars Buyers DB'!$A:$A,'RAWDATA Cars Buyers DB'!J:J)</f>
        <v>Schleswig-Holstein</v>
      </c>
      <c r="K825" s="8">
        <f>_xlfn.XLOOKUP($A825,'RAWDATA Cars Buyers DB'!$A:$A,'RAWDATA Cars Buyers DB'!K:K)</f>
        <v>58</v>
      </c>
      <c r="L825" s="10" t="str">
        <f>IF(_xlfn.XLOOKUP($A825,'RAWDATA Cars Buyers DB'!$A:$A,'RAWDATA Cars Buyers DB'!K:K)&gt;54,"Old ",IF(_xlfn.XLOOKUP($A825,'RAWDATA Cars Buyers DB'!$A:$A,'RAWDATA Cars Buyers DB'!K:K)&gt;=31,"Middle Age ",IF(_xlfn.XLOOKUP($A825,'RAWDATA Cars Buyers DB'!$A:$A,'RAWDATA Cars Buyers DB'!K:K)&lt;31,"Adolescent","Invalid")))</f>
        <v xml:space="preserve">Old </v>
      </c>
      <c r="M825" s="8" t="str">
        <f>_xlfn.XLOOKUP($A825,'RAWDATA Cars Buyers DB'!$A:$A,'RAWDATA Cars Buyers DB'!L:L)</f>
        <v>No</v>
      </c>
    </row>
    <row r="826" spans="1:13">
      <c r="A826" s="6">
        <v>67108</v>
      </c>
      <c r="B826" s="10" t="str">
        <f>IF(_xlfn.XLOOKUP($A826,'RAWDATA Cars Buyers DB'!$A:$A,'RAWDATA Cars Buyers DB'!B:B)="S","Single","Married")</f>
        <v>Married</v>
      </c>
      <c r="C826" s="10" t="str">
        <f>IF(_xlfn.XLOOKUP($A826,'RAWDATA Cars Buyers DB'!$A:$A,'RAWDATA Cars Buyers DB'!C:C)="F","Female","Male")</f>
        <v>Female</v>
      </c>
      <c r="D826" s="7">
        <f>_xlfn.XLOOKUP($A826,'RAWDATA Cars Buyers DB'!$A:$A,'RAWDATA Cars Buyers DB'!D:D)</f>
        <v>101051</v>
      </c>
      <c r="E826" s="8">
        <f>_xlfn.XLOOKUP($A826,'RAWDATA Cars Buyers DB'!$A:$A,'RAWDATA Cars Buyers DB'!E:E)</f>
        <v>5</v>
      </c>
      <c r="F826" s="8" t="str">
        <f>_xlfn.XLOOKUP($A826,'RAWDATA Cars Buyers DB'!$A:$A,'RAWDATA Cars Buyers DB'!F:F)</f>
        <v>Graduate Degree</v>
      </c>
      <c r="G826" s="8" t="str">
        <f>_xlfn.XLOOKUP($A826,'RAWDATA Cars Buyers DB'!$A:$A,'RAWDATA Cars Buyers DB'!G:G)</f>
        <v>Professional</v>
      </c>
      <c r="H826" s="8" t="str">
        <f>_xlfn.XLOOKUP($A826,'RAWDATA Cars Buyers DB'!$A:$A,'RAWDATA Cars Buyers DB'!H:H)</f>
        <v>No</v>
      </c>
      <c r="I826" s="8" t="str">
        <f>_xlfn.XLOOKUP($A826,'RAWDATA Cars Buyers DB'!$A:$A,'RAWDATA Cars Buyers DB'!I:I)</f>
        <v>6+ Kilometre</v>
      </c>
      <c r="J826" s="8" t="str">
        <f>_xlfn.XLOOKUP($A826,'RAWDATA Cars Buyers DB'!$A:$A,'RAWDATA Cars Buyers DB'!J:J)</f>
        <v>Thuringia</v>
      </c>
      <c r="K826" s="8">
        <f>_xlfn.XLOOKUP($A826,'RAWDATA Cars Buyers DB'!$A:$A,'RAWDATA Cars Buyers DB'!K:K)</f>
        <v>38</v>
      </c>
      <c r="L826" s="10" t="str">
        <f>IF(_xlfn.XLOOKUP($A826,'RAWDATA Cars Buyers DB'!$A:$A,'RAWDATA Cars Buyers DB'!K:K)&gt;54,"Old ",IF(_xlfn.XLOOKUP($A826,'RAWDATA Cars Buyers DB'!$A:$A,'RAWDATA Cars Buyers DB'!K:K)&gt;=31,"Middle Age ",IF(_xlfn.XLOOKUP($A826,'RAWDATA Cars Buyers DB'!$A:$A,'RAWDATA Cars Buyers DB'!K:K)&lt;31,"Adolescent","Invalid")))</f>
        <v xml:space="preserve">Middle Age </v>
      </c>
      <c r="M826" s="8" t="str">
        <f>_xlfn.XLOOKUP($A826,'RAWDATA Cars Buyers DB'!$A:$A,'RAWDATA Cars Buyers DB'!L:L)</f>
        <v>Yes</v>
      </c>
    </row>
    <row r="827" spans="1:13">
      <c r="A827" s="6">
        <v>97044</v>
      </c>
      <c r="B827" s="10" t="str">
        <f>IF(_xlfn.XLOOKUP($A827,'RAWDATA Cars Buyers DB'!$A:$A,'RAWDATA Cars Buyers DB'!B:B)="S","Single","Married")</f>
        <v>Married</v>
      </c>
      <c r="C827" s="10" t="str">
        <f>IF(_xlfn.XLOOKUP($A827,'RAWDATA Cars Buyers DB'!$A:$A,'RAWDATA Cars Buyers DB'!C:C)="F","Female","Male")</f>
        <v>Female</v>
      </c>
      <c r="D827" s="7">
        <f>_xlfn.XLOOKUP($A827,'RAWDATA Cars Buyers DB'!$A:$A,'RAWDATA Cars Buyers DB'!D:D)</f>
        <v>56777</v>
      </c>
      <c r="E827" s="8">
        <f>_xlfn.XLOOKUP($A827,'RAWDATA Cars Buyers DB'!$A:$A,'RAWDATA Cars Buyers DB'!E:E)</f>
        <v>0</v>
      </c>
      <c r="F827" s="8" t="str">
        <f>_xlfn.XLOOKUP($A827,'RAWDATA Cars Buyers DB'!$A:$A,'RAWDATA Cars Buyers DB'!F:F)</f>
        <v>Bachelors</v>
      </c>
      <c r="G827" s="8" t="str">
        <f>_xlfn.XLOOKUP($A827,'RAWDATA Cars Buyers DB'!$A:$A,'RAWDATA Cars Buyers DB'!G:G)</f>
        <v>Clerical</v>
      </c>
      <c r="H827" s="8" t="str">
        <f>_xlfn.XLOOKUP($A827,'RAWDATA Cars Buyers DB'!$A:$A,'RAWDATA Cars Buyers DB'!H:H)</f>
        <v>No</v>
      </c>
      <c r="I827" s="8" t="str">
        <f>_xlfn.XLOOKUP($A827,'RAWDATA Cars Buyers DB'!$A:$A,'RAWDATA Cars Buyers DB'!I:I)</f>
        <v>4–6 Kilometre</v>
      </c>
      <c r="J827" s="8" t="str">
        <f>_xlfn.XLOOKUP($A827,'RAWDATA Cars Buyers DB'!$A:$A,'RAWDATA Cars Buyers DB'!J:J)</f>
        <v>Saarland</v>
      </c>
      <c r="K827" s="8">
        <f>_xlfn.XLOOKUP($A827,'RAWDATA Cars Buyers DB'!$A:$A,'RAWDATA Cars Buyers DB'!K:K)</f>
        <v>66</v>
      </c>
      <c r="L827" s="10" t="str">
        <f>IF(_xlfn.XLOOKUP($A827,'RAWDATA Cars Buyers DB'!$A:$A,'RAWDATA Cars Buyers DB'!K:K)&gt;54,"Old ",IF(_xlfn.XLOOKUP($A827,'RAWDATA Cars Buyers DB'!$A:$A,'RAWDATA Cars Buyers DB'!K:K)&gt;=31,"Middle Age ",IF(_xlfn.XLOOKUP($A827,'RAWDATA Cars Buyers DB'!$A:$A,'RAWDATA Cars Buyers DB'!K:K)&lt;31,"Adolescent","Invalid")))</f>
        <v xml:space="preserve">Old </v>
      </c>
      <c r="M827" s="8" t="str">
        <f>_xlfn.XLOOKUP($A827,'RAWDATA Cars Buyers DB'!$A:$A,'RAWDATA Cars Buyers DB'!L:L)</f>
        <v>No</v>
      </c>
    </row>
    <row r="828" spans="1:13">
      <c r="A828" s="6">
        <v>97505</v>
      </c>
      <c r="B828" s="10" t="str">
        <f>IF(_xlfn.XLOOKUP($A828,'RAWDATA Cars Buyers DB'!$A:$A,'RAWDATA Cars Buyers DB'!B:B)="S","Single","Married")</f>
        <v>Married</v>
      </c>
      <c r="C828" s="10" t="str">
        <f>IF(_xlfn.XLOOKUP($A828,'RAWDATA Cars Buyers DB'!$A:$A,'RAWDATA Cars Buyers DB'!C:C)="F","Female","Male")</f>
        <v>Male</v>
      </c>
      <c r="D828" s="7">
        <f>_xlfn.XLOOKUP($A828,'RAWDATA Cars Buyers DB'!$A:$A,'RAWDATA Cars Buyers DB'!D:D)</f>
        <v>39710</v>
      </c>
      <c r="E828" s="8">
        <f>_xlfn.XLOOKUP($A828,'RAWDATA Cars Buyers DB'!$A:$A,'RAWDATA Cars Buyers DB'!E:E)</f>
        <v>3</v>
      </c>
      <c r="F828" s="8" t="str">
        <f>_xlfn.XLOOKUP($A828,'RAWDATA Cars Buyers DB'!$A:$A,'RAWDATA Cars Buyers DB'!F:F)</f>
        <v>Partial College</v>
      </c>
      <c r="G828" s="8" t="str">
        <f>_xlfn.XLOOKUP($A828,'RAWDATA Cars Buyers DB'!$A:$A,'RAWDATA Cars Buyers DB'!G:G)</f>
        <v>Clerical</v>
      </c>
      <c r="H828" s="8" t="str">
        <f>_xlfn.XLOOKUP($A828,'RAWDATA Cars Buyers DB'!$A:$A,'RAWDATA Cars Buyers DB'!H:H)</f>
        <v>Yes</v>
      </c>
      <c r="I828" s="8" t="str">
        <f>_xlfn.XLOOKUP($A828,'RAWDATA Cars Buyers DB'!$A:$A,'RAWDATA Cars Buyers DB'!I:I)</f>
        <v>2–4 Kilometre</v>
      </c>
      <c r="J828" s="8" t="str">
        <f>_xlfn.XLOOKUP($A828,'RAWDATA Cars Buyers DB'!$A:$A,'RAWDATA Cars Buyers DB'!J:J)</f>
        <v>Saarland</v>
      </c>
      <c r="K828" s="8">
        <f>_xlfn.XLOOKUP($A828,'RAWDATA Cars Buyers DB'!$A:$A,'RAWDATA Cars Buyers DB'!K:K)</f>
        <v>23</v>
      </c>
      <c r="L828" s="10" t="str">
        <f>IF(_xlfn.XLOOKUP($A828,'RAWDATA Cars Buyers DB'!$A:$A,'RAWDATA Cars Buyers DB'!K:K)&gt;54,"Old ",IF(_xlfn.XLOOKUP($A828,'RAWDATA Cars Buyers DB'!$A:$A,'RAWDATA Cars Buyers DB'!K:K)&gt;=31,"Middle Age ",IF(_xlfn.XLOOKUP($A828,'RAWDATA Cars Buyers DB'!$A:$A,'RAWDATA Cars Buyers DB'!K:K)&lt;31,"Adolescent","Invalid")))</f>
        <v>Adolescent</v>
      </c>
      <c r="M828" s="8" t="str">
        <f>_xlfn.XLOOKUP($A828,'RAWDATA Cars Buyers DB'!$A:$A,'RAWDATA Cars Buyers DB'!L:L)</f>
        <v>No</v>
      </c>
    </row>
    <row r="829" spans="1:13">
      <c r="A829" s="6">
        <v>46668</v>
      </c>
      <c r="B829" s="10" t="str">
        <f>IF(_xlfn.XLOOKUP($A829,'RAWDATA Cars Buyers DB'!$A:$A,'RAWDATA Cars Buyers DB'!B:B)="S","Single","Married")</f>
        <v>Married</v>
      </c>
      <c r="C829" s="10" t="str">
        <f>IF(_xlfn.XLOOKUP($A829,'RAWDATA Cars Buyers DB'!$A:$A,'RAWDATA Cars Buyers DB'!C:C)="F","Female","Male")</f>
        <v>Male</v>
      </c>
      <c r="D829" s="7">
        <f>_xlfn.XLOOKUP($A829,'RAWDATA Cars Buyers DB'!$A:$A,'RAWDATA Cars Buyers DB'!D:D)</f>
        <v>44532</v>
      </c>
      <c r="E829" s="8">
        <f>_xlfn.XLOOKUP($A829,'RAWDATA Cars Buyers DB'!$A:$A,'RAWDATA Cars Buyers DB'!E:E)</f>
        <v>3</v>
      </c>
      <c r="F829" s="8" t="str">
        <f>_xlfn.XLOOKUP($A829,'RAWDATA Cars Buyers DB'!$A:$A,'RAWDATA Cars Buyers DB'!F:F)</f>
        <v>Bachelors</v>
      </c>
      <c r="G829" s="8" t="str">
        <f>_xlfn.XLOOKUP($A829,'RAWDATA Cars Buyers DB'!$A:$A,'RAWDATA Cars Buyers DB'!G:G)</f>
        <v>Skilled Manual</v>
      </c>
      <c r="H829" s="8" t="str">
        <f>_xlfn.XLOOKUP($A829,'RAWDATA Cars Buyers DB'!$A:$A,'RAWDATA Cars Buyers DB'!H:H)</f>
        <v>No</v>
      </c>
      <c r="I829" s="8" t="str">
        <f>_xlfn.XLOOKUP($A829,'RAWDATA Cars Buyers DB'!$A:$A,'RAWDATA Cars Buyers DB'!I:I)</f>
        <v>6+ Kilometre</v>
      </c>
      <c r="J829" s="8" t="str">
        <f>_xlfn.XLOOKUP($A829,'RAWDATA Cars Buyers DB'!$A:$A,'RAWDATA Cars Buyers DB'!J:J)</f>
        <v>Hamburg</v>
      </c>
      <c r="K829" s="8">
        <f>_xlfn.XLOOKUP($A829,'RAWDATA Cars Buyers DB'!$A:$A,'RAWDATA Cars Buyers DB'!K:K)</f>
        <v>49</v>
      </c>
      <c r="L829" s="10" t="str">
        <f>IF(_xlfn.XLOOKUP($A829,'RAWDATA Cars Buyers DB'!$A:$A,'RAWDATA Cars Buyers DB'!K:K)&gt;54,"Old ",IF(_xlfn.XLOOKUP($A829,'RAWDATA Cars Buyers DB'!$A:$A,'RAWDATA Cars Buyers DB'!K:K)&gt;=31,"Middle Age ",IF(_xlfn.XLOOKUP($A829,'RAWDATA Cars Buyers DB'!$A:$A,'RAWDATA Cars Buyers DB'!K:K)&lt;31,"Adolescent","Invalid")))</f>
        <v xml:space="preserve">Middle Age </v>
      </c>
      <c r="M829" s="8" t="str">
        <f>_xlfn.XLOOKUP($A829,'RAWDATA Cars Buyers DB'!$A:$A,'RAWDATA Cars Buyers DB'!L:L)</f>
        <v>No</v>
      </c>
    </row>
    <row r="830" spans="1:13">
      <c r="A830" s="6">
        <v>33061</v>
      </c>
      <c r="B830" s="10" t="str">
        <f>IF(_xlfn.XLOOKUP($A830,'RAWDATA Cars Buyers DB'!$A:$A,'RAWDATA Cars Buyers DB'!B:B)="S","Single","Married")</f>
        <v>Married</v>
      </c>
      <c r="C830" s="10" t="str">
        <f>IF(_xlfn.XLOOKUP($A830,'RAWDATA Cars Buyers DB'!$A:$A,'RAWDATA Cars Buyers DB'!C:C)="F","Female","Male")</f>
        <v>Male</v>
      </c>
      <c r="D830" s="7">
        <f>_xlfn.XLOOKUP($A830,'RAWDATA Cars Buyers DB'!$A:$A,'RAWDATA Cars Buyers DB'!D:D)</f>
        <v>38601</v>
      </c>
      <c r="E830" s="8">
        <f>_xlfn.XLOOKUP($A830,'RAWDATA Cars Buyers DB'!$A:$A,'RAWDATA Cars Buyers DB'!E:E)</f>
        <v>5</v>
      </c>
      <c r="F830" s="8" t="str">
        <f>_xlfn.XLOOKUP($A830,'RAWDATA Cars Buyers DB'!$A:$A,'RAWDATA Cars Buyers DB'!F:F)</f>
        <v>Partial College</v>
      </c>
      <c r="G830" s="8" t="str">
        <f>_xlfn.XLOOKUP($A830,'RAWDATA Cars Buyers DB'!$A:$A,'RAWDATA Cars Buyers DB'!G:G)</f>
        <v>Clerical</v>
      </c>
      <c r="H830" s="8" t="str">
        <f>_xlfn.XLOOKUP($A830,'RAWDATA Cars Buyers DB'!$A:$A,'RAWDATA Cars Buyers DB'!H:H)</f>
        <v>No</v>
      </c>
      <c r="I830" s="8" t="str">
        <f>_xlfn.XLOOKUP($A830,'RAWDATA Cars Buyers DB'!$A:$A,'RAWDATA Cars Buyers DB'!I:I)</f>
        <v>4–6 Kilometre</v>
      </c>
      <c r="J830" s="8" t="str">
        <f>_xlfn.XLOOKUP($A830,'RAWDATA Cars Buyers DB'!$A:$A,'RAWDATA Cars Buyers DB'!J:J)</f>
        <v>Schleswig-Holstein</v>
      </c>
      <c r="K830" s="8">
        <f>_xlfn.XLOOKUP($A830,'RAWDATA Cars Buyers DB'!$A:$A,'RAWDATA Cars Buyers DB'!K:K)</f>
        <v>38</v>
      </c>
      <c r="L830" s="10" t="str">
        <f>IF(_xlfn.XLOOKUP($A830,'RAWDATA Cars Buyers DB'!$A:$A,'RAWDATA Cars Buyers DB'!K:K)&gt;54,"Old ",IF(_xlfn.XLOOKUP($A830,'RAWDATA Cars Buyers DB'!$A:$A,'RAWDATA Cars Buyers DB'!K:K)&gt;=31,"Middle Age ",IF(_xlfn.XLOOKUP($A830,'RAWDATA Cars Buyers DB'!$A:$A,'RAWDATA Cars Buyers DB'!K:K)&lt;31,"Adolescent","Invalid")))</f>
        <v xml:space="preserve">Middle Age </v>
      </c>
      <c r="M830" s="8" t="str">
        <f>_xlfn.XLOOKUP($A830,'RAWDATA Cars Buyers DB'!$A:$A,'RAWDATA Cars Buyers DB'!L:L)</f>
        <v>Yes</v>
      </c>
    </row>
    <row r="831" spans="1:13">
      <c r="A831" s="6">
        <v>89252</v>
      </c>
      <c r="B831" s="10" t="str">
        <f>IF(_xlfn.XLOOKUP($A831,'RAWDATA Cars Buyers DB'!$A:$A,'RAWDATA Cars Buyers DB'!B:B)="S","Single","Married")</f>
        <v>Married</v>
      </c>
      <c r="C831" s="10" t="str">
        <f>IF(_xlfn.XLOOKUP($A831,'RAWDATA Cars Buyers DB'!$A:$A,'RAWDATA Cars Buyers DB'!C:C)="F","Female","Male")</f>
        <v>Male</v>
      </c>
      <c r="D831" s="7">
        <f>_xlfn.XLOOKUP($A831,'RAWDATA Cars Buyers DB'!$A:$A,'RAWDATA Cars Buyers DB'!D:D)</f>
        <v>83227</v>
      </c>
      <c r="E831" s="8">
        <f>_xlfn.XLOOKUP($A831,'RAWDATA Cars Buyers DB'!$A:$A,'RAWDATA Cars Buyers DB'!E:E)</f>
        <v>5</v>
      </c>
      <c r="F831" s="8" t="str">
        <f>_xlfn.XLOOKUP($A831,'RAWDATA Cars Buyers DB'!$A:$A,'RAWDATA Cars Buyers DB'!F:F)</f>
        <v>Graduate Degree</v>
      </c>
      <c r="G831" s="8" t="str">
        <f>_xlfn.XLOOKUP($A831,'RAWDATA Cars Buyers DB'!$A:$A,'RAWDATA Cars Buyers DB'!G:G)</f>
        <v>Management</v>
      </c>
      <c r="H831" s="8" t="str">
        <f>_xlfn.XLOOKUP($A831,'RAWDATA Cars Buyers DB'!$A:$A,'RAWDATA Cars Buyers DB'!H:H)</f>
        <v>No</v>
      </c>
      <c r="I831" s="8" t="str">
        <f>_xlfn.XLOOKUP($A831,'RAWDATA Cars Buyers DB'!$A:$A,'RAWDATA Cars Buyers DB'!I:I)</f>
        <v>2–4 Kilometre</v>
      </c>
      <c r="J831" s="8" t="str">
        <f>_xlfn.XLOOKUP($A831,'RAWDATA Cars Buyers DB'!$A:$A,'RAWDATA Cars Buyers DB'!J:J)</f>
        <v>Baden-Württemberg</v>
      </c>
      <c r="K831" s="8">
        <f>_xlfn.XLOOKUP($A831,'RAWDATA Cars Buyers DB'!$A:$A,'RAWDATA Cars Buyers DB'!K:K)</f>
        <v>50</v>
      </c>
      <c r="L831" s="10" t="str">
        <f>IF(_xlfn.XLOOKUP($A831,'RAWDATA Cars Buyers DB'!$A:$A,'RAWDATA Cars Buyers DB'!K:K)&gt;54,"Old ",IF(_xlfn.XLOOKUP($A831,'RAWDATA Cars Buyers DB'!$A:$A,'RAWDATA Cars Buyers DB'!K:K)&gt;=31,"Middle Age ",IF(_xlfn.XLOOKUP($A831,'RAWDATA Cars Buyers DB'!$A:$A,'RAWDATA Cars Buyers DB'!K:K)&lt;31,"Adolescent","Invalid")))</f>
        <v xml:space="preserve">Middle Age </v>
      </c>
      <c r="M831" s="8" t="str">
        <f>_xlfn.XLOOKUP($A831,'RAWDATA Cars Buyers DB'!$A:$A,'RAWDATA Cars Buyers DB'!L:L)</f>
        <v>Yes</v>
      </c>
    </row>
    <row r="832" spans="1:13">
      <c r="A832" s="6">
        <v>49749</v>
      </c>
      <c r="B832" s="10" t="str">
        <f>IF(_xlfn.XLOOKUP($A832,'RAWDATA Cars Buyers DB'!$A:$A,'RAWDATA Cars Buyers DB'!B:B)="S","Single","Married")</f>
        <v>Single</v>
      </c>
      <c r="C832" s="10" t="str">
        <f>IF(_xlfn.XLOOKUP($A832,'RAWDATA Cars Buyers DB'!$A:$A,'RAWDATA Cars Buyers DB'!C:C)="F","Female","Male")</f>
        <v>Female</v>
      </c>
      <c r="D832" s="7">
        <f>_xlfn.XLOOKUP($A832,'RAWDATA Cars Buyers DB'!$A:$A,'RAWDATA Cars Buyers DB'!D:D)</f>
        <v>24967</v>
      </c>
      <c r="E832" s="8">
        <f>_xlfn.XLOOKUP($A832,'RAWDATA Cars Buyers DB'!$A:$A,'RAWDATA Cars Buyers DB'!E:E)</f>
        <v>2</v>
      </c>
      <c r="F832" s="8" t="str">
        <f>_xlfn.XLOOKUP($A832,'RAWDATA Cars Buyers DB'!$A:$A,'RAWDATA Cars Buyers DB'!F:F)</f>
        <v>Bachelors</v>
      </c>
      <c r="G832" s="8" t="str">
        <f>_xlfn.XLOOKUP($A832,'RAWDATA Cars Buyers DB'!$A:$A,'RAWDATA Cars Buyers DB'!G:G)</f>
        <v>Management</v>
      </c>
      <c r="H832" s="8" t="str">
        <f>_xlfn.XLOOKUP($A832,'RAWDATA Cars Buyers DB'!$A:$A,'RAWDATA Cars Buyers DB'!H:H)</f>
        <v>No</v>
      </c>
      <c r="I832" s="8" t="str">
        <f>_xlfn.XLOOKUP($A832,'RAWDATA Cars Buyers DB'!$A:$A,'RAWDATA Cars Buyers DB'!I:I)</f>
        <v>4–6 Kilometre</v>
      </c>
      <c r="J832" s="8" t="str">
        <f>_xlfn.XLOOKUP($A832,'RAWDATA Cars Buyers DB'!$A:$A,'RAWDATA Cars Buyers DB'!J:J)</f>
        <v>Saarland</v>
      </c>
      <c r="K832" s="8">
        <f>_xlfn.XLOOKUP($A832,'RAWDATA Cars Buyers DB'!$A:$A,'RAWDATA Cars Buyers DB'!K:K)</f>
        <v>50</v>
      </c>
      <c r="L832" s="10" t="str">
        <f>IF(_xlfn.XLOOKUP($A832,'RAWDATA Cars Buyers DB'!$A:$A,'RAWDATA Cars Buyers DB'!K:K)&gt;54,"Old ",IF(_xlfn.XLOOKUP($A832,'RAWDATA Cars Buyers DB'!$A:$A,'RAWDATA Cars Buyers DB'!K:K)&gt;=31,"Middle Age ",IF(_xlfn.XLOOKUP($A832,'RAWDATA Cars Buyers DB'!$A:$A,'RAWDATA Cars Buyers DB'!K:K)&lt;31,"Adolescent","Invalid")))</f>
        <v xml:space="preserve">Middle Age </v>
      </c>
      <c r="M832" s="8" t="str">
        <f>_xlfn.XLOOKUP($A832,'RAWDATA Cars Buyers DB'!$A:$A,'RAWDATA Cars Buyers DB'!L:L)</f>
        <v>No</v>
      </c>
    </row>
    <row r="833" spans="1:13">
      <c r="A833" s="6">
        <v>26907</v>
      </c>
      <c r="B833" s="10" t="str">
        <f>IF(_xlfn.XLOOKUP($A833,'RAWDATA Cars Buyers DB'!$A:$A,'RAWDATA Cars Buyers DB'!B:B)="S","Single","Married")</f>
        <v>Married</v>
      </c>
      <c r="C833" s="10" t="str">
        <f>IF(_xlfn.XLOOKUP($A833,'RAWDATA Cars Buyers DB'!$A:$A,'RAWDATA Cars Buyers DB'!C:C)="F","Female","Male")</f>
        <v>Male</v>
      </c>
      <c r="D833" s="7">
        <f>_xlfn.XLOOKUP($A833,'RAWDATA Cars Buyers DB'!$A:$A,'RAWDATA Cars Buyers DB'!D:D)</f>
        <v>104289</v>
      </c>
      <c r="E833" s="8">
        <f>_xlfn.XLOOKUP($A833,'RAWDATA Cars Buyers DB'!$A:$A,'RAWDATA Cars Buyers DB'!E:E)</f>
        <v>4</v>
      </c>
      <c r="F833" s="8" t="str">
        <f>_xlfn.XLOOKUP($A833,'RAWDATA Cars Buyers DB'!$A:$A,'RAWDATA Cars Buyers DB'!F:F)</f>
        <v>High School</v>
      </c>
      <c r="G833" s="8" t="str">
        <f>_xlfn.XLOOKUP($A833,'RAWDATA Cars Buyers DB'!$A:$A,'RAWDATA Cars Buyers DB'!G:G)</f>
        <v>Clerical</v>
      </c>
      <c r="H833" s="8" t="str">
        <f>_xlfn.XLOOKUP($A833,'RAWDATA Cars Buyers DB'!$A:$A,'RAWDATA Cars Buyers DB'!H:H)</f>
        <v>No</v>
      </c>
      <c r="I833" s="8" t="str">
        <f>_xlfn.XLOOKUP($A833,'RAWDATA Cars Buyers DB'!$A:$A,'RAWDATA Cars Buyers DB'!I:I)</f>
        <v>4–6 Kilometre</v>
      </c>
      <c r="J833" s="8" t="str">
        <f>_xlfn.XLOOKUP($A833,'RAWDATA Cars Buyers DB'!$A:$A,'RAWDATA Cars Buyers DB'!J:J)</f>
        <v>Hesse</v>
      </c>
      <c r="K833" s="8">
        <f>_xlfn.XLOOKUP($A833,'RAWDATA Cars Buyers DB'!$A:$A,'RAWDATA Cars Buyers DB'!K:K)</f>
        <v>28</v>
      </c>
      <c r="L833" s="10" t="str">
        <f>IF(_xlfn.XLOOKUP($A833,'RAWDATA Cars Buyers DB'!$A:$A,'RAWDATA Cars Buyers DB'!K:K)&gt;54,"Old ",IF(_xlfn.XLOOKUP($A833,'RAWDATA Cars Buyers DB'!$A:$A,'RAWDATA Cars Buyers DB'!K:K)&gt;=31,"Middle Age ",IF(_xlfn.XLOOKUP($A833,'RAWDATA Cars Buyers DB'!$A:$A,'RAWDATA Cars Buyers DB'!K:K)&lt;31,"Adolescent","Invalid")))</f>
        <v>Adolescent</v>
      </c>
      <c r="M833" s="8" t="str">
        <f>_xlfn.XLOOKUP($A833,'RAWDATA Cars Buyers DB'!$A:$A,'RAWDATA Cars Buyers DB'!L:L)</f>
        <v>Yes</v>
      </c>
    </row>
    <row r="834" spans="1:13">
      <c r="A834" s="6">
        <v>28777</v>
      </c>
      <c r="B834" s="10" t="str">
        <f>IF(_xlfn.XLOOKUP($A834,'RAWDATA Cars Buyers DB'!$A:$A,'RAWDATA Cars Buyers DB'!B:B)="S","Single","Married")</f>
        <v>Single</v>
      </c>
      <c r="C834" s="10" t="str">
        <f>IF(_xlfn.XLOOKUP($A834,'RAWDATA Cars Buyers DB'!$A:$A,'RAWDATA Cars Buyers DB'!C:C)="F","Female","Male")</f>
        <v>Male</v>
      </c>
      <c r="D834" s="7">
        <f>_xlfn.XLOOKUP($A834,'RAWDATA Cars Buyers DB'!$A:$A,'RAWDATA Cars Buyers DB'!D:D)</f>
        <v>40022</v>
      </c>
      <c r="E834" s="8">
        <f>_xlfn.XLOOKUP($A834,'RAWDATA Cars Buyers DB'!$A:$A,'RAWDATA Cars Buyers DB'!E:E)</f>
        <v>2</v>
      </c>
      <c r="F834" s="8" t="str">
        <f>_xlfn.XLOOKUP($A834,'RAWDATA Cars Buyers DB'!$A:$A,'RAWDATA Cars Buyers DB'!F:F)</f>
        <v>High School</v>
      </c>
      <c r="G834" s="8" t="str">
        <f>_xlfn.XLOOKUP($A834,'RAWDATA Cars Buyers DB'!$A:$A,'RAWDATA Cars Buyers DB'!G:G)</f>
        <v>Management</v>
      </c>
      <c r="H834" s="8" t="str">
        <f>_xlfn.XLOOKUP($A834,'RAWDATA Cars Buyers DB'!$A:$A,'RAWDATA Cars Buyers DB'!H:H)</f>
        <v>Yes</v>
      </c>
      <c r="I834" s="8" t="str">
        <f>_xlfn.XLOOKUP($A834,'RAWDATA Cars Buyers DB'!$A:$A,'RAWDATA Cars Buyers DB'!I:I)</f>
        <v>6+ Kilometre</v>
      </c>
      <c r="J834" s="8" t="str">
        <f>_xlfn.XLOOKUP($A834,'RAWDATA Cars Buyers DB'!$A:$A,'RAWDATA Cars Buyers DB'!J:J)</f>
        <v>Rhineland-Palatinate</v>
      </c>
      <c r="K834" s="8">
        <f>_xlfn.XLOOKUP($A834,'RAWDATA Cars Buyers DB'!$A:$A,'RAWDATA Cars Buyers DB'!K:K)</f>
        <v>32</v>
      </c>
      <c r="L834" s="10" t="str">
        <f>IF(_xlfn.XLOOKUP($A834,'RAWDATA Cars Buyers DB'!$A:$A,'RAWDATA Cars Buyers DB'!K:K)&gt;54,"Old ",IF(_xlfn.XLOOKUP($A834,'RAWDATA Cars Buyers DB'!$A:$A,'RAWDATA Cars Buyers DB'!K:K)&gt;=31,"Middle Age ",IF(_xlfn.XLOOKUP($A834,'RAWDATA Cars Buyers DB'!$A:$A,'RAWDATA Cars Buyers DB'!K:K)&lt;31,"Adolescent","Invalid")))</f>
        <v xml:space="preserve">Middle Age </v>
      </c>
      <c r="M834" s="8" t="str">
        <f>_xlfn.XLOOKUP($A834,'RAWDATA Cars Buyers DB'!$A:$A,'RAWDATA Cars Buyers DB'!L:L)</f>
        <v>Yes</v>
      </c>
    </row>
    <row r="835" spans="1:13">
      <c r="A835" s="6">
        <v>61745</v>
      </c>
      <c r="B835" s="10" t="str">
        <f>IF(_xlfn.XLOOKUP($A835,'RAWDATA Cars Buyers DB'!$A:$A,'RAWDATA Cars Buyers DB'!B:B)="S","Single","Married")</f>
        <v>Married</v>
      </c>
      <c r="C835" s="10" t="str">
        <f>IF(_xlfn.XLOOKUP($A835,'RAWDATA Cars Buyers DB'!$A:$A,'RAWDATA Cars Buyers DB'!C:C)="F","Female","Male")</f>
        <v>Female</v>
      </c>
      <c r="D835" s="7">
        <f>_xlfn.XLOOKUP($A835,'RAWDATA Cars Buyers DB'!$A:$A,'RAWDATA Cars Buyers DB'!D:D)</f>
        <v>63463</v>
      </c>
      <c r="E835" s="8">
        <f>_xlfn.XLOOKUP($A835,'RAWDATA Cars Buyers DB'!$A:$A,'RAWDATA Cars Buyers DB'!E:E)</f>
        <v>2</v>
      </c>
      <c r="F835" s="8" t="str">
        <f>_xlfn.XLOOKUP($A835,'RAWDATA Cars Buyers DB'!$A:$A,'RAWDATA Cars Buyers DB'!F:F)</f>
        <v>Bachelors</v>
      </c>
      <c r="G835" s="8" t="str">
        <f>_xlfn.XLOOKUP($A835,'RAWDATA Cars Buyers DB'!$A:$A,'RAWDATA Cars Buyers DB'!G:G)</f>
        <v>Clerical</v>
      </c>
      <c r="H835" s="8" t="str">
        <f>_xlfn.XLOOKUP($A835,'RAWDATA Cars Buyers DB'!$A:$A,'RAWDATA Cars Buyers DB'!H:H)</f>
        <v>No</v>
      </c>
      <c r="I835" s="8" t="str">
        <f>_xlfn.XLOOKUP($A835,'RAWDATA Cars Buyers DB'!$A:$A,'RAWDATA Cars Buyers DB'!I:I)</f>
        <v>2–4 Kilometre</v>
      </c>
      <c r="J835" s="8" t="str">
        <f>_xlfn.XLOOKUP($A835,'RAWDATA Cars Buyers DB'!$A:$A,'RAWDATA Cars Buyers DB'!J:J)</f>
        <v>Saxony-Anhalt</v>
      </c>
      <c r="K835" s="8">
        <f>_xlfn.XLOOKUP($A835,'RAWDATA Cars Buyers DB'!$A:$A,'RAWDATA Cars Buyers DB'!K:K)</f>
        <v>33</v>
      </c>
      <c r="L835" s="10" t="str">
        <f>IF(_xlfn.XLOOKUP($A835,'RAWDATA Cars Buyers DB'!$A:$A,'RAWDATA Cars Buyers DB'!K:K)&gt;54,"Old ",IF(_xlfn.XLOOKUP($A835,'RAWDATA Cars Buyers DB'!$A:$A,'RAWDATA Cars Buyers DB'!K:K)&gt;=31,"Middle Age ",IF(_xlfn.XLOOKUP($A835,'RAWDATA Cars Buyers DB'!$A:$A,'RAWDATA Cars Buyers DB'!K:K)&lt;31,"Adolescent","Invalid")))</f>
        <v xml:space="preserve">Middle Age </v>
      </c>
      <c r="M835" s="8" t="str">
        <f>_xlfn.XLOOKUP($A835,'RAWDATA Cars Buyers DB'!$A:$A,'RAWDATA Cars Buyers DB'!L:L)</f>
        <v>Yes</v>
      </c>
    </row>
    <row r="836" spans="1:13">
      <c r="A836" s="6">
        <v>91818</v>
      </c>
      <c r="B836" s="10" t="str">
        <f>IF(_xlfn.XLOOKUP($A836,'RAWDATA Cars Buyers DB'!$A:$A,'RAWDATA Cars Buyers DB'!B:B)="S","Single","Married")</f>
        <v>Married</v>
      </c>
      <c r="C836" s="10" t="str">
        <f>IF(_xlfn.XLOOKUP($A836,'RAWDATA Cars Buyers DB'!$A:$A,'RAWDATA Cars Buyers DB'!C:C)="F","Female","Male")</f>
        <v>Male</v>
      </c>
      <c r="D836" s="7">
        <f>_xlfn.XLOOKUP($A836,'RAWDATA Cars Buyers DB'!$A:$A,'RAWDATA Cars Buyers DB'!D:D)</f>
        <v>94671</v>
      </c>
      <c r="E836" s="8">
        <f>_xlfn.XLOOKUP($A836,'RAWDATA Cars Buyers DB'!$A:$A,'RAWDATA Cars Buyers DB'!E:E)</f>
        <v>4</v>
      </c>
      <c r="F836" s="8" t="str">
        <f>_xlfn.XLOOKUP($A836,'RAWDATA Cars Buyers DB'!$A:$A,'RAWDATA Cars Buyers DB'!F:F)</f>
        <v>Graduate Degree</v>
      </c>
      <c r="G836" s="8" t="str">
        <f>_xlfn.XLOOKUP($A836,'RAWDATA Cars Buyers DB'!$A:$A,'RAWDATA Cars Buyers DB'!G:G)</f>
        <v>Skilled Manual</v>
      </c>
      <c r="H836" s="8" t="str">
        <f>_xlfn.XLOOKUP($A836,'RAWDATA Cars Buyers DB'!$A:$A,'RAWDATA Cars Buyers DB'!H:H)</f>
        <v>No</v>
      </c>
      <c r="I836" s="8" t="str">
        <f>_xlfn.XLOOKUP($A836,'RAWDATA Cars Buyers DB'!$A:$A,'RAWDATA Cars Buyers DB'!I:I)</f>
        <v>0–1 Kilometre</v>
      </c>
      <c r="J836" s="8" t="str">
        <f>_xlfn.XLOOKUP($A836,'RAWDATA Cars Buyers DB'!$A:$A,'RAWDATA Cars Buyers DB'!J:J)</f>
        <v>Schleswig-Holstein</v>
      </c>
      <c r="K836" s="8">
        <f>_xlfn.XLOOKUP($A836,'RAWDATA Cars Buyers DB'!$A:$A,'RAWDATA Cars Buyers DB'!K:K)</f>
        <v>65</v>
      </c>
      <c r="L836" s="10" t="str">
        <f>IF(_xlfn.XLOOKUP($A836,'RAWDATA Cars Buyers DB'!$A:$A,'RAWDATA Cars Buyers DB'!K:K)&gt;54,"Old ",IF(_xlfn.XLOOKUP($A836,'RAWDATA Cars Buyers DB'!$A:$A,'RAWDATA Cars Buyers DB'!K:K)&gt;=31,"Middle Age ",IF(_xlfn.XLOOKUP($A836,'RAWDATA Cars Buyers DB'!$A:$A,'RAWDATA Cars Buyers DB'!K:K)&lt;31,"Adolescent","Invalid")))</f>
        <v xml:space="preserve">Old </v>
      </c>
      <c r="M836" s="8" t="str">
        <f>_xlfn.XLOOKUP($A836,'RAWDATA Cars Buyers DB'!$A:$A,'RAWDATA Cars Buyers DB'!L:L)</f>
        <v>No</v>
      </c>
    </row>
    <row r="837" spans="1:13">
      <c r="A837" s="6">
        <v>33624</v>
      </c>
      <c r="B837" s="10" t="str">
        <f>IF(_xlfn.XLOOKUP($A837,'RAWDATA Cars Buyers DB'!$A:$A,'RAWDATA Cars Buyers DB'!B:B)="S","Single","Married")</f>
        <v>Married</v>
      </c>
      <c r="C837" s="10" t="str">
        <f>IF(_xlfn.XLOOKUP($A837,'RAWDATA Cars Buyers DB'!$A:$A,'RAWDATA Cars Buyers DB'!C:C)="F","Female","Male")</f>
        <v>Male</v>
      </c>
      <c r="D837" s="7">
        <f>_xlfn.XLOOKUP($A837,'RAWDATA Cars Buyers DB'!$A:$A,'RAWDATA Cars Buyers DB'!D:D)</f>
        <v>25722</v>
      </c>
      <c r="E837" s="8">
        <f>_xlfn.XLOOKUP($A837,'RAWDATA Cars Buyers DB'!$A:$A,'RAWDATA Cars Buyers DB'!E:E)</f>
        <v>0</v>
      </c>
      <c r="F837" s="8" t="str">
        <f>_xlfn.XLOOKUP($A837,'RAWDATA Cars Buyers DB'!$A:$A,'RAWDATA Cars Buyers DB'!F:F)</f>
        <v>Graduate Degree</v>
      </c>
      <c r="G837" s="8" t="str">
        <f>_xlfn.XLOOKUP($A837,'RAWDATA Cars Buyers DB'!$A:$A,'RAWDATA Cars Buyers DB'!G:G)</f>
        <v>Management</v>
      </c>
      <c r="H837" s="8" t="str">
        <f>_xlfn.XLOOKUP($A837,'RAWDATA Cars Buyers DB'!$A:$A,'RAWDATA Cars Buyers DB'!H:H)</f>
        <v>Yes</v>
      </c>
      <c r="I837" s="8" t="str">
        <f>_xlfn.XLOOKUP($A837,'RAWDATA Cars Buyers DB'!$A:$A,'RAWDATA Cars Buyers DB'!I:I)</f>
        <v>1–2 Kilometre</v>
      </c>
      <c r="J837" s="8" t="str">
        <f>_xlfn.XLOOKUP($A837,'RAWDATA Cars Buyers DB'!$A:$A,'RAWDATA Cars Buyers DB'!J:J)</f>
        <v>Baden-Württemberg</v>
      </c>
      <c r="K837" s="8">
        <f>_xlfn.XLOOKUP($A837,'RAWDATA Cars Buyers DB'!$A:$A,'RAWDATA Cars Buyers DB'!K:K)</f>
        <v>29</v>
      </c>
      <c r="L837" s="10" t="str">
        <f>IF(_xlfn.XLOOKUP($A837,'RAWDATA Cars Buyers DB'!$A:$A,'RAWDATA Cars Buyers DB'!K:K)&gt;54,"Old ",IF(_xlfn.XLOOKUP($A837,'RAWDATA Cars Buyers DB'!$A:$A,'RAWDATA Cars Buyers DB'!K:K)&gt;=31,"Middle Age ",IF(_xlfn.XLOOKUP($A837,'RAWDATA Cars Buyers DB'!$A:$A,'RAWDATA Cars Buyers DB'!K:K)&lt;31,"Adolescent","Invalid")))</f>
        <v>Adolescent</v>
      </c>
      <c r="M837" s="8" t="str">
        <f>_xlfn.XLOOKUP($A837,'RAWDATA Cars Buyers DB'!$A:$A,'RAWDATA Cars Buyers DB'!L:L)</f>
        <v>No</v>
      </c>
    </row>
    <row r="838" spans="1:13">
      <c r="A838" s="6">
        <v>33321</v>
      </c>
      <c r="B838" s="10" t="str">
        <f>IF(_xlfn.XLOOKUP($A838,'RAWDATA Cars Buyers DB'!$A:$A,'RAWDATA Cars Buyers DB'!B:B)="S","Single","Married")</f>
        <v>Single</v>
      </c>
      <c r="C838" s="10" t="str">
        <f>IF(_xlfn.XLOOKUP($A838,'RAWDATA Cars Buyers DB'!$A:$A,'RAWDATA Cars Buyers DB'!C:C)="F","Female","Male")</f>
        <v>Female</v>
      </c>
      <c r="D838" s="7">
        <f>_xlfn.XLOOKUP($A838,'RAWDATA Cars Buyers DB'!$A:$A,'RAWDATA Cars Buyers DB'!D:D)</f>
        <v>47413</v>
      </c>
      <c r="E838" s="8">
        <f>_xlfn.XLOOKUP($A838,'RAWDATA Cars Buyers DB'!$A:$A,'RAWDATA Cars Buyers DB'!E:E)</f>
        <v>2</v>
      </c>
      <c r="F838" s="8" t="str">
        <f>_xlfn.XLOOKUP($A838,'RAWDATA Cars Buyers DB'!$A:$A,'RAWDATA Cars Buyers DB'!F:F)</f>
        <v>High School</v>
      </c>
      <c r="G838" s="8" t="str">
        <f>_xlfn.XLOOKUP($A838,'RAWDATA Cars Buyers DB'!$A:$A,'RAWDATA Cars Buyers DB'!G:G)</f>
        <v>Management</v>
      </c>
      <c r="H838" s="8" t="str">
        <f>_xlfn.XLOOKUP($A838,'RAWDATA Cars Buyers DB'!$A:$A,'RAWDATA Cars Buyers DB'!H:H)</f>
        <v>No</v>
      </c>
      <c r="I838" s="8" t="str">
        <f>_xlfn.XLOOKUP($A838,'RAWDATA Cars Buyers DB'!$A:$A,'RAWDATA Cars Buyers DB'!I:I)</f>
        <v>6+ Kilometre</v>
      </c>
      <c r="J838" s="8" t="str">
        <f>_xlfn.XLOOKUP($A838,'RAWDATA Cars Buyers DB'!$A:$A,'RAWDATA Cars Buyers DB'!J:J)</f>
        <v>Saxony-Anhalt</v>
      </c>
      <c r="K838" s="8">
        <f>_xlfn.XLOOKUP($A838,'RAWDATA Cars Buyers DB'!$A:$A,'RAWDATA Cars Buyers DB'!K:K)</f>
        <v>67</v>
      </c>
      <c r="L838" s="10" t="str">
        <f>IF(_xlfn.XLOOKUP($A838,'RAWDATA Cars Buyers DB'!$A:$A,'RAWDATA Cars Buyers DB'!K:K)&gt;54,"Old ",IF(_xlfn.XLOOKUP($A838,'RAWDATA Cars Buyers DB'!$A:$A,'RAWDATA Cars Buyers DB'!K:K)&gt;=31,"Middle Age ",IF(_xlfn.XLOOKUP($A838,'RAWDATA Cars Buyers DB'!$A:$A,'RAWDATA Cars Buyers DB'!K:K)&lt;31,"Adolescent","Invalid")))</f>
        <v xml:space="preserve">Old </v>
      </c>
      <c r="M838" s="8" t="str">
        <f>_xlfn.XLOOKUP($A838,'RAWDATA Cars Buyers DB'!$A:$A,'RAWDATA Cars Buyers DB'!L:L)</f>
        <v>Yes</v>
      </c>
    </row>
    <row r="839" spans="1:13">
      <c r="A839" s="6">
        <v>20488</v>
      </c>
      <c r="B839" s="10" t="str">
        <f>IF(_xlfn.XLOOKUP($A839,'RAWDATA Cars Buyers DB'!$A:$A,'RAWDATA Cars Buyers DB'!B:B)="S","Single","Married")</f>
        <v>Single</v>
      </c>
      <c r="C839" s="10" t="str">
        <f>IF(_xlfn.XLOOKUP($A839,'RAWDATA Cars Buyers DB'!$A:$A,'RAWDATA Cars Buyers DB'!C:C)="F","Female","Male")</f>
        <v>Male</v>
      </c>
      <c r="D839" s="7">
        <f>_xlfn.XLOOKUP($A839,'RAWDATA Cars Buyers DB'!$A:$A,'RAWDATA Cars Buyers DB'!D:D)</f>
        <v>112772</v>
      </c>
      <c r="E839" s="8">
        <f>_xlfn.XLOOKUP($A839,'RAWDATA Cars Buyers DB'!$A:$A,'RAWDATA Cars Buyers DB'!E:E)</f>
        <v>2</v>
      </c>
      <c r="F839" s="8" t="str">
        <f>_xlfn.XLOOKUP($A839,'RAWDATA Cars Buyers DB'!$A:$A,'RAWDATA Cars Buyers DB'!F:F)</f>
        <v>Bachelors</v>
      </c>
      <c r="G839" s="8" t="str">
        <f>_xlfn.XLOOKUP($A839,'RAWDATA Cars Buyers DB'!$A:$A,'RAWDATA Cars Buyers DB'!G:G)</f>
        <v>Clerical</v>
      </c>
      <c r="H839" s="8" t="str">
        <f>_xlfn.XLOOKUP($A839,'RAWDATA Cars Buyers DB'!$A:$A,'RAWDATA Cars Buyers DB'!H:H)</f>
        <v>No</v>
      </c>
      <c r="I839" s="8" t="str">
        <f>_xlfn.XLOOKUP($A839,'RAWDATA Cars Buyers DB'!$A:$A,'RAWDATA Cars Buyers DB'!I:I)</f>
        <v>2–4 Kilometre</v>
      </c>
      <c r="J839" s="8" t="str">
        <f>_xlfn.XLOOKUP($A839,'RAWDATA Cars Buyers DB'!$A:$A,'RAWDATA Cars Buyers DB'!J:J)</f>
        <v>Hesse</v>
      </c>
      <c r="K839" s="8">
        <f>_xlfn.XLOOKUP($A839,'RAWDATA Cars Buyers DB'!$A:$A,'RAWDATA Cars Buyers DB'!K:K)</f>
        <v>50</v>
      </c>
      <c r="L839" s="10" t="str">
        <f>IF(_xlfn.XLOOKUP($A839,'RAWDATA Cars Buyers DB'!$A:$A,'RAWDATA Cars Buyers DB'!K:K)&gt;54,"Old ",IF(_xlfn.XLOOKUP($A839,'RAWDATA Cars Buyers DB'!$A:$A,'RAWDATA Cars Buyers DB'!K:K)&gt;=31,"Middle Age ",IF(_xlfn.XLOOKUP($A839,'RAWDATA Cars Buyers DB'!$A:$A,'RAWDATA Cars Buyers DB'!K:K)&lt;31,"Adolescent","Invalid")))</f>
        <v xml:space="preserve">Middle Age </v>
      </c>
      <c r="M839" s="8" t="str">
        <f>_xlfn.XLOOKUP($A839,'RAWDATA Cars Buyers DB'!$A:$A,'RAWDATA Cars Buyers DB'!L:L)</f>
        <v>Yes</v>
      </c>
    </row>
    <row r="840" spans="1:13">
      <c r="A840" s="6">
        <v>32574</v>
      </c>
      <c r="B840" s="10" t="str">
        <f>IF(_xlfn.XLOOKUP($A840,'RAWDATA Cars Buyers DB'!$A:$A,'RAWDATA Cars Buyers DB'!B:B)="S","Single","Married")</f>
        <v>Married</v>
      </c>
      <c r="C840" s="10" t="str">
        <f>IF(_xlfn.XLOOKUP($A840,'RAWDATA Cars Buyers DB'!$A:$A,'RAWDATA Cars Buyers DB'!C:C)="F","Female","Male")</f>
        <v>Male</v>
      </c>
      <c r="D840" s="7">
        <f>_xlfn.XLOOKUP($A840,'RAWDATA Cars Buyers DB'!$A:$A,'RAWDATA Cars Buyers DB'!D:D)</f>
        <v>101050</v>
      </c>
      <c r="E840" s="8">
        <f>_xlfn.XLOOKUP($A840,'RAWDATA Cars Buyers DB'!$A:$A,'RAWDATA Cars Buyers DB'!E:E)</f>
        <v>3</v>
      </c>
      <c r="F840" s="8" t="str">
        <f>_xlfn.XLOOKUP($A840,'RAWDATA Cars Buyers DB'!$A:$A,'RAWDATA Cars Buyers DB'!F:F)</f>
        <v>Graduate Degree</v>
      </c>
      <c r="G840" s="8" t="str">
        <f>_xlfn.XLOOKUP($A840,'RAWDATA Cars Buyers DB'!$A:$A,'RAWDATA Cars Buyers DB'!G:G)</f>
        <v>Management</v>
      </c>
      <c r="H840" s="8" t="str">
        <f>_xlfn.XLOOKUP($A840,'RAWDATA Cars Buyers DB'!$A:$A,'RAWDATA Cars Buyers DB'!H:H)</f>
        <v>No</v>
      </c>
      <c r="I840" s="8" t="str">
        <f>_xlfn.XLOOKUP($A840,'RAWDATA Cars Buyers DB'!$A:$A,'RAWDATA Cars Buyers DB'!I:I)</f>
        <v>4–6 Kilometre</v>
      </c>
      <c r="J840" s="8" t="str">
        <f>_xlfn.XLOOKUP($A840,'RAWDATA Cars Buyers DB'!$A:$A,'RAWDATA Cars Buyers DB'!J:J)</f>
        <v>Hesse</v>
      </c>
      <c r="K840" s="8">
        <f>_xlfn.XLOOKUP($A840,'RAWDATA Cars Buyers DB'!$A:$A,'RAWDATA Cars Buyers DB'!K:K)</f>
        <v>56</v>
      </c>
      <c r="L840" s="10" t="str">
        <f>IF(_xlfn.XLOOKUP($A840,'RAWDATA Cars Buyers DB'!$A:$A,'RAWDATA Cars Buyers DB'!K:K)&gt;54,"Old ",IF(_xlfn.XLOOKUP($A840,'RAWDATA Cars Buyers DB'!$A:$A,'RAWDATA Cars Buyers DB'!K:K)&gt;=31,"Middle Age ",IF(_xlfn.XLOOKUP($A840,'RAWDATA Cars Buyers DB'!$A:$A,'RAWDATA Cars Buyers DB'!K:K)&lt;31,"Adolescent","Invalid")))</f>
        <v xml:space="preserve">Old </v>
      </c>
      <c r="M840" s="8" t="str">
        <f>_xlfn.XLOOKUP($A840,'RAWDATA Cars Buyers DB'!$A:$A,'RAWDATA Cars Buyers DB'!L:L)</f>
        <v>No</v>
      </c>
    </row>
    <row r="841" spans="1:13">
      <c r="A841" s="6">
        <v>15240</v>
      </c>
      <c r="B841" s="10" t="str">
        <f>IF(_xlfn.XLOOKUP($A841,'RAWDATA Cars Buyers DB'!$A:$A,'RAWDATA Cars Buyers DB'!B:B)="S","Single","Married")</f>
        <v>Married</v>
      </c>
      <c r="C841" s="10" t="str">
        <f>IF(_xlfn.XLOOKUP($A841,'RAWDATA Cars Buyers DB'!$A:$A,'RAWDATA Cars Buyers DB'!C:C)="F","Female","Male")</f>
        <v>Male</v>
      </c>
      <c r="D841" s="7">
        <f>_xlfn.XLOOKUP($A841,'RAWDATA Cars Buyers DB'!$A:$A,'RAWDATA Cars Buyers DB'!D:D)</f>
        <v>105867</v>
      </c>
      <c r="E841" s="8">
        <f>_xlfn.XLOOKUP($A841,'RAWDATA Cars Buyers DB'!$A:$A,'RAWDATA Cars Buyers DB'!E:E)</f>
        <v>4</v>
      </c>
      <c r="F841" s="8" t="str">
        <f>_xlfn.XLOOKUP($A841,'RAWDATA Cars Buyers DB'!$A:$A,'RAWDATA Cars Buyers DB'!F:F)</f>
        <v>High School</v>
      </c>
      <c r="G841" s="8" t="str">
        <f>_xlfn.XLOOKUP($A841,'RAWDATA Cars Buyers DB'!$A:$A,'RAWDATA Cars Buyers DB'!G:G)</f>
        <v>Professional</v>
      </c>
      <c r="H841" s="8" t="str">
        <f>_xlfn.XLOOKUP($A841,'RAWDATA Cars Buyers DB'!$A:$A,'RAWDATA Cars Buyers DB'!H:H)</f>
        <v>No</v>
      </c>
      <c r="I841" s="8" t="str">
        <f>_xlfn.XLOOKUP($A841,'RAWDATA Cars Buyers DB'!$A:$A,'RAWDATA Cars Buyers DB'!I:I)</f>
        <v>2–4 Kilometre</v>
      </c>
      <c r="J841" s="8" t="str">
        <f>_xlfn.XLOOKUP($A841,'RAWDATA Cars Buyers DB'!$A:$A,'RAWDATA Cars Buyers DB'!J:J)</f>
        <v>Saxony</v>
      </c>
      <c r="K841" s="8">
        <f>_xlfn.XLOOKUP($A841,'RAWDATA Cars Buyers DB'!$A:$A,'RAWDATA Cars Buyers DB'!K:K)</f>
        <v>42</v>
      </c>
      <c r="L841" s="10" t="str">
        <f>IF(_xlfn.XLOOKUP($A841,'RAWDATA Cars Buyers DB'!$A:$A,'RAWDATA Cars Buyers DB'!K:K)&gt;54,"Old ",IF(_xlfn.XLOOKUP($A841,'RAWDATA Cars Buyers DB'!$A:$A,'RAWDATA Cars Buyers DB'!K:K)&gt;=31,"Middle Age ",IF(_xlfn.XLOOKUP($A841,'RAWDATA Cars Buyers DB'!$A:$A,'RAWDATA Cars Buyers DB'!K:K)&lt;31,"Adolescent","Invalid")))</f>
        <v xml:space="preserve">Middle Age </v>
      </c>
      <c r="M841" s="8" t="str">
        <f>_xlfn.XLOOKUP($A841,'RAWDATA Cars Buyers DB'!$A:$A,'RAWDATA Cars Buyers DB'!L:L)</f>
        <v>No</v>
      </c>
    </row>
    <row r="842" spans="1:13">
      <c r="A842" s="6">
        <v>53221</v>
      </c>
      <c r="B842" s="10" t="str">
        <f>IF(_xlfn.XLOOKUP($A842,'RAWDATA Cars Buyers DB'!$A:$A,'RAWDATA Cars Buyers DB'!B:B)="S","Single","Married")</f>
        <v>Single</v>
      </c>
      <c r="C842" s="10" t="str">
        <f>IF(_xlfn.XLOOKUP($A842,'RAWDATA Cars Buyers DB'!$A:$A,'RAWDATA Cars Buyers DB'!C:C)="F","Female","Male")</f>
        <v>Male</v>
      </c>
      <c r="D842" s="7">
        <f>_xlfn.XLOOKUP($A842,'RAWDATA Cars Buyers DB'!$A:$A,'RAWDATA Cars Buyers DB'!D:D)</f>
        <v>103596</v>
      </c>
      <c r="E842" s="8">
        <f>_xlfn.XLOOKUP($A842,'RAWDATA Cars Buyers DB'!$A:$A,'RAWDATA Cars Buyers DB'!E:E)</f>
        <v>1</v>
      </c>
      <c r="F842" s="8" t="str">
        <f>_xlfn.XLOOKUP($A842,'RAWDATA Cars Buyers DB'!$A:$A,'RAWDATA Cars Buyers DB'!F:F)</f>
        <v>Partial College</v>
      </c>
      <c r="G842" s="8" t="str">
        <f>_xlfn.XLOOKUP($A842,'RAWDATA Cars Buyers DB'!$A:$A,'RAWDATA Cars Buyers DB'!G:G)</f>
        <v>Skilled Manual</v>
      </c>
      <c r="H842" s="8" t="str">
        <f>_xlfn.XLOOKUP($A842,'RAWDATA Cars Buyers DB'!$A:$A,'RAWDATA Cars Buyers DB'!H:H)</f>
        <v>No</v>
      </c>
      <c r="I842" s="8" t="str">
        <f>_xlfn.XLOOKUP($A842,'RAWDATA Cars Buyers DB'!$A:$A,'RAWDATA Cars Buyers DB'!I:I)</f>
        <v>1–2 Kilometre</v>
      </c>
      <c r="J842" s="8" t="str">
        <f>_xlfn.XLOOKUP($A842,'RAWDATA Cars Buyers DB'!$A:$A,'RAWDATA Cars Buyers DB'!J:J)</f>
        <v>Berlin</v>
      </c>
      <c r="K842" s="8">
        <f>_xlfn.XLOOKUP($A842,'RAWDATA Cars Buyers DB'!$A:$A,'RAWDATA Cars Buyers DB'!K:K)</f>
        <v>46</v>
      </c>
      <c r="L842" s="10" t="str">
        <f>IF(_xlfn.XLOOKUP($A842,'RAWDATA Cars Buyers DB'!$A:$A,'RAWDATA Cars Buyers DB'!K:K)&gt;54,"Old ",IF(_xlfn.XLOOKUP($A842,'RAWDATA Cars Buyers DB'!$A:$A,'RAWDATA Cars Buyers DB'!K:K)&gt;=31,"Middle Age ",IF(_xlfn.XLOOKUP($A842,'RAWDATA Cars Buyers DB'!$A:$A,'RAWDATA Cars Buyers DB'!K:K)&lt;31,"Adolescent","Invalid")))</f>
        <v xml:space="preserve">Middle Age </v>
      </c>
      <c r="M842" s="8" t="str">
        <f>_xlfn.XLOOKUP($A842,'RAWDATA Cars Buyers DB'!$A:$A,'RAWDATA Cars Buyers DB'!L:L)</f>
        <v>Yes</v>
      </c>
    </row>
    <row r="843" spans="1:13">
      <c r="A843" s="6">
        <v>20478</v>
      </c>
      <c r="B843" s="10" t="str">
        <f>IF(_xlfn.XLOOKUP($A843,'RAWDATA Cars Buyers DB'!$A:$A,'RAWDATA Cars Buyers DB'!B:B)="S","Single","Married")</f>
        <v>Married</v>
      </c>
      <c r="C843" s="10" t="str">
        <f>IF(_xlfn.XLOOKUP($A843,'RAWDATA Cars Buyers DB'!$A:$A,'RAWDATA Cars Buyers DB'!C:C)="F","Female","Male")</f>
        <v>Male</v>
      </c>
      <c r="D843" s="7">
        <f>_xlfn.XLOOKUP($A843,'RAWDATA Cars Buyers DB'!$A:$A,'RAWDATA Cars Buyers DB'!D:D)</f>
        <v>86732</v>
      </c>
      <c r="E843" s="8">
        <f>_xlfn.XLOOKUP($A843,'RAWDATA Cars Buyers DB'!$A:$A,'RAWDATA Cars Buyers DB'!E:E)</f>
        <v>0</v>
      </c>
      <c r="F843" s="8" t="str">
        <f>_xlfn.XLOOKUP($A843,'RAWDATA Cars Buyers DB'!$A:$A,'RAWDATA Cars Buyers DB'!F:F)</f>
        <v>Bachelors</v>
      </c>
      <c r="G843" s="8" t="str">
        <f>_xlfn.XLOOKUP($A843,'RAWDATA Cars Buyers DB'!$A:$A,'RAWDATA Cars Buyers DB'!G:G)</f>
        <v>Skilled Manual</v>
      </c>
      <c r="H843" s="8" t="str">
        <f>_xlfn.XLOOKUP($A843,'RAWDATA Cars Buyers DB'!$A:$A,'RAWDATA Cars Buyers DB'!H:H)</f>
        <v>Yes</v>
      </c>
      <c r="I843" s="8" t="str">
        <f>_xlfn.XLOOKUP($A843,'RAWDATA Cars Buyers DB'!$A:$A,'RAWDATA Cars Buyers DB'!I:I)</f>
        <v>1–2 Kilometre</v>
      </c>
      <c r="J843" s="8" t="str">
        <f>_xlfn.XLOOKUP($A843,'RAWDATA Cars Buyers DB'!$A:$A,'RAWDATA Cars Buyers DB'!J:J)</f>
        <v>Hamburg</v>
      </c>
      <c r="K843" s="8">
        <f>_xlfn.XLOOKUP($A843,'RAWDATA Cars Buyers DB'!$A:$A,'RAWDATA Cars Buyers DB'!K:K)</f>
        <v>25</v>
      </c>
      <c r="L843" s="10" t="str">
        <f>IF(_xlfn.XLOOKUP($A843,'RAWDATA Cars Buyers DB'!$A:$A,'RAWDATA Cars Buyers DB'!K:K)&gt;54,"Old ",IF(_xlfn.XLOOKUP($A843,'RAWDATA Cars Buyers DB'!$A:$A,'RAWDATA Cars Buyers DB'!K:K)&gt;=31,"Middle Age ",IF(_xlfn.XLOOKUP($A843,'RAWDATA Cars Buyers DB'!$A:$A,'RAWDATA Cars Buyers DB'!K:K)&lt;31,"Adolescent","Invalid")))</f>
        <v>Adolescent</v>
      </c>
      <c r="M843" s="8" t="str">
        <f>_xlfn.XLOOKUP($A843,'RAWDATA Cars Buyers DB'!$A:$A,'RAWDATA Cars Buyers DB'!L:L)</f>
        <v>Yes</v>
      </c>
    </row>
    <row r="844" spans="1:13">
      <c r="A844" s="6">
        <v>65645</v>
      </c>
      <c r="B844" s="10" t="str">
        <f>IF(_xlfn.XLOOKUP($A844,'RAWDATA Cars Buyers DB'!$A:$A,'RAWDATA Cars Buyers DB'!B:B)="S","Single","Married")</f>
        <v>Married</v>
      </c>
      <c r="C844" s="10" t="str">
        <f>IF(_xlfn.XLOOKUP($A844,'RAWDATA Cars Buyers DB'!$A:$A,'RAWDATA Cars Buyers DB'!C:C)="F","Female","Male")</f>
        <v>Female</v>
      </c>
      <c r="D844" s="7">
        <f>_xlfn.XLOOKUP($A844,'RAWDATA Cars Buyers DB'!$A:$A,'RAWDATA Cars Buyers DB'!D:D)</f>
        <v>32297</v>
      </c>
      <c r="E844" s="8">
        <f>_xlfn.XLOOKUP($A844,'RAWDATA Cars Buyers DB'!$A:$A,'RAWDATA Cars Buyers DB'!E:E)</f>
        <v>0</v>
      </c>
      <c r="F844" s="8" t="str">
        <f>_xlfn.XLOOKUP($A844,'RAWDATA Cars Buyers DB'!$A:$A,'RAWDATA Cars Buyers DB'!F:F)</f>
        <v>Partial College</v>
      </c>
      <c r="G844" s="8" t="str">
        <f>_xlfn.XLOOKUP($A844,'RAWDATA Cars Buyers DB'!$A:$A,'RAWDATA Cars Buyers DB'!G:G)</f>
        <v>Management</v>
      </c>
      <c r="H844" s="8" t="str">
        <f>_xlfn.XLOOKUP($A844,'RAWDATA Cars Buyers DB'!$A:$A,'RAWDATA Cars Buyers DB'!H:H)</f>
        <v>Yes</v>
      </c>
      <c r="I844" s="8" t="str">
        <f>_xlfn.XLOOKUP($A844,'RAWDATA Cars Buyers DB'!$A:$A,'RAWDATA Cars Buyers DB'!I:I)</f>
        <v>0–1 Kilometre</v>
      </c>
      <c r="J844" s="8" t="str">
        <f>_xlfn.XLOOKUP($A844,'RAWDATA Cars Buyers DB'!$A:$A,'RAWDATA Cars Buyers DB'!J:J)</f>
        <v>Bavaria</v>
      </c>
      <c r="K844" s="8">
        <f>_xlfn.XLOOKUP($A844,'RAWDATA Cars Buyers DB'!$A:$A,'RAWDATA Cars Buyers DB'!K:K)</f>
        <v>45</v>
      </c>
      <c r="L844" s="10" t="str">
        <f>IF(_xlfn.XLOOKUP($A844,'RAWDATA Cars Buyers DB'!$A:$A,'RAWDATA Cars Buyers DB'!K:K)&gt;54,"Old ",IF(_xlfn.XLOOKUP($A844,'RAWDATA Cars Buyers DB'!$A:$A,'RAWDATA Cars Buyers DB'!K:K)&gt;=31,"Middle Age ",IF(_xlfn.XLOOKUP($A844,'RAWDATA Cars Buyers DB'!$A:$A,'RAWDATA Cars Buyers DB'!K:K)&lt;31,"Adolescent","Invalid")))</f>
        <v xml:space="preserve">Middle Age </v>
      </c>
      <c r="M844" s="8" t="str">
        <f>_xlfn.XLOOKUP($A844,'RAWDATA Cars Buyers DB'!$A:$A,'RAWDATA Cars Buyers DB'!L:L)</f>
        <v>No</v>
      </c>
    </row>
    <row r="845" spans="1:13">
      <c r="A845" s="6">
        <v>29262</v>
      </c>
      <c r="B845" s="10" t="str">
        <f>IF(_xlfn.XLOOKUP($A845,'RAWDATA Cars Buyers DB'!$A:$A,'RAWDATA Cars Buyers DB'!B:B)="S","Single","Married")</f>
        <v>Single</v>
      </c>
      <c r="C845" s="10" t="str">
        <f>IF(_xlfn.XLOOKUP($A845,'RAWDATA Cars Buyers DB'!$A:$A,'RAWDATA Cars Buyers DB'!C:C)="F","Female","Male")</f>
        <v>Female</v>
      </c>
      <c r="D845" s="7">
        <f>_xlfn.XLOOKUP($A845,'RAWDATA Cars Buyers DB'!$A:$A,'RAWDATA Cars Buyers DB'!D:D)</f>
        <v>88323</v>
      </c>
      <c r="E845" s="8">
        <f>_xlfn.XLOOKUP($A845,'RAWDATA Cars Buyers DB'!$A:$A,'RAWDATA Cars Buyers DB'!E:E)</f>
        <v>4</v>
      </c>
      <c r="F845" s="8" t="str">
        <f>_xlfn.XLOOKUP($A845,'RAWDATA Cars Buyers DB'!$A:$A,'RAWDATA Cars Buyers DB'!F:F)</f>
        <v>Partial College</v>
      </c>
      <c r="G845" s="8" t="str">
        <f>_xlfn.XLOOKUP($A845,'RAWDATA Cars Buyers DB'!$A:$A,'RAWDATA Cars Buyers DB'!G:G)</f>
        <v>Management</v>
      </c>
      <c r="H845" s="8" t="str">
        <f>_xlfn.XLOOKUP($A845,'RAWDATA Cars Buyers DB'!$A:$A,'RAWDATA Cars Buyers DB'!H:H)</f>
        <v>Yes</v>
      </c>
      <c r="I845" s="8" t="str">
        <f>_xlfn.XLOOKUP($A845,'RAWDATA Cars Buyers DB'!$A:$A,'RAWDATA Cars Buyers DB'!I:I)</f>
        <v>0–1 Kilometre</v>
      </c>
      <c r="J845" s="8" t="str">
        <f>_xlfn.XLOOKUP($A845,'RAWDATA Cars Buyers DB'!$A:$A,'RAWDATA Cars Buyers DB'!J:J)</f>
        <v>Brandenburg</v>
      </c>
      <c r="K845" s="8">
        <f>_xlfn.XLOOKUP($A845,'RAWDATA Cars Buyers DB'!$A:$A,'RAWDATA Cars Buyers DB'!K:K)</f>
        <v>21</v>
      </c>
      <c r="L845" s="10" t="str">
        <f>IF(_xlfn.XLOOKUP($A845,'RAWDATA Cars Buyers DB'!$A:$A,'RAWDATA Cars Buyers DB'!K:K)&gt;54,"Old ",IF(_xlfn.XLOOKUP($A845,'RAWDATA Cars Buyers DB'!$A:$A,'RAWDATA Cars Buyers DB'!K:K)&gt;=31,"Middle Age ",IF(_xlfn.XLOOKUP($A845,'RAWDATA Cars Buyers DB'!$A:$A,'RAWDATA Cars Buyers DB'!K:K)&lt;31,"Adolescent","Invalid")))</f>
        <v>Adolescent</v>
      </c>
      <c r="M845" s="8" t="str">
        <f>_xlfn.XLOOKUP($A845,'RAWDATA Cars Buyers DB'!$A:$A,'RAWDATA Cars Buyers DB'!L:L)</f>
        <v>No</v>
      </c>
    </row>
    <row r="846" spans="1:13">
      <c r="A846" s="6">
        <v>62796</v>
      </c>
      <c r="B846" s="10" t="str">
        <f>IF(_xlfn.XLOOKUP($A846,'RAWDATA Cars Buyers DB'!$A:$A,'RAWDATA Cars Buyers DB'!B:B)="S","Single","Married")</f>
        <v>Single</v>
      </c>
      <c r="C846" s="10" t="str">
        <f>IF(_xlfn.XLOOKUP($A846,'RAWDATA Cars Buyers DB'!$A:$A,'RAWDATA Cars Buyers DB'!C:C)="F","Female","Male")</f>
        <v>Female</v>
      </c>
      <c r="D846" s="7">
        <f>_xlfn.XLOOKUP($A846,'RAWDATA Cars Buyers DB'!$A:$A,'RAWDATA Cars Buyers DB'!D:D)</f>
        <v>43816</v>
      </c>
      <c r="E846" s="8">
        <f>_xlfn.XLOOKUP($A846,'RAWDATA Cars Buyers DB'!$A:$A,'RAWDATA Cars Buyers DB'!E:E)</f>
        <v>5</v>
      </c>
      <c r="F846" s="8" t="str">
        <f>_xlfn.XLOOKUP($A846,'RAWDATA Cars Buyers DB'!$A:$A,'RAWDATA Cars Buyers DB'!F:F)</f>
        <v>Graduate Degree</v>
      </c>
      <c r="G846" s="8" t="str">
        <f>_xlfn.XLOOKUP($A846,'RAWDATA Cars Buyers DB'!$A:$A,'RAWDATA Cars Buyers DB'!G:G)</f>
        <v>Professional</v>
      </c>
      <c r="H846" s="8" t="str">
        <f>_xlfn.XLOOKUP($A846,'RAWDATA Cars Buyers DB'!$A:$A,'RAWDATA Cars Buyers DB'!H:H)</f>
        <v>No</v>
      </c>
      <c r="I846" s="8" t="str">
        <f>_xlfn.XLOOKUP($A846,'RAWDATA Cars Buyers DB'!$A:$A,'RAWDATA Cars Buyers DB'!I:I)</f>
        <v>1–2 Kilometre</v>
      </c>
      <c r="J846" s="8" t="str">
        <f>_xlfn.XLOOKUP($A846,'RAWDATA Cars Buyers DB'!$A:$A,'RAWDATA Cars Buyers DB'!J:J)</f>
        <v>North Rhine-Westphalia</v>
      </c>
      <c r="K846" s="8">
        <f>_xlfn.XLOOKUP($A846,'RAWDATA Cars Buyers DB'!$A:$A,'RAWDATA Cars Buyers DB'!K:K)</f>
        <v>64</v>
      </c>
      <c r="L846" s="10" t="str">
        <f>IF(_xlfn.XLOOKUP($A846,'RAWDATA Cars Buyers DB'!$A:$A,'RAWDATA Cars Buyers DB'!K:K)&gt;54,"Old ",IF(_xlfn.XLOOKUP($A846,'RAWDATA Cars Buyers DB'!$A:$A,'RAWDATA Cars Buyers DB'!K:K)&gt;=31,"Middle Age ",IF(_xlfn.XLOOKUP($A846,'RAWDATA Cars Buyers DB'!$A:$A,'RAWDATA Cars Buyers DB'!K:K)&lt;31,"Adolescent","Invalid")))</f>
        <v xml:space="preserve">Old </v>
      </c>
      <c r="M846" s="8" t="str">
        <f>_xlfn.XLOOKUP($A846,'RAWDATA Cars Buyers DB'!$A:$A,'RAWDATA Cars Buyers DB'!L:L)</f>
        <v>No</v>
      </c>
    </row>
    <row r="847" spans="1:13">
      <c r="A847" s="6">
        <v>14432</v>
      </c>
      <c r="B847" s="10" t="str">
        <f>IF(_xlfn.XLOOKUP($A847,'RAWDATA Cars Buyers DB'!$A:$A,'RAWDATA Cars Buyers DB'!B:B)="S","Single","Married")</f>
        <v>Married</v>
      </c>
      <c r="C847" s="10" t="str">
        <f>IF(_xlfn.XLOOKUP($A847,'RAWDATA Cars Buyers DB'!$A:$A,'RAWDATA Cars Buyers DB'!C:C)="F","Female","Male")</f>
        <v>Female</v>
      </c>
      <c r="D847" s="7">
        <f>_xlfn.XLOOKUP($A847,'RAWDATA Cars Buyers DB'!$A:$A,'RAWDATA Cars Buyers DB'!D:D)</f>
        <v>60695</v>
      </c>
      <c r="E847" s="8">
        <f>_xlfn.XLOOKUP($A847,'RAWDATA Cars Buyers DB'!$A:$A,'RAWDATA Cars Buyers DB'!E:E)</f>
        <v>5</v>
      </c>
      <c r="F847" s="8" t="str">
        <f>_xlfn.XLOOKUP($A847,'RAWDATA Cars Buyers DB'!$A:$A,'RAWDATA Cars Buyers DB'!F:F)</f>
        <v>Graduate Degree</v>
      </c>
      <c r="G847" s="8" t="str">
        <f>_xlfn.XLOOKUP($A847,'RAWDATA Cars Buyers DB'!$A:$A,'RAWDATA Cars Buyers DB'!G:G)</f>
        <v>Professional</v>
      </c>
      <c r="H847" s="8" t="str">
        <f>_xlfn.XLOOKUP($A847,'RAWDATA Cars Buyers DB'!$A:$A,'RAWDATA Cars Buyers DB'!H:H)</f>
        <v>Yes</v>
      </c>
      <c r="I847" s="8" t="str">
        <f>_xlfn.XLOOKUP($A847,'RAWDATA Cars Buyers DB'!$A:$A,'RAWDATA Cars Buyers DB'!I:I)</f>
        <v>6+ Kilometre</v>
      </c>
      <c r="J847" s="8" t="str">
        <f>_xlfn.XLOOKUP($A847,'RAWDATA Cars Buyers DB'!$A:$A,'RAWDATA Cars Buyers DB'!J:J)</f>
        <v>Saarland</v>
      </c>
      <c r="K847" s="8">
        <f>_xlfn.XLOOKUP($A847,'RAWDATA Cars Buyers DB'!$A:$A,'RAWDATA Cars Buyers DB'!K:K)</f>
        <v>32</v>
      </c>
      <c r="L847" s="10" t="str">
        <f>IF(_xlfn.XLOOKUP($A847,'RAWDATA Cars Buyers DB'!$A:$A,'RAWDATA Cars Buyers DB'!K:K)&gt;54,"Old ",IF(_xlfn.XLOOKUP($A847,'RAWDATA Cars Buyers DB'!$A:$A,'RAWDATA Cars Buyers DB'!K:K)&gt;=31,"Middle Age ",IF(_xlfn.XLOOKUP($A847,'RAWDATA Cars Buyers DB'!$A:$A,'RAWDATA Cars Buyers DB'!K:K)&lt;31,"Adolescent","Invalid")))</f>
        <v xml:space="preserve">Middle Age </v>
      </c>
      <c r="M847" s="8" t="str">
        <f>_xlfn.XLOOKUP($A847,'RAWDATA Cars Buyers DB'!$A:$A,'RAWDATA Cars Buyers DB'!L:L)</f>
        <v>No</v>
      </c>
    </row>
    <row r="848" spans="1:13">
      <c r="A848" s="6">
        <v>74291</v>
      </c>
      <c r="B848" s="10" t="str">
        <f>IF(_xlfn.XLOOKUP($A848,'RAWDATA Cars Buyers DB'!$A:$A,'RAWDATA Cars Buyers DB'!B:B)="S","Single","Married")</f>
        <v>Single</v>
      </c>
      <c r="C848" s="10" t="str">
        <f>IF(_xlfn.XLOOKUP($A848,'RAWDATA Cars Buyers DB'!$A:$A,'RAWDATA Cars Buyers DB'!C:C)="F","Female","Male")</f>
        <v>Female</v>
      </c>
      <c r="D848" s="7">
        <f>_xlfn.XLOOKUP($A848,'RAWDATA Cars Buyers DB'!$A:$A,'RAWDATA Cars Buyers DB'!D:D)</f>
        <v>39702</v>
      </c>
      <c r="E848" s="8">
        <f>_xlfn.XLOOKUP($A848,'RAWDATA Cars Buyers DB'!$A:$A,'RAWDATA Cars Buyers DB'!E:E)</f>
        <v>3</v>
      </c>
      <c r="F848" s="8" t="str">
        <f>_xlfn.XLOOKUP($A848,'RAWDATA Cars Buyers DB'!$A:$A,'RAWDATA Cars Buyers DB'!F:F)</f>
        <v>Graduate Degree</v>
      </c>
      <c r="G848" s="8" t="str">
        <f>_xlfn.XLOOKUP($A848,'RAWDATA Cars Buyers DB'!$A:$A,'RAWDATA Cars Buyers DB'!G:G)</f>
        <v>Management</v>
      </c>
      <c r="H848" s="8" t="str">
        <f>_xlfn.XLOOKUP($A848,'RAWDATA Cars Buyers DB'!$A:$A,'RAWDATA Cars Buyers DB'!H:H)</f>
        <v>No</v>
      </c>
      <c r="I848" s="8" t="str">
        <f>_xlfn.XLOOKUP($A848,'RAWDATA Cars Buyers DB'!$A:$A,'RAWDATA Cars Buyers DB'!I:I)</f>
        <v>6+ Kilometre</v>
      </c>
      <c r="J848" s="8" t="str">
        <f>_xlfn.XLOOKUP($A848,'RAWDATA Cars Buyers DB'!$A:$A,'RAWDATA Cars Buyers DB'!J:J)</f>
        <v>Saxony</v>
      </c>
      <c r="K848" s="8">
        <f>_xlfn.XLOOKUP($A848,'RAWDATA Cars Buyers DB'!$A:$A,'RAWDATA Cars Buyers DB'!K:K)</f>
        <v>69</v>
      </c>
      <c r="L848" s="10" t="str">
        <f>IF(_xlfn.XLOOKUP($A848,'RAWDATA Cars Buyers DB'!$A:$A,'RAWDATA Cars Buyers DB'!K:K)&gt;54,"Old ",IF(_xlfn.XLOOKUP($A848,'RAWDATA Cars Buyers DB'!$A:$A,'RAWDATA Cars Buyers DB'!K:K)&gt;=31,"Middle Age ",IF(_xlfn.XLOOKUP($A848,'RAWDATA Cars Buyers DB'!$A:$A,'RAWDATA Cars Buyers DB'!K:K)&lt;31,"Adolescent","Invalid")))</f>
        <v xml:space="preserve">Old </v>
      </c>
      <c r="M848" s="8" t="str">
        <f>_xlfn.XLOOKUP($A848,'RAWDATA Cars Buyers DB'!$A:$A,'RAWDATA Cars Buyers DB'!L:L)</f>
        <v>Yes</v>
      </c>
    </row>
    <row r="849" spans="1:13">
      <c r="A849" s="6">
        <v>89104</v>
      </c>
      <c r="B849" s="10" t="str">
        <f>IF(_xlfn.XLOOKUP($A849,'RAWDATA Cars Buyers DB'!$A:$A,'RAWDATA Cars Buyers DB'!B:B)="S","Single","Married")</f>
        <v>Single</v>
      </c>
      <c r="C849" s="10" t="str">
        <f>IF(_xlfn.XLOOKUP($A849,'RAWDATA Cars Buyers DB'!$A:$A,'RAWDATA Cars Buyers DB'!C:C)="F","Female","Male")</f>
        <v>Female</v>
      </c>
      <c r="D849" s="7">
        <f>_xlfn.XLOOKUP($A849,'RAWDATA Cars Buyers DB'!$A:$A,'RAWDATA Cars Buyers DB'!D:D)</f>
        <v>45242</v>
      </c>
      <c r="E849" s="8">
        <f>_xlfn.XLOOKUP($A849,'RAWDATA Cars Buyers DB'!$A:$A,'RAWDATA Cars Buyers DB'!E:E)</f>
        <v>3</v>
      </c>
      <c r="F849" s="8" t="str">
        <f>_xlfn.XLOOKUP($A849,'RAWDATA Cars Buyers DB'!$A:$A,'RAWDATA Cars Buyers DB'!F:F)</f>
        <v>Bachelors</v>
      </c>
      <c r="G849" s="8" t="str">
        <f>_xlfn.XLOOKUP($A849,'RAWDATA Cars Buyers DB'!$A:$A,'RAWDATA Cars Buyers DB'!G:G)</f>
        <v>Management</v>
      </c>
      <c r="H849" s="8" t="str">
        <f>_xlfn.XLOOKUP($A849,'RAWDATA Cars Buyers DB'!$A:$A,'RAWDATA Cars Buyers DB'!H:H)</f>
        <v>No</v>
      </c>
      <c r="I849" s="8" t="str">
        <f>_xlfn.XLOOKUP($A849,'RAWDATA Cars Buyers DB'!$A:$A,'RAWDATA Cars Buyers DB'!I:I)</f>
        <v>4–6 Kilometre</v>
      </c>
      <c r="J849" s="8" t="str">
        <f>_xlfn.XLOOKUP($A849,'RAWDATA Cars Buyers DB'!$A:$A,'RAWDATA Cars Buyers DB'!J:J)</f>
        <v>Rhineland-Palatinate</v>
      </c>
      <c r="K849" s="8">
        <f>_xlfn.XLOOKUP($A849,'RAWDATA Cars Buyers DB'!$A:$A,'RAWDATA Cars Buyers DB'!K:K)</f>
        <v>38</v>
      </c>
      <c r="L849" s="10" t="str">
        <f>IF(_xlfn.XLOOKUP($A849,'RAWDATA Cars Buyers DB'!$A:$A,'RAWDATA Cars Buyers DB'!K:K)&gt;54,"Old ",IF(_xlfn.XLOOKUP($A849,'RAWDATA Cars Buyers DB'!$A:$A,'RAWDATA Cars Buyers DB'!K:K)&gt;=31,"Middle Age ",IF(_xlfn.XLOOKUP($A849,'RAWDATA Cars Buyers DB'!$A:$A,'RAWDATA Cars Buyers DB'!K:K)&lt;31,"Adolescent","Invalid")))</f>
        <v xml:space="preserve">Middle Age </v>
      </c>
      <c r="M849" s="8" t="str">
        <f>_xlfn.XLOOKUP($A849,'RAWDATA Cars Buyers DB'!$A:$A,'RAWDATA Cars Buyers DB'!L:L)</f>
        <v>No</v>
      </c>
    </row>
    <row r="850" spans="1:13">
      <c r="A850" s="6">
        <v>69399</v>
      </c>
      <c r="B850" s="10" t="str">
        <f>IF(_xlfn.XLOOKUP($A850,'RAWDATA Cars Buyers DB'!$A:$A,'RAWDATA Cars Buyers DB'!B:B)="S","Single","Married")</f>
        <v>Married</v>
      </c>
      <c r="C850" s="10" t="str">
        <f>IF(_xlfn.XLOOKUP($A850,'RAWDATA Cars Buyers DB'!$A:$A,'RAWDATA Cars Buyers DB'!C:C)="F","Female","Male")</f>
        <v>Male</v>
      </c>
      <c r="D850" s="7">
        <f>_xlfn.XLOOKUP($A850,'RAWDATA Cars Buyers DB'!$A:$A,'RAWDATA Cars Buyers DB'!D:D)</f>
        <v>75841</v>
      </c>
      <c r="E850" s="8">
        <f>_xlfn.XLOOKUP($A850,'RAWDATA Cars Buyers DB'!$A:$A,'RAWDATA Cars Buyers DB'!E:E)</f>
        <v>4</v>
      </c>
      <c r="F850" s="8" t="str">
        <f>_xlfn.XLOOKUP($A850,'RAWDATA Cars Buyers DB'!$A:$A,'RAWDATA Cars Buyers DB'!F:F)</f>
        <v>Partial College</v>
      </c>
      <c r="G850" s="8" t="str">
        <f>_xlfn.XLOOKUP($A850,'RAWDATA Cars Buyers DB'!$A:$A,'RAWDATA Cars Buyers DB'!G:G)</f>
        <v>Professional</v>
      </c>
      <c r="H850" s="8" t="str">
        <f>_xlfn.XLOOKUP($A850,'RAWDATA Cars Buyers DB'!$A:$A,'RAWDATA Cars Buyers DB'!H:H)</f>
        <v>No</v>
      </c>
      <c r="I850" s="8" t="str">
        <f>_xlfn.XLOOKUP($A850,'RAWDATA Cars Buyers DB'!$A:$A,'RAWDATA Cars Buyers DB'!I:I)</f>
        <v>0–1 Kilometre</v>
      </c>
      <c r="J850" s="8" t="str">
        <f>_xlfn.XLOOKUP($A850,'RAWDATA Cars Buyers DB'!$A:$A,'RAWDATA Cars Buyers DB'!J:J)</f>
        <v>Bremen</v>
      </c>
      <c r="K850" s="8">
        <f>_xlfn.XLOOKUP($A850,'RAWDATA Cars Buyers DB'!$A:$A,'RAWDATA Cars Buyers DB'!K:K)</f>
        <v>20</v>
      </c>
      <c r="L850" s="10" t="str">
        <f>IF(_xlfn.XLOOKUP($A850,'RAWDATA Cars Buyers DB'!$A:$A,'RAWDATA Cars Buyers DB'!K:K)&gt;54,"Old ",IF(_xlfn.XLOOKUP($A850,'RAWDATA Cars Buyers DB'!$A:$A,'RAWDATA Cars Buyers DB'!K:K)&gt;=31,"Middle Age ",IF(_xlfn.XLOOKUP($A850,'RAWDATA Cars Buyers DB'!$A:$A,'RAWDATA Cars Buyers DB'!K:K)&lt;31,"Adolescent","Invalid")))</f>
        <v>Adolescent</v>
      </c>
      <c r="M850" s="8" t="str">
        <f>_xlfn.XLOOKUP($A850,'RAWDATA Cars Buyers DB'!$A:$A,'RAWDATA Cars Buyers DB'!L:L)</f>
        <v>Yes</v>
      </c>
    </row>
    <row r="851" spans="1:13">
      <c r="A851" s="6">
        <v>89714</v>
      </c>
      <c r="B851" s="10" t="str">
        <f>IF(_xlfn.XLOOKUP($A851,'RAWDATA Cars Buyers DB'!$A:$A,'RAWDATA Cars Buyers DB'!B:B)="S","Single","Married")</f>
        <v>Single</v>
      </c>
      <c r="C851" s="10" t="str">
        <f>IF(_xlfn.XLOOKUP($A851,'RAWDATA Cars Buyers DB'!$A:$A,'RAWDATA Cars Buyers DB'!C:C)="F","Female","Male")</f>
        <v>Female</v>
      </c>
      <c r="D851" s="7">
        <f>_xlfn.XLOOKUP($A851,'RAWDATA Cars Buyers DB'!$A:$A,'RAWDATA Cars Buyers DB'!D:D)</f>
        <v>87712</v>
      </c>
      <c r="E851" s="8">
        <f>_xlfn.XLOOKUP($A851,'RAWDATA Cars Buyers DB'!$A:$A,'RAWDATA Cars Buyers DB'!E:E)</f>
        <v>3</v>
      </c>
      <c r="F851" s="8" t="str">
        <f>_xlfn.XLOOKUP($A851,'RAWDATA Cars Buyers DB'!$A:$A,'RAWDATA Cars Buyers DB'!F:F)</f>
        <v>Bachelors</v>
      </c>
      <c r="G851" s="8" t="str">
        <f>_xlfn.XLOOKUP($A851,'RAWDATA Cars Buyers DB'!$A:$A,'RAWDATA Cars Buyers DB'!G:G)</f>
        <v>Clerical</v>
      </c>
      <c r="H851" s="8" t="str">
        <f>_xlfn.XLOOKUP($A851,'RAWDATA Cars Buyers DB'!$A:$A,'RAWDATA Cars Buyers DB'!H:H)</f>
        <v>Yes</v>
      </c>
      <c r="I851" s="8" t="str">
        <f>_xlfn.XLOOKUP($A851,'RAWDATA Cars Buyers DB'!$A:$A,'RAWDATA Cars Buyers DB'!I:I)</f>
        <v>4–6 Kilometre</v>
      </c>
      <c r="J851" s="8" t="str">
        <f>_xlfn.XLOOKUP($A851,'RAWDATA Cars Buyers DB'!$A:$A,'RAWDATA Cars Buyers DB'!J:J)</f>
        <v>Hamburg</v>
      </c>
      <c r="K851" s="8">
        <f>_xlfn.XLOOKUP($A851,'RAWDATA Cars Buyers DB'!$A:$A,'RAWDATA Cars Buyers DB'!K:K)</f>
        <v>59</v>
      </c>
      <c r="L851" s="10" t="str">
        <f>IF(_xlfn.XLOOKUP($A851,'RAWDATA Cars Buyers DB'!$A:$A,'RAWDATA Cars Buyers DB'!K:K)&gt;54,"Old ",IF(_xlfn.XLOOKUP($A851,'RAWDATA Cars Buyers DB'!$A:$A,'RAWDATA Cars Buyers DB'!K:K)&gt;=31,"Middle Age ",IF(_xlfn.XLOOKUP($A851,'RAWDATA Cars Buyers DB'!$A:$A,'RAWDATA Cars Buyers DB'!K:K)&lt;31,"Adolescent","Invalid")))</f>
        <v xml:space="preserve">Old </v>
      </c>
      <c r="M851" s="8" t="str">
        <f>_xlfn.XLOOKUP($A851,'RAWDATA Cars Buyers DB'!$A:$A,'RAWDATA Cars Buyers DB'!L:L)</f>
        <v>No</v>
      </c>
    </row>
    <row r="852" spans="1:13">
      <c r="A852" s="6">
        <v>60428</v>
      </c>
      <c r="B852" s="10" t="str">
        <f>IF(_xlfn.XLOOKUP($A852,'RAWDATA Cars Buyers DB'!$A:$A,'RAWDATA Cars Buyers DB'!B:B)="S","Single","Married")</f>
        <v>Single</v>
      </c>
      <c r="C852" s="10" t="str">
        <f>IF(_xlfn.XLOOKUP($A852,'RAWDATA Cars Buyers DB'!$A:$A,'RAWDATA Cars Buyers DB'!C:C)="F","Female","Male")</f>
        <v>Female</v>
      </c>
      <c r="D852" s="7">
        <f>_xlfn.XLOOKUP($A852,'RAWDATA Cars Buyers DB'!$A:$A,'RAWDATA Cars Buyers DB'!D:D)</f>
        <v>105663</v>
      </c>
      <c r="E852" s="8">
        <f>_xlfn.XLOOKUP($A852,'RAWDATA Cars Buyers DB'!$A:$A,'RAWDATA Cars Buyers DB'!E:E)</f>
        <v>0</v>
      </c>
      <c r="F852" s="8" t="str">
        <f>_xlfn.XLOOKUP($A852,'RAWDATA Cars Buyers DB'!$A:$A,'RAWDATA Cars Buyers DB'!F:F)</f>
        <v>Graduate Degree</v>
      </c>
      <c r="G852" s="8" t="str">
        <f>_xlfn.XLOOKUP($A852,'RAWDATA Cars Buyers DB'!$A:$A,'RAWDATA Cars Buyers DB'!G:G)</f>
        <v>Professional</v>
      </c>
      <c r="H852" s="8" t="str">
        <f>_xlfn.XLOOKUP($A852,'RAWDATA Cars Buyers DB'!$A:$A,'RAWDATA Cars Buyers DB'!H:H)</f>
        <v>Yes</v>
      </c>
      <c r="I852" s="8" t="str">
        <f>_xlfn.XLOOKUP($A852,'RAWDATA Cars Buyers DB'!$A:$A,'RAWDATA Cars Buyers DB'!I:I)</f>
        <v>0–1 Kilometre</v>
      </c>
      <c r="J852" s="8" t="str">
        <f>_xlfn.XLOOKUP($A852,'RAWDATA Cars Buyers DB'!$A:$A,'RAWDATA Cars Buyers DB'!J:J)</f>
        <v>Saxony</v>
      </c>
      <c r="K852" s="8">
        <f>_xlfn.XLOOKUP($A852,'RAWDATA Cars Buyers DB'!$A:$A,'RAWDATA Cars Buyers DB'!K:K)</f>
        <v>51</v>
      </c>
      <c r="L852" s="10" t="str">
        <f>IF(_xlfn.XLOOKUP($A852,'RAWDATA Cars Buyers DB'!$A:$A,'RAWDATA Cars Buyers DB'!K:K)&gt;54,"Old ",IF(_xlfn.XLOOKUP($A852,'RAWDATA Cars Buyers DB'!$A:$A,'RAWDATA Cars Buyers DB'!K:K)&gt;=31,"Middle Age ",IF(_xlfn.XLOOKUP($A852,'RAWDATA Cars Buyers DB'!$A:$A,'RAWDATA Cars Buyers DB'!K:K)&lt;31,"Adolescent","Invalid")))</f>
        <v xml:space="preserve">Middle Age </v>
      </c>
      <c r="M852" s="8" t="str">
        <f>_xlfn.XLOOKUP($A852,'RAWDATA Cars Buyers DB'!$A:$A,'RAWDATA Cars Buyers DB'!L:L)</f>
        <v>Yes</v>
      </c>
    </row>
    <row r="853" spans="1:13">
      <c r="A853" s="6">
        <v>97731</v>
      </c>
      <c r="B853" s="10" t="str">
        <f>IF(_xlfn.XLOOKUP($A853,'RAWDATA Cars Buyers DB'!$A:$A,'RAWDATA Cars Buyers DB'!B:B)="S","Single","Married")</f>
        <v>Married</v>
      </c>
      <c r="C853" s="10" t="str">
        <f>IF(_xlfn.XLOOKUP($A853,'RAWDATA Cars Buyers DB'!$A:$A,'RAWDATA Cars Buyers DB'!C:C)="F","Female","Male")</f>
        <v>Male</v>
      </c>
      <c r="D853" s="7">
        <f>_xlfn.XLOOKUP($A853,'RAWDATA Cars Buyers DB'!$A:$A,'RAWDATA Cars Buyers DB'!D:D)</f>
        <v>112764</v>
      </c>
      <c r="E853" s="8">
        <f>_xlfn.XLOOKUP($A853,'RAWDATA Cars Buyers DB'!$A:$A,'RAWDATA Cars Buyers DB'!E:E)</f>
        <v>0</v>
      </c>
      <c r="F853" s="8" t="str">
        <f>_xlfn.XLOOKUP($A853,'RAWDATA Cars Buyers DB'!$A:$A,'RAWDATA Cars Buyers DB'!F:F)</f>
        <v>Partial College</v>
      </c>
      <c r="G853" s="8" t="str">
        <f>_xlfn.XLOOKUP($A853,'RAWDATA Cars Buyers DB'!$A:$A,'RAWDATA Cars Buyers DB'!G:G)</f>
        <v>Clerical</v>
      </c>
      <c r="H853" s="8" t="str">
        <f>_xlfn.XLOOKUP($A853,'RAWDATA Cars Buyers DB'!$A:$A,'RAWDATA Cars Buyers DB'!H:H)</f>
        <v>Yes</v>
      </c>
      <c r="I853" s="8" t="str">
        <f>_xlfn.XLOOKUP($A853,'RAWDATA Cars Buyers DB'!$A:$A,'RAWDATA Cars Buyers DB'!I:I)</f>
        <v>1–2 Kilometre</v>
      </c>
      <c r="J853" s="8" t="str">
        <f>_xlfn.XLOOKUP($A853,'RAWDATA Cars Buyers DB'!$A:$A,'RAWDATA Cars Buyers DB'!J:J)</f>
        <v>Lower Saxony</v>
      </c>
      <c r="K853" s="8">
        <f>_xlfn.XLOOKUP($A853,'RAWDATA Cars Buyers DB'!$A:$A,'RAWDATA Cars Buyers DB'!K:K)</f>
        <v>41</v>
      </c>
      <c r="L853" s="10" t="str">
        <f>IF(_xlfn.XLOOKUP($A853,'RAWDATA Cars Buyers DB'!$A:$A,'RAWDATA Cars Buyers DB'!K:K)&gt;54,"Old ",IF(_xlfn.XLOOKUP($A853,'RAWDATA Cars Buyers DB'!$A:$A,'RAWDATA Cars Buyers DB'!K:K)&gt;=31,"Middle Age ",IF(_xlfn.XLOOKUP($A853,'RAWDATA Cars Buyers DB'!$A:$A,'RAWDATA Cars Buyers DB'!K:K)&lt;31,"Adolescent","Invalid")))</f>
        <v xml:space="preserve">Middle Age </v>
      </c>
      <c r="M853" s="8" t="str">
        <f>_xlfn.XLOOKUP($A853,'RAWDATA Cars Buyers DB'!$A:$A,'RAWDATA Cars Buyers DB'!L:L)</f>
        <v>No</v>
      </c>
    </row>
    <row r="854" spans="1:13">
      <c r="A854" s="6">
        <v>10302</v>
      </c>
      <c r="B854" s="10" t="str">
        <f>IF(_xlfn.XLOOKUP($A854,'RAWDATA Cars Buyers DB'!$A:$A,'RAWDATA Cars Buyers DB'!B:B)="S","Single","Married")</f>
        <v>Married</v>
      </c>
      <c r="C854" s="10" t="str">
        <f>IF(_xlfn.XLOOKUP($A854,'RAWDATA Cars Buyers DB'!$A:$A,'RAWDATA Cars Buyers DB'!C:C)="F","Female","Male")</f>
        <v>Male</v>
      </c>
      <c r="D854" s="7">
        <f>_xlfn.XLOOKUP($A854,'RAWDATA Cars Buyers DB'!$A:$A,'RAWDATA Cars Buyers DB'!D:D)</f>
        <v>73574</v>
      </c>
      <c r="E854" s="8">
        <f>_xlfn.XLOOKUP($A854,'RAWDATA Cars Buyers DB'!$A:$A,'RAWDATA Cars Buyers DB'!E:E)</f>
        <v>1</v>
      </c>
      <c r="F854" s="8" t="str">
        <f>_xlfn.XLOOKUP($A854,'RAWDATA Cars Buyers DB'!$A:$A,'RAWDATA Cars Buyers DB'!F:F)</f>
        <v>Bachelors</v>
      </c>
      <c r="G854" s="8" t="str">
        <f>_xlfn.XLOOKUP($A854,'RAWDATA Cars Buyers DB'!$A:$A,'RAWDATA Cars Buyers DB'!G:G)</f>
        <v>Skilled Manual</v>
      </c>
      <c r="H854" s="8" t="str">
        <f>_xlfn.XLOOKUP($A854,'RAWDATA Cars Buyers DB'!$A:$A,'RAWDATA Cars Buyers DB'!H:H)</f>
        <v>No</v>
      </c>
      <c r="I854" s="8" t="str">
        <f>_xlfn.XLOOKUP($A854,'RAWDATA Cars Buyers DB'!$A:$A,'RAWDATA Cars Buyers DB'!I:I)</f>
        <v>6+ Kilometre</v>
      </c>
      <c r="J854" s="8" t="str">
        <f>_xlfn.XLOOKUP($A854,'RAWDATA Cars Buyers DB'!$A:$A,'RAWDATA Cars Buyers DB'!J:J)</f>
        <v>Hesse</v>
      </c>
      <c r="K854" s="8">
        <f>_xlfn.XLOOKUP($A854,'RAWDATA Cars Buyers DB'!$A:$A,'RAWDATA Cars Buyers DB'!K:K)</f>
        <v>67</v>
      </c>
      <c r="L854" s="10" t="str">
        <f>IF(_xlfn.XLOOKUP($A854,'RAWDATA Cars Buyers DB'!$A:$A,'RAWDATA Cars Buyers DB'!K:K)&gt;54,"Old ",IF(_xlfn.XLOOKUP($A854,'RAWDATA Cars Buyers DB'!$A:$A,'RAWDATA Cars Buyers DB'!K:K)&gt;=31,"Middle Age ",IF(_xlfn.XLOOKUP($A854,'RAWDATA Cars Buyers DB'!$A:$A,'RAWDATA Cars Buyers DB'!K:K)&lt;31,"Adolescent","Invalid")))</f>
        <v xml:space="preserve">Old </v>
      </c>
      <c r="M854" s="8" t="str">
        <f>_xlfn.XLOOKUP($A854,'RAWDATA Cars Buyers DB'!$A:$A,'RAWDATA Cars Buyers DB'!L:L)</f>
        <v>No</v>
      </c>
    </row>
    <row r="855" spans="1:13">
      <c r="A855" s="6">
        <v>92558</v>
      </c>
      <c r="B855" s="10" t="str">
        <f>IF(_xlfn.XLOOKUP($A855,'RAWDATA Cars Buyers DB'!$A:$A,'RAWDATA Cars Buyers DB'!B:B)="S","Single","Married")</f>
        <v>Married</v>
      </c>
      <c r="C855" s="10" t="str">
        <f>IF(_xlfn.XLOOKUP($A855,'RAWDATA Cars Buyers DB'!$A:$A,'RAWDATA Cars Buyers DB'!C:C)="F","Female","Male")</f>
        <v>Female</v>
      </c>
      <c r="D855" s="7">
        <f>_xlfn.XLOOKUP($A855,'RAWDATA Cars Buyers DB'!$A:$A,'RAWDATA Cars Buyers DB'!D:D)</f>
        <v>105744</v>
      </c>
      <c r="E855" s="8">
        <f>_xlfn.XLOOKUP($A855,'RAWDATA Cars Buyers DB'!$A:$A,'RAWDATA Cars Buyers DB'!E:E)</f>
        <v>5</v>
      </c>
      <c r="F855" s="8" t="str">
        <f>_xlfn.XLOOKUP($A855,'RAWDATA Cars Buyers DB'!$A:$A,'RAWDATA Cars Buyers DB'!F:F)</f>
        <v>Bachelors</v>
      </c>
      <c r="G855" s="8" t="str">
        <f>_xlfn.XLOOKUP($A855,'RAWDATA Cars Buyers DB'!$A:$A,'RAWDATA Cars Buyers DB'!G:G)</f>
        <v>Skilled Manual</v>
      </c>
      <c r="H855" s="8" t="str">
        <f>_xlfn.XLOOKUP($A855,'RAWDATA Cars Buyers DB'!$A:$A,'RAWDATA Cars Buyers DB'!H:H)</f>
        <v>Yes</v>
      </c>
      <c r="I855" s="8" t="str">
        <f>_xlfn.XLOOKUP($A855,'RAWDATA Cars Buyers DB'!$A:$A,'RAWDATA Cars Buyers DB'!I:I)</f>
        <v>6+ Kilometre</v>
      </c>
      <c r="J855" s="8" t="str">
        <f>_xlfn.XLOOKUP($A855,'RAWDATA Cars Buyers DB'!$A:$A,'RAWDATA Cars Buyers DB'!J:J)</f>
        <v>Baden-Württemberg</v>
      </c>
      <c r="K855" s="8">
        <f>_xlfn.XLOOKUP($A855,'RAWDATA Cars Buyers DB'!$A:$A,'RAWDATA Cars Buyers DB'!K:K)</f>
        <v>48</v>
      </c>
      <c r="L855" s="10" t="str">
        <f>IF(_xlfn.XLOOKUP($A855,'RAWDATA Cars Buyers DB'!$A:$A,'RAWDATA Cars Buyers DB'!K:K)&gt;54,"Old ",IF(_xlfn.XLOOKUP($A855,'RAWDATA Cars Buyers DB'!$A:$A,'RAWDATA Cars Buyers DB'!K:K)&gt;=31,"Middle Age ",IF(_xlfn.XLOOKUP($A855,'RAWDATA Cars Buyers DB'!$A:$A,'RAWDATA Cars Buyers DB'!K:K)&lt;31,"Adolescent","Invalid")))</f>
        <v xml:space="preserve">Middle Age </v>
      </c>
      <c r="M855" s="8" t="str">
        <f>_xlfn.XLOOKUP($A855,'RAWDATA Cars Buyers DB'!$A:$A,'RAWDATA Cars Buyers DB'!L:L)</f>
        <v>Yes</v>
      </c>
    </row>
    <row r="856" spans="1:13">
      <c r="A856" s="6">
        <v>10055</v>
      </c>
      <c r="B856" s="10" t="str">
        <f>IF(_xlfn.XLOOKUP($A856,'RAWDATA Cars Buyers DB'!$A:$A,'RAWDATA Cars Buyers DB'!B:B)="S","Single","Married")</f>
        <v>Single</v>
      </c>
      <c r="C856" s="10" t="str">
        <f>IF(_xlfn.XLOOKUP($A856,'RAWDATA Cars Buyers DB'!$A:$A,'RAWDATA Cars Buyers DB'!C:C)="F","Female","Male")</f>
        <v>Male</v>
      </c>
      <c r="D856" s="7">
        <f>_xlfn.XLOOKUP($A856,'RAWDATA Cars Buyers DB'!$A:$A,'RAWDATA Cars Buyers DB'!D:D)</f>
        <v>48482</v>
      </c>
      <c r="E856" s="8">
        <f>_xlfn.XLOOKUP($A856,'RAWDATA Cars Buyers DB'!$A:$A,'RAWDATA Cars Buyers DB'!E:E)</f>
        <v>4</v>
      </c>
      <c r="F856" s="8" t="str">
        <f>_xlfn.XLOOKUP($A856,'RAWDATA Cars Buyers DB'!$A:$A,'RAWDATA Cars Buyers DB'!F:F)</f>
        <v>High School</v>
      </c>
      <c r="G856" s="8" t="str">
        <f>_xlfn.XLOOKUP($A856,'RAWDATA Cars Buyers DB'!$A:$A,'RAWDATA Cars Buyers DB'!G:G)</f>
        <v>Professional</v>
      </c>
      <c r="H856" s="8" t="str">
        <f>_xlfn.XLOOKUP($A856,'RAWDATA Cars Buyers DB'!$A:$A,'RAWDATA Cars Buyers DB'!H:H)</f>
        <v>No</v>
      </c>
      <c r="I856" s="8" t="str">
        <f>_xlfn.XLOOKUP($A856,'RAWDATA Cars Buyers DB'!$A:$A,'RAWDATA Cars Buyers DB'!I:I)</f>
        <v>1–2 Kilometre</v>
      </c>
      <c r="J856" s="8" t="str">
        <f>_xlfn.XLOOKUP($A856,'RAWDATA Cars Buyers DB'!$A:$A,'RAWDATA Cars Buyers DB'!J:J)</f>
        <v>Saxony-Anhalt</v>
      </c>
      <c r="K856" s="8">
        <f>_xlfn.XLOOKUP($A856,'RAWDATA Cars Buyers DB'!$A:$A,'RAWDATA Cars Buyers DB'!K:K)</f>
        <v>21</v>
      </c>
      <c r="L856" s="10" t="str">
        <f>IF(_xlfn.XLOOKUP($A856,'RAWDATA Cars Buyers DB'!$A:$A,'RAWDATA Cars Buyers DB'!K:K)&gt;54,"Old ",IF(_xlfn.XLOOKUP($A856,'RAWDATA Cars Buyers DB'!$A:$A,'RAWDATA Cars Buyers DB'!K:K)&gt;=31,"Middle Age ",IF(_xlfn.XLOOKUP($A856,'RAWDATA Cars Buyers DB'!$A:$A,'RAWDATA Cars Buyers DB'!K:K)&lt;31,"Adolescent","Invalid")))</f>
        <v>Adolescent</v>
      </c>
      <c r="M856" s="8" t="str">
        <f>_xlfn.XLOOKUP($A856,'RAWDATA Cars Buyers DB'!$A:$A,'RAWDATA Cars Buyers DB'!L:L)</f>
        <v>No</v>
      </c>
    </row>
    <row r="857" spans="1:13">
      <c r="A857" s="6">
        <v>18717</v>
      </c>
      <c r="B857" s="10" t="str">
        <f>IF(_xlfn.XLOOKUP($A857,'RAWDATA Cars Buyers DB'!$A:$A,'RAWDATA Cars Buyers DB'!B:B)="S","Single","Married")</f>
        <v>Married</v>
      </c>
      <c r="C857" s="10" t="str">
        <f>IF(_xlfn.XLOOKUP($A857,'RAWDATA Cars Buyers DB'!$A:$A,'RAWDATA Cars Buyers DB'!C:C)="F","Female","Male")</f>
        <v>Female</v>
      </c>
      <c r="D857" s="7">
        <f>_xlfn.XLOOKUP($A857,'RAWDATA Cars Buyers DB'!$A:$A,'RAWDATA Cars Buyers DB'!D:D)</f>
        <v>29171</v>
      </c>
      <c r="E857" s="8">
        <f>_xlfn.XLOOKUP($A857,'RAWDATA Cars Buyers DB'!$A:$A,'RAWDATA Cars Buyers DB'!E:E)</f>
        <v>2</v>
      </c>
      <c r="F857" s="8" t="str">
        <f>_xlfn.XLOOKUP($A857,'RAWDATA Cars Buyers DB'!$A:$A,'RAWDATA Cars Buyers DB'!F:F)</f>
        <v>Bachelors</v>
      </c>
      <c r="G857" s="8" t="str">
        <f>_xlfn.XLOOKUP($A857,'RAWDATA Cars Buyers DB'!$A:$A,'RAWDATA Cars Buyers DB'!G:G)</f>
        <v>Clerical</v>
      </c>
      <c r="H857" s="8" t="str">
        <f>_xlfn.XLOOKUP($A857,'RAWDATA Cars Buyers DB'!$A:$A,'RAWDATA Cars Buyers DB'!H:H)</f>
        <v>Yes</v>
      </c>
      <c r="I857" s="8" t="str">
        <f>_xlfn.XLOOKUP($A857,'RAWDATA Cars Buyers DB'!$A:$A,'RAWDATA Cars Buyers DB'!I:I)</f>
        <v>4–6 Kilometre</v>
      </c>
      <c r="J857" s="8" t="str">
        <f>_xlfn.XLOOKUP($A857,'RAWDATA Cars Buyers DB'!$A:$A,'RAWDATA Cars Buyers DB'!J:J)</f>
        <v>Hamburg</v>
      </c>
      <c r="K857" s="8">
        <f>_xlfn.XLOOKUP($A857,'RAWDATA Cars Buyers DB'!$A:$A,'RAWDATA Cars Buyers DB'!K:K)</f>
        <v>59</v>
      </c>
      <c r="L857" s="10" t="str">
        <f>IF(_xlfn.XLOOKUP($A857,'RAWDATA Cars Buyers DB'!$A:$A,'RAWDATA Cars Buyers DB'!K:K)&gt;54,"Old ",IF(_xlfn.XLOOKUP($A857,'RAWDATA Cars Buyers DB'!$A:$A,'RAWDATA Cars Buyers DB'!K:K)&gt;=31,"Middle Age ",IF(_xlfn.XLOOKUP($A857,'RAWDATA Cars Buyers DB'!$A:$A,'RAWDATA Cars Buyers DB'!K:K)&lt;31,"Adolescent","Invalid")))</f>
        <v xml:space="preserve">Old </v>
      </c>
      <c r="M857" s="8" t="str">
        <f>_xlfn.XLOOKUP($A857,'RAWDATA Cars Buyers DB'!$A:$A,'RAWDATA Cars Buyers DB'!L:L)</f>
        <v>Yes</v>
      </c>
    </row>
    <row r="858" spans="1:13">
      <c r="A858" s="6">
        <v>38699</v>
      </c>
      <c r="B858" s="10" t="str">
        <f>IF(_xlfn.XLOOKUP($A858,'RAWDATA Cars Buyers DB'!$A:$A,'RAWDATA Cars Buyers DB'!B:B)="S","Single","Married")</f>
        <v>Single</v>
      </c>
      <c r="C858" s="10" t="str">
        <f>IF(_xlfn.XLOOKUP($A858,'RAWDATA Cars Buyers DB'!$A:$A,'RAWDATA Cars Buyers DB'!C:C)="F","Female","Male")</f>
        <v>Male</v>
      </c>
      <c r="D858" s="7">
        <f>_xlfn.XLOOKUP($A858,'RAWDATA Cars Buyers DB'!$A:$A,'RAWDATA Cars Buyers DB'!D:D)</f>
        <v>118932</v>
      </c>
      <c r="E858" s="8">
        <f>_xlfn.XLOOKUP($A858,'RAWDATA Cars Buyers DB'!$A:$A,'RAWDATA Cars Buyers DB'!E:E)</f>
        <v>5</v>
      </c>
      <c r="F858" s="8" t="str">
        <f>_xlfn.XLOOKUP($A858,'RAWDATA Cars Buyers DB'!$A:$A,'RAWDATA Cars Buyers DB'!F:F)</f>
        <v>Graduate Degree</v>
      </c>
      <c r="G858" s="8" t="str">
        <f>_xlfn.XLOOKUP($A858,'RAWDATA Cars Buyers DB'!$A:$A,'RAWDATA Cars Buyers DB'!G:G)</f>
        <v>Professional</v>
      </c>
      <c r="H858" s="8" t="str">
        <f>_xlfn.XLOOKUP($A858,'RAWDATA Cars Buyers DB'!$A:$A,'RAWDATA Cars Buyers DB'!H:H)</f>
        <v>Yes</v>
      </c>
      <c r="I858" s="8" t="str">
        <f>_xlfn.XLOOKUP($A858,'RAWDATA Cars Buyers DB'!$A:$A,'RAWDATA Cars Buyers DB'!I:I)</f>
        <v>4–6 Kilometre</v>
      </c>
      <c r="J858" s="8" t="str">
        <f>_xlfn.XLOOKUP($A858,'RAWDATA Cars Buyers DB'!$A:$A,'RAWDATA Cars Buyers DB'!J:J)</f>
        <v>Saarland</v>
      </c>
      <c r="K858" s="8">
        <f>_xlfn.XLOOKUP($A858,'RAWDATA Cars Buyers DB'!$A:$A,'RAWDATA Cars Buyers DB'!K:K)</f>
        <v>57</v>
      </c>
      <c r="L858" s="10" t="str">
        <f>IF(_xlfn.XLOOKUP($A858,'RAWDATA Cars Buyers DB'!$A:$A,'RAWDATA Cars Buyers DB'!K:K)&gt;54,"Old ",IF(_xlfn.XLOOKUP($A858,'RAWDATA Cars Buyers DB'!$A:$A,'RAWDATA Cars Buyers DB'!K:K)&gt;=31,"Middle Age ",IF(_xlfn.XLOOKUP($A858,'RAWDATA Cars Buyers DB'!$A:$A,'RAWDATA Cars Buyers DB'!K:K)&lt;31,"Adolescent","Invalid")))</f>
        <v xml:space="preserve">Old </v>
      </c>
      <c r="M858" s="8" t="str">
        <f>_xlfn.XLOOKUP($A858,'RAWDATA Cars Buyers DB'!$A:$A,'RAWDATA Cars Buyers DB'!L:L)</f>
        <v>Yes</v>
      </c>
    </row>
    <row r="859" spans="1:13">
      <c r="A859" s="6">
        <v>83686</v>
      </c>
      <c r="B859" s="10" t="str">
        <f>IF(_xlfn.XLOOKUP($A859,'RAWDATA Cars Buyers DB'!$A:$A,'RAWDATA Cars Buyers DB'!B:B)="S","Single","Married")</f>
        <v>Single</v>
      </c>
      <c r="C859" s="10" t="str">
        <f>IF(_xlfn.XLOOKUP($A859,'RAWDATA Cars Buyers DB'!$A:$A,'RAWDATA Cars Buyers DB'!C:C)="F","Female","Male")</f>
        <v>Female</v>
      </c>
      <c r="D859" s="7">
        <f>_xlfn.XLOOKUP($A859,'RAWDATA Cars Buyers DB'!$A:$A,'RAWDATA Cars Buyers DB'!D:D)</f>
        <v>23696</v>
      </c>
      <c r="E859" s="8">
        <f>_xlfn.XLOOKUP($A859,'RAWDATA Cars Buyers DB'!$A:$A,'RAWDATA Cars Buyers DB'!E:E)</f>
        <v>2</v>
      </c>
      <c r="F859" s="8" t="str">
        <f>_xlfn.XLOOKUP($A859,'RAWDATA Cars Buyers DB'!$A:$A,'RAWDATA Cars Buyers DB'!F:F)</f>
        <v>Bachelors</v>
      </c>
      <c r="G859" s="8" t="str">
        <f>_xlfn.XLOOKUP($A859,'RAWDATA Cars Buyers DB'!$A:$A,'RAWDATA Cars Buyers DB'!G:G)</f>
        <v>Professional</v>
      </c>
      <c r="H859" s="8" t="str">
        <f>_xlfn.XLOOKUP($A859,'RAWDATA Cars Buyers DB'!$A:$A,'RAWDATA Cars Buyers DB'!H:H)</f>
        <v>No</v>
      </c>
      <c r="I859" s="8" t="str">
        <f>_xlfn.XLOOKUP($A859,'RAWDATA Cars Buyers DB'!$A:$A,'RAWDATA Cars Buyers DB'!I:I)</f>
        <v>2–4 Kilometre</v>
      </c>
      <c r="J859" s="8" t="str">
        <f>_xlfn.XLOOKUP($A859,'RAWDATA Cars Buyers DB'!$A:$A,'RAWDATA Cars Buyers DB'!J:J)</f>
        <v>Brandenburg</v>
      </c>
      <c r="K859" s="8">
        <f>_xlfn.XLOOKUP($A859,'RAWDATA Cars Buyers DB'!$A:$A,'RAWDATA Cars Buyers DB'!K:K)</f>
        <v>67</v>
      </c>
      <c r="L859" s="10" t="str">
        <f>IF(_xlfn.XLOOKUP($A859,'RAWDATA Cars Buyers DB'!$A:$A,'RAWDATA Cars Buyers DB'!K:K)&gt;54,"Old ",IF(_xlfn.XLOOKUP($A859,'RAWDATA Cars Buyers DB'!$A:$A,'RAWDATA Cars Buyers DB'!K:K)&gt;=31,"Middle Age ",IF(_xlfn.XLOOKUP($A859,'RAWDATA Cars Buyers DB'!$A:$A,'RAWDATA Cars Buyers DB'!K:K)&lt;31,"Adolescent","Invalid")))</f>
        <v xml:space="preserve">Old </v>
      </c>
      <c r="M859" s="8" t="str">
        <f>_xlfn.XLOOKUP($A859,'RAWDATA Cars Buyers DB'!$A:$A,'RAWDATA Cars Buyers DB'!L:L)</f>
        <v>Yes</v>
      </c>
    </row>
    <row r="860" spans="1:13">
      <c r="A860" s="6">
        <v>77661</v>
      </c>
      <c r="B860" s="10" t="str">
        <f>IF(_xlfn.XLOOKUP($A860,'RAWDATA Cars Buyers DB'!$A:$A,'RAWDATA Cars Buyers DB'!B:B)="S","Single","Married")</f>
        <v>Married</v>
      </c>
      <c r="C860" s="10" t="str">
        <f>IF(_xlfn.XLOOKUP($A860,'RAWDATA Cars Buyers DB'!$A:$A,'RAWDATA Cars Buyers DB'!C:C)="F","Female","Male")</f>
        <v>Male</v>
      </c>
      <c r="D860" s="7">
        <f>_xlfn.XLOOKUP($A860,'RAWDATA Cars Buyers DB'!$A:$A,'RAWDATA Cars Buyers DB'!D:D)</f>
        <v>40058</v>
      </c>
      <c r="E860" s="8">
        <f>_xlfn.XLOOKUP($A860,'RAWDATA Cars Buyers DB'!$A:$A,'RAWDATA Cars Buyers DB'!E:E)</f>
        <v>1</v>
      </c>
      <c r="F860" s="8" t="str">
        <f>_xlfn.XLOOKUP($A860,'RAWDATA Cars Buyers DB'!$A:$A,'RAWDATA Cars Buyers DB'!F:F)</f>
        <v>Partial College</v>
      </c>
      <c r="G860" s="8" t="str">
        <f>_xlfn.XLOOKUP($A860,'RAWDATA Cars Buyers DB'!$A:$A,'RAWDATA Cars Buyers DB'!G:G)</f>
        <v>Clerical</v>
      </c>
      <c r="H860" s="8" t="str">
        <f>_xlfn.XLOOKUP($A860,'RAWDATA Cars Buyers DB'!$A:$A,'RAWDATA Cars Buyers DB'!H:H)</f>
        <v>No</v>
      </c>
      <c r="I860" s="8" t="str">
        <f>_xlfn.XLOOKUP($A860,'RAWDATA Cars Buyers DB'!$A:$A,'RAWDATA Cars Buyers DB'!I:I)</f>
        <v>0–1 Kilometre</v>
      </c>
      <c r="J860" s="8" t="str">
        <f>_xlfn.XLOOKUP($A860,'RAWDATA Cars Buyers DB'!$A:$A,'RAWDATA Cars Buyers DB'!J:J)</f>
        <v>Saxony-Anhalt</v>
      </c>
      <c r="K860" s="8">
        <f>_xlfn.XLOOKUP($A860,'RAWDATA Cars Buyers DB'!$A:$A,'RAWDATA Cars Buyers DB'!K:K)</f>
        <v>30</v>
      </c>
      <c r="L860" s="10" t="str">
        <f>IF(_xlfn.XLOOKUP($A860,'RAWDATA Cars Buyers DB'!$A:$A,'RAWDATA Cars Buyers DB'!K:K)&gt;54,"Old ",IF(_xlfn.XLOOKUP($A860,'RAWDATA Cars Buyers DB'!$A:$A,'RAWDATA Cars Buyers DB'!K:K)&gt;=31,"Middle Age ",IF(_xlfn.XLOOKUP($A860,'RAWDATA Cars Buyers DB'!$A:$A,'RAWDATA Cars Buyers DB'!K:K)&lt;31,"Adolescent","Invalid")))</f>
        <v>Adolescent</v>
      </c>
      <c r="M860" s="8" t="str">
        <f>_xlfn.XLOOKUP($A860,'RAWDATA Cars Buyers DB'!$A:$A,'RAWDATA Cars Buyers DB'!L:L)</f>
        <v>Yes</v>
      </c>
    </row>
    <row r="861" spans="1:13">
      <c r="A861" s="6">
        <v>54247</v>
      </c>
      <c r="B861" s="10" t="str">
        <f>IF(_xlfn.XLOOKUP($A861,'RAWDATA Cars Buyers DB'!$A:$A,'RAWDATA Cars Buyers DB'!B:B)="S","Single","Married")</f>
        <v>Single</v>
      </c>
      <c r="C861" s="10" t="str">
        <f>IF(_xlfn.XLOOKUP($A861,'RAWDATA Cars Buyers DB'!$A:$A,'RAWDATA Cars Buyers DB'!C:C)="F","Female","Male")</f>
        <v>Male</v>
      </c>
      <c r="D861" s="7">
        <f>_xlfn.XLOOKUP($A861,'RAWDATA Cars Buyers DB'!$A:$A,'RAWDATA Cars Buyers DB'!D:D)</f>
        <v>40313</v>
      </c>
      <c r="E861" s="8">
        <f>_xlfn.XLOOKUP($A861,'RAWDATA Cars Buyers DB'!$A:$A,'RAWDATA Cars Buyers DB'!E:E)</f>
        <v>1</v>
      </c>
      <c r="F861" s="8" t="str">
        <f>_xlfn.XLOOKUP($A861,'RAWDATA Cars Buyers DB'!$A:$A,'RAWDATA Cars Buyers DB'!F:F)</f>
        <v>Bachelors</v>
      </c>
      <c r="G861" s="8" t="str">
        <f>_xlfn.XLOOKUP($A861,'RAWDATA Cars Buyers DB'!$A:$A,'RAWDATA Cars Buyers DB'!G:G)</f>
        <v>Professional</v>
      </c>
      <c r="H861" s="8" t="str">
        <f>_xlfn.XLOOKUP($A861,'RAWDATA Cars Buyers DB'!$A:$A,'RAWDATA Cars Buyers DB'!H:H)</f>
        <v>Yes</v>
      </c>
      <c r="I861" s="8" t="str">
        <f>_xlfn.XLOOKUP($A861,'RAWDATA Cars Buyers DB'!$A:$A,'RAWDATA Cars Buyers DB'!I:I)</f>
        <v>4–6 Kilometre</v>
      </c>
      <c r="J861" s="8" t="str">
        <f>_xlfn.XLOOKUP($A861,'RAWDATA Cars Buyers DB'!$A:$A,'RAWDATA Cars Buyers DB'!J:J)</f>
        <v>Thuringia</v>
      </c>
      <c r="K861" s="8">
        <f>_xlfn.XLOOKUP($A861,'RAWDATA Cars Buyers DB'!$A:$A,'RAWDATA Cars Buyers DB'!K:K)</f>
        <v>36</v>
      </c>
      <c r="L861" s="10" t="str">
        <f>IF(_xlfn.XLOOKUP($A861,'RAWDATA Cars Buyers DB'!$A:$A,'RAWDATA Cars Buyers DB'!K:K)&gt;54,"Old ",IF(_xlfn.XLOOKUP($A861,'RAWDATA Cars Buyers DB'!$A:$A,'RAWDATA Cars Buyers DB'!K:K)&gt;=31,"Middle Age ",IF(_xlfn.XLOOKUP($A861,'RAWDATA Cars Buyers DB'!$A:$A,'RAWDATA Cars Buyers DB'!K:K)&lt;31,"Adolescent","Invalid")))</f>
        <v xml:space="preserve">Middle Age </v>
      </c>
      <c r="M861" s="8" t="str">
        <f>_xlfn.XLOOKUP($A861,'RAWDATA Cars Buyers DB'!$A:$A,'RAWDATA Cars Buyers DB'!L:L)</f>
        <v>Yes</v>
      </c>
    </row>
    <row r="862" spans="1:13">
      <c r="A862" s="6">
        <v>26748</v>
      </c>
      <c r="B862" s="10" t="str">
        <f>IF(_xlfn.XLOOKUP($A862,'RAWDATA Cars Buyers DB'!$A:$A,'RAWDATA Cars Buyers DB'!B:B)="S","Single","Married")</f>
        <v>Married</v>
      </c>
      <c r="C862" s="10" t="str">
        <f>IF(_xlfn.XLOOKUP($A862,'RAWDATA Cars Buyers DB'!$A:$A,'RAWDATA Cars Buyers DB'!C:C)="F","Female","Male")</f>
        <v>Female</v>
      </c>
      <c r="D862" s="7">
        <f>_xlfn.XLOOKUP($A862,'RAWDATA Cars Buyers DB'!$A:$A,'RAWDATA Cars Buyers DB'!D:D)</f>
        <v>39149</v>
      </c>
      <c r="E862" s="8">
        <f>_xlfn.XLOOKUP($A862,'RAWDATA Cars Buyers DB'!$A:$A,'RAWDATA Cars Buyers DB'!E:E)</f>
        <v>3</v>
      </c>
      <c r="F862" s="8" t="str">
        <f>_xlfn.XLOOKUP($A862,'RAWDATA Cars Buyers DB'!$A:$A,'RAWDATA Cars Buyers DB'!F:F)</f>
        <v>High School</v>
      </c>
      <c r="G862" s="8" t="str">
        <f>_xlfn.XLOOKUP($A862,'RAWDATA Cars Buyers DB'!$A:$A,'RAWDATA Cars Buyers DB'!G:G)</f>
        <v>Skilled Manual</v>
      </c>
      <c r="H862" s="8" t="str">
        <f>_xlfn.XLOOKUP($A862,'RAWDATA Cars Buyers DB'!$A:$A,'RAWDATA Cars Buyers DB'!H:H)</f>
        <v>Yes</v>
      </c>
      <c r="I862" s="8" t="str">
        <f>_xlfn.XLOOKUP($A862,'RAWDATA Cars Buyers DB'!$A:$A,'RAWDATA Cars Buyers DB'!I:I)</f>
        <v>1–2 Kilometre</v>
      </c>
      <c r="J862" s="8" t="str">
        <f>_xlfn.XLOOKUP($A862,'RAWDATA Cars Buyers DB'!$A:$A,'RAWDATA Cars Buyers DB'!J:J)</f>
        <v>Thuringia</v>
      </c>
      <c r="K862" s="8">
        <f>_xlfn.XLOOKUP($A862,'RAWDATA Cars Buyers DB'!$A:$A,'RAWDATA Cars Buyers DB'!K:K)</f>
        <v>62</v>
      </c>
      <c r="L862" s="10" t="str">
        <f>IF(_xlfn.XLOOKUP($A862,'RAWDATA Cars Buyers DB'!$A:$A,'RAWDATA Cars Buyers DB'!K:K)&gt;54,"Old ",IF(_xlfn.XLOOKUP($A862,'RAWDATA Cars Buyers DB'!$A:$A,'RAWDATA Cars Buyers DB'!K:K)&gt;=31,"Middle Age ",IF(_xlfn.XLOOKUP($A862,'RAWDATA Cars Buyers DB'!$A:$A,'RAWDATA Cars Buyers DB'!K:K)&lt;31,"Adolescent","Invalid")))</f>
        <v xml:space="preserve">Old </v>
      </c>
      <c r="M862" s="8" t="str">
        <f>_xlfn.XLOOKUP($A862,'RAWDATA Cars Buyers DB'!$A:$A,'RAWDATA Cars Buyers DB'!L:L)</f>
        <v>No</v>
      </c>
    </row>
    <row r="863" spans="1:13">
      <c r="A863" s="6">
        <v>14621</v>
      </c>
      <c r="B863" s="10" t="str">
        <f>IF(_xlfn.XLOOKUP($A863,'RAWDATA Cars Buyers DB'!$A:$A,'RAWDATA Cars Buyers DB'!B:B)="S","Single","Married")</f>
        <v>Single</v>
      </c>
      <c r="C863" s="10" t="str">
        <f>IF(_xlfn.XLOOKUP($A863,'RAWDATA Cars Buyers DB'!$A:$A,'RAWDATA Cars Buyers DB'!C:C)="F","Female","Male")</f>
        <v>Female</v>
      </c>
      <c r="D863" s="7">
        <f>_xlfn.XLOOKUP($A863,'RAWDATA Cars Buyers DB'!$A:$A,'RAWDATA Cars Buyers DB'!D:D)</f>
        <v>73521</v>
      </c>
      <c r="E863" s="8">
        <f>_xlfn.XLOOKUP($A863,'RAWDATA Cars Buyers DB'!$A:$A,'RAWDATA Cars Buyers DB'!E:E)</f>
        <v>1</v>
      </c>
      <c r="F863" s="8" t="str">
        <f>_xlfn.XLOOKUP($A863,'RAWDATA Cars Buyers DB'!$A:$A,'RAWDATA Cars Buyers DB'!F:F)</f>
        <v>Partial College</v>
      </c>
      <c r="G863" s="8" t="str">
        <f>_xlfn.XLOOKUP($A863,'RAWDATA Cars Buyers DB'!$A:$A,'RAWDATA Cars Buyers DB'!G:G)</f>
        <v>Management</v>
      </c>
      <c r="H863" s="8" t="str">
        <f>_xlfn.XLOOKUP($A863,'RAWDATA Cars Buyers DB'!$A:$A,'RAWDATA Cars Buyers DB'!H:H)</f>
        <v>Yes</v>
      </c>
      <c r="I863" s="8" t="str">
        <f>_xlfn.XLOOKUP($A863,'RAWDATA Cars Buyers DB'!$A:$A,'RAWDATA Cars Buyers DB'!I:I)</f>
        <v>4–6 Kilometre</v>
      </c>
      <c r="J863" s="8" t="str">
        <f>_xlfn.XLOOKUP($A863,'RAWDATA Cars Buyers DB'!$A:$A,'RAWDATA Cars Buyers DB'!J:J)</f>
        <v>Berlin</v>
      </c>
      <c r="K863" s="8">
        <f>_xlfn.XLOOKUP($A863,'RAWDATA Cars Buyers DB'!$A:$A,'RAWDATA Cars Buyers DB'!K:K)</f>
        <v>27</v>
      </c>
      <c r="L863" s="10" t="str">
        <f>IF(_xlfn.XLOOKUP($A863,'RAWDATA Cars Buyers DB'!$A:$A,'RAWDATA Cars Buyers DB'!K:K)&gt;54,"Old ",IF(_xlfn.XLOOKUP($A863,'RAWDATA Cars Buyers DB'!$A:$A,'RAWDATA Cars Buyers DB'!K:K)&gt;=31,"Middle Age ",IF(_xlfn.XLOOKUP($A863,'RAWDATA Cars Buyers DB'!$A:$A,'RAWDATA Cars Buyers DB'!K:K)&lt;31,"Adolescent","Invalid")))</f>
        <v>Adolescent</v>
      </c>
      <c r="M863" s="8" t="str">
        <f>_xlfn.XLOOKUP($A863,'RAWDATA Cars Buyers DB'!$A:$A,'RAWDATA Cars Buyers DB'!L:L)</f>
        <v>Yes</v>
      </c>
    </row>
    <row r="864" spans="1:13">
      <c r="A864" s="6">
        <v>25034</v>
      </c>
      <c r="B864" s="10" t="str">
        <f>IF(_xlfn.XLOOKUP($A864,'RAWDATA Cars Buyers DB'!$A:$A,'RAWDATA Cars Buyers DB'!B:B)="S","Single","Married")</f>
        <v>Single</v>
      </c>
      <c r="C864" s="10" t="str">
        <f>IF(_xlfn.XLOOKUP($A864,'RAWDATA Cars Buyers DB'!$A:$A,'RAWDATA Cars Buyers DB'!C:C)="F","Female","Male")</f>
        <v>Female</v>
      </c>
      <c r="D864" s="7">
        <f>_xlfn.XLOOKUP($A864,'RAWDATA Cars Buyers DB'!$A:$A,'RAWDATA Cars Buyers DB'!D:D)</f>
        <v>65740</v>
      </c>
      <c r="E864" s="8">
        <f>_xlfn.XLOOKUP($A864,'RAWDATA Cars Buyers DB'!$A:$A,'RAWDATA Cars Buyers DB'!E:E)</f>
        <v>1</v>
      </c>
      <c r="F864" s="8" t="str">
        <f>_xlfn.XLOOKUP($A864,'RAWDATA Cars Buyers DB'!$A:$A,'RAWDATA Cars Buyers DB'!F:F)</f>
        <v>Partial College</v>
      </c>
      <c r="G864" s="8" t="str">
        <f>_xlfn.XLOOKUP($A864,'RAWDATA Cars Buyers DB'!$A:$A,'RAWDATA Cars Buyers DB'!G:G)</f>
        <v>Management</v>
      </c>
      <c r="H864" s="8" t="str">
        <f>_xlfn.XLOOKUP($A864,'RAWDATA Cars Buyers DB'!$A:$A,'RAWDATA Cars Buyers DB'!H:H)</f>
        <v>No</v>
      </c>
      <c r="I864" s="8" t="str">
        <f>_xlfn.XLOOKUP($A864,'RAWDATA Cars Buyers DB'!$A:$A,'RAWDATA Cars Buyers DB'!I:I)</f>
        <v>6+ Kilometre</v>
      </c>
      <c r="J864" s="8" t="str">
        <f>_xlfn.XLOOKUP($A864,'RAWDATA Cars Buyers DB'!$A:$A,'RAWDATA Cars Buyers DB'!J:J)</f>
        <v>Baden-Württemberg</v>
      </c>
      <c r="K864" s="8">
        <f>_xlfn.XLOOKUP($A864,'RAWDATA Cars Buyers DB'!$A:$A,'RAWDATA Cars Buyers DB'!K:K)</f>
        <v>41</v>
      </c>
      <c r="L864" s="10" t="str">
        <f>IF(_xlfn.XLOOKUP($A864,'RAWDATA Cars Buyers DB'!$A:$A,'RAWDATA Cars Buyers DB'!K:K)&gt;54,"Old ",IF(_xlfn.XLOOKUP($A864,'RAWDATA Cars Buyers DB'!$A:$A,'RAWDATA Cars Buyers DB'!K:K)&gt;=31,"Middle Age ",IF(_xlfn.XLOOKUP($A864,'RAWDATA Cars Buyers DB'!$A:$A,'RAWDATA Cars Buyers DB'!K:K)&lt;31,"Adolescent","Invalid")))</f>
        <v xml:space="preserve">Middle Age </v>
      </c>
      <c r="M864" s="8" t="str">
        <f>_xlfn.XLOOKUP($A864,'RAWDATA Cars Buyers DB'!$A:$A,'RAWDATA Cars Buyers DB'!L:L)</f>
        <v>Yes</v>
      </c>
    </row>
    <row r="865" spans="1:13">
      <c r="A865" s="6">
        <v>15126</v>
      </c>
      <c r="B865" s="10" t="str">
        <f>IF(_xlfn.XLOOKUP($A865,'RAWDATA Cars Buyers DB'!$A:$A,'RAWDATA Cars Buyers DB'!B:B)="S","Single","Married")</f>
        <v>Married</v>
      </c>
      <c r="C865" s="10" t="str">
        <f>IF(_xlfn.XLOOKUP($A865,'RAWDATA Cars Buyers DB'!$A:$A,'RAWDATA Cars Buyers DB'!C:C)="F","Female","Male")</f>
        <v>Female</v>
      </c>
      <c r="D865" s="7">
        <f>_xlfn.XLOOKUP($A865,'RAWDATA Cars Buyers DB'!$A:$A,'RAWDATA Cars Buyers DB'!D:D)</f>
        <v>24956</v>
      </c>
      <c r="E865" s="8">
        <f>_xlfn.XLOOKUP($A865,'RAWDATA Cars Buyers DB'!$A:$A,'RAWDATA Cars Buyers DB'!E:E)</f>
        <v>2</v>
      </c>
      <c r="F865" s="8" t="str">
        <f>_xlfn.XLOOKUP($A865,'RAWDATA Cars Buyers DB'!$A:$A,'RAWDATA Cars Buyers DB'!F:F)</f>
        <v>High School</v>
      </c>
      <c r="G865" s="8" t="str">
        <f>_xlfn.XLOOKUP($A865,'RAWDATA Cars Buyers DB'!$A:$A,'RAWDATA Cars Buyers DB'!G:G)</f>
        <v>Professional</v>
      </c>
      <c r="H865" s="8" t="str">
        <f>_xlfn.XLOOKUP($A865,'RAWDATA Cars Buyers DB'!$A:$A,'RAWDATA Cars Buyers DB'!H:H)</f>
        <v>No</v>
      </c>
      <c r="I865" s="8" t="str">
        <f>_xlfn.XLOOKUP($A865,'RAWDATA Cars Buyers DB'!$A:$A,'RAWDATA Cars Buyers DB'!I:I)</f>
        <v>0–1 Kilometre</v>
      </c>
      <c r="J865" s="8" t="str">
        <f>_xlfn.XLOOKUP($A865,'RAWDATA Cars Buyers DB'!$A:$A,'RAWDATA Cars Buyers DB'!J:J)</f>
        <v>Saxony</v>
      </c>
      <c r="K865" s="8">
        <f>_xlfn.XLOOKUP($A865,'RAWDATA Cars Buyers DB'!$A:$A,'RAWDATA Cars Buyers DB'!K:K)</f>
        <v>23</v>
      </c>
      <c r="L865" s="10" t="str">
        <f>IF(_xlfn.XLOOKUP($A865,'RAWDATA Cars Buyers DB'!$A:$A,'RAWDATA Cars Buyers DB'!K:K)&gt;54,"Old ",IF(_xlfn.XLOOKUP($A865,'RAWDATA Cars Buyers DB'!$A:$A,'RAWDATA Cars Buyers DB'!K:K)&gt;=31,"Middle Age ",IF(_xlfn.XLOOKUP($A865,'RAWDATA Cars Buyers DB'!$A:$A,'RAWDATA Cars Buyers DB'!K:K)&lt;31,"Adolescent","Invalid")))</f>
        <v>Adolescent</v>
      </c>
      <c r="M865" s="8" t="str">
        <f>_xlfn.XLOOKUP($A865,'RAWDATA Cars Buyers DB'!$A:$A,'RAWDATA Cars Buyers DB'!L:L)</f>
        <v>Yes</v>
      </c>
    </row>
    <row r="866" spans="1:13">
      <c r="A866" s="6">
        <v>15122</v>
      </c>
      <c r="B866" s="10" t="str">
        <f>IF(_xlfn.XLOOKUP($A866,'RAWDATA Cars Buyers DB'!$A:$A,'RAWDATA Cars Buyers DB'!B:B)="S","Single","Married")</f>
        <v>Married</v>
      </c>
      <c r="C866" s="10" t="str">
        <f>IF(_xlfn.XLOOKUP($A866,'RAWDATA Cars Buyers DB'!$A:$A,'RAWDATA Cars Buyers DB'!C:C)="F","Female","Male")</f>
        <v>Female</v>
      </c>
      <c r="D866" s="7">
        <f>_xlfn.XLOOKUP($A866,'RAWDATA Cars Buyers DB'!$A:$A,'RAWDATA Cars Buyers DB'!D:D)</f>
        <v>95731</v>
      </c>
      <c r="E866" s="8">
        <f>_xlfn.XLOOKUP($A866,'RAWDATA Cars Buyers DB'!$A:$A,'RAWDATA Cars Buyers DB'!E:E)</f>
        <v>3</v>
      </c>
      <c r="F866" s="8" t="str">
        <f>_xlfn.XLOOKUP($A866,'RAWDATA Cars Buyers DB'!$A:$A,'RAWDATA Cars Buyers DB'!F:F)</f>
        <v>Graduate Degree</v>
      </c>
      <c r="G866" s="8" t="str">
        <f>_xlfn.XLOOKUP($A866,'RAWDATA Cars Buyers DB'!$A:$A,'RAWDATA Cars Buyers DB'!G:G)</f>
        <v>Clerical</v>
      </c>
      <c r="H866" s="8" t="str">
        <f>_xlfn.XLOOKUP($A866,'RAWDATA Cars Buyers DB'!$A:$A,'RAWDATA Cars Buyers DB'!H:H)</f>
        <v>Yes</v>
      </c>
      <c r="I866" s="8" t="str">
        <f>_xlfn.XLOOKUP($A866,'RAWDATA Cars Buyers DB'!$A:$A,'RAWDATA Cars Buyers DB'!I:I)</f>
        <v>2–4 Kilometre</v>
      </c>
      <c r="J866" s="8" t="str">
        <f>_xlfn.XLOOKUP($A866,'RAWDATA Cars Buyers DB'!$A:$A,'RAWDATA Cars Buyers DB'!J:J)</f>
        <v>Saxony</v>
      </c>
      <c r="K866" s="8">
        <f>_xlfn.XLOOKUP($A866,'RAWDATA Cars Buyers DB'!$A:$A,'RAWDATA Cars Buyers DB'!K:K)</f>
        <v>30</v>
      </c>
      <c r="L866" s="10" t="str">
        <f>IF(_xlfn.XLOOKUP($A866,'RAWDATA Cars Buyers DB'!$A:$A,'RAWDATA Cars Buyers DB'!K:K)&gt;54,"Old ",IF(_xlfn.XLOOKUP($A866,'RAWDATA Cars Buyers DB'!$A:$A,'RAWDATA Cars Buyers DB'!K:K)&gt;=31,"Middle Age ",IF(_xlfn.XLOOKUP($A866,'RAWDATA Cars Buyers DB'!$A:$A,'RAWDATA Cars Buyers DB'!K:K)&lt;31,"Adolescent","Invalid")))</f>
        <v>Adolescent</v>
      </c>
      <c r="M866" s="8" t="str">
        <f>_xlfn.XLOOKUP($A866,'RAWDATA Cars Buyers DB'!$A:$A,'RAWDATA Cars Buyers DB'!L:L)</f>
        <v>No</v>
      </c>
    </row>
    <row r="867" spans="1:13">
      <c r="A867" s="6">
        <v>28030</v>
      </c>
      <c r="B867" s="10" t="str">
        <f>IF(_xlfn.XLOOKUP($A867,'RAWDATA Cars Buyers DB'!$A:$A,'RAWDATA Cars Buyers DB'!B:B)="S","Single","Married")</f>
        <v>Married</v>
      </c>
      <c r="C867" s="10" t="str">
        <f>IF(_xlfn.XLOOKUP($A867,'RAWDATA Cars Buyers DB'!$A:$A,'RAWDATA Cars Buyers DB'!C:C)="F","Female","Male")</f>
        <v>Male</v>
      </c>
      <c r="D867" s="7">
        <f>_xlfn.XLOOKUP($A867,'RAWDATA Cars Buyers DB'!$A:$A,'RAWDATA Cars Buyers DB'!D:D)</f>
        <v>102612</v>
      </c>
      <c r="E867" s="8">
        <f>_xlfn.XLOOKUP($A867,'RAWDATA Cars Buyers DB'!$A:$A,'RAWDATA Cars Buyers DB'!E:E)</f>
        <v>1</v>
      </c>
      <c r="F867" s="8" t="str">
        <f>_xlfn.XLOOKUP($A867,'RAWDATA Cars Buyers DB'!$A:$A,'RAWDATA Cars Buyers DB'!F:F)</f>
        <v>Partial College</v>
      </c>
      <c r="G867" s="8" t="str">
        <f>_xlfn.XLOOKUP($A867,'RAWDATA Cars Buyers DB'!$A:$A,'RAWDATA Cars Buyers DB'!G:G)</f>
        <v>Clerical</v>
      </c>
      <c r="H867" s="8" t="str">
        <f>_xlfn.XLOOKUP($A867,'RAWDATA Cars Buyers DB'!$A:$A,'RAWDATA Cars Buyers DB'!H:H)</f>
        <v>Yes</v>
      </c>
      <c r="I867" s="8" t="str">
        <f>_xlfn.XLOOKUP($A867,'RAWDATA Cars Buyers DB'!$A:$A,'RAWDATA Cars Buyers DB'!I:I)</f>
        <v>0–1 Kilometre</v>
      </c>
      <c r="J867" s="8" t="str">
        <f>_xlfn.XLOOKUP($A867,'RAWDATA Cars Buyers DB'!$A:$A,'RAWDATA Cars Buyers DB'!J:J)</f>
        <v>Schleswig-Holstein</v>
      </c>
      <c r="K867" s="8">
        <f>_xlfn.XLOOKUP($A867,'RAWDATA Cars Buyers DB'!$A:$A,'RAWDATA Cars Buyers DB'!K:K)</f>
        <v>27</v>
      </c>
      <c r="L867" s="10" t="str">
        <f>IF(_xlfn.XLOOKUP($A867,'RAWDATA Cars Buyers DB'!$A:$A,'RAWDATA Cars Buyers DB'!K:K)&gt;54,"Old ",IF(_xlfn.XLOOKUP($A867,'RAWDATA Cars Buyers DB'!$A:$A,'RAWDATA Cars Buyers DB'!K:K)&gt;=31,"Middle Age ",IF(_xlfn.XLOOKUP($A867,'RAWDATA Cars Buyers DB'!$A:$A,'RAWDATA Cars Buyers DB'!K:K)&lt;31,"Adolescent","Invalid")))</f>
        <v>Adolescent</v>
      </c>
      <c r="M867" s="8" t="str">
        <f>_xlfn.XLOOKUP($A867,'RAWDATA Cars Buyers DB'!$A:$A,'RAWDATA Cars Buyers DB'!L:L)</f>
        <v>No</v>
      </c>
    </row>
    <row r="868" spans="1:13">
      <c r="A868" s="6">
        <v>92838</v>
      </c>
      <c r="B868" s="10" t="str">
        <f>IF(_xlfn.XLOOKUP($A868,'RAWDATA Cars Buyers DB'!$A:$A,'RAWDATA Cars Buyers DB'!B:B)="S","Single","Married")</f>
        <v>Married</v>
      </c>
      <c r="C868" s="10" t="str">
        <f>IF(_xlfn.XLOOKUP($A868,'RAWDATA Cars Buyers DB'!$A:$A,'RAWDATA Cars Buyers DB'!C:C)="F","Female","Male")</f>
        <v>Female</v>
      </c>
      <c r="D868" s="7">
        <f>_xlfn.XLOOKUP($A868,'RAWDATA Cars Buyers DB'!$A:$A,'RAWDATA Cars Buyers DB'!D:D)</f>
        <v>86641</v>
      </c>
      <c r="E868" s="8">
        <f>_xlfn.XLOOKUP($A868,'RAWDATA Cars Buyers DB'!$A:$A,'RAWDATA Cars Buyers DB'!E:E)</f>
        <v>5</v>
      </c>
      <c r="F868" s="8" t="str">
        <f>_xlfn.XLOOKUP($A868,'RAWDATA Cars Buyers DB'!$A:$A,'RAWDATA Cars Buyers DB'!F:F)</f>
        <v>Graduate Degree</v>
      </c>
      <c r="G868" s="8" t="str">
        <f>_xlfn.XLOOKUP($A868,'RAWDATA Cars Buyers DB'!$A:$A,'RAWDATA Cars Buyers DB'!G:G)</f>
        <v>Skilled Manual</v>
      </c>
      <c r="H868" s="8" t="str">
        <f>_xlfn.XLOOKUP($A868,'RAWDATA Cars Buyers DB'!$A:$A,'RAWDATA Cars Buyers DB'!H:H)</f>
        <v>No</v>
      </c>
      <c r="I868" s="8" t="str">
        <f>_xlfn.XLOOKUP($A868,'RAWDATA Cars Buyers DB'!$A:$A,'RAWDATA Cars Buyers DB'!I:I)</f>
        <v>6+ Kilometre</v>
      </c>
      <c r="J868" s="8" t="str">
        <f>_xlfn.XLOOKUP($A868,'RAWDATA Cars Buyers DB'!$A:$A,'RAWDATA Cars Buyers DB'!J:J)</f>
        <v>Schleswig-Holstein</v>
      </c>
      <c r="K868" s="8">
        <f>_xlfn.XLOOKUP($A868,'RAWDATA Cars Buyers DB'!$A:$A,'RAWDATA Cars Buyers DB'!K:K)</f>
        <v>28</v>
      </c>
      <c r="L868" s="10" t="str">
        <f>IF(_xlfn.XLOOKUP($A868,'RAWDATA Cars Buyers DB'!$A:$A,'RAWDATA Cars Buyers DB'!K:K)&gt;54,"Old ",IF(_xlfn.XLOOKUP($A868,'RAWDATA Cars Buyers DB'!$A:$A,'RAWDATA Cars Buyers DB'!K:K)&gt;=31,"Middle Age ",IF(_xlfn.XLOOKUP($A868,'RAWDATA Cars Buyers DB'!$A:$A,'RAWDATA Cars Buyers DB'!K:K)&lt;31,"Adolescent","Invalid")))</f>
        <v>Adolescent</v>
      </c>
      <c r="M868" s="8" t="str">
        <f>_xlfn.XLOOKUP($A868,'RAWDATA Cars Buyers DB'!$A:$A,'RAWDATA Cars Buyers DB'!L:L)</f>
        <v>No</v>
      </c>
    </row>
    <row r="869" spans="1:13">
      <c r="A869" s="6">
        <v>94717</v>
      </c>
      <c r="B869" s="10" t="str">
        <f>IF(_xlfn.XLOOKUP($A869,'RAWDATA Cars Buyers DB'!$A:$A,'RAWDATA Cars Buyers DB'!B:B)="S","Single","Married")</f>
        <v>Married</v>
      </c>
      <c r="C869" s="10" t="str">
        <f>IF(_xlfn.XLOOKUP($A869,'RAWDATA Cars Buyers DB'!$A:$A,'RAWDATA Cars Buyers DB'!C:C)="F","Female","Male")</f>
        <v>Female</v>
      </c>
      <c r="D869" s="7">
        <f>_xlfn.XLOOKUP($A869,'RAWDATA Cars Buyers DB'!$A:$A,'RAWDATA Cars Buyers DB'!D:D)</f>
        <v>83811</v>
      </c>
      <c r="E869" s="8">
        <f>_xlfn.XLOOKUP($A869,'RAWDATA Cars Buyers DB'!$A:$A,'RAWDATA Cars Buyers DB'!E:E)</f>
        <v>1</v>
      </c>
      <c r="F869" s="8" t="str">
        <f>_xlfn.XLOOKUP($A869,'RAWDATA Cars Buyers DB'!$A:$A,'RAWDATA Cars Buyers DB'!F:F)</f>
        <v>Partial College</v>
      </c>
      <c r="G869" s="8" t="str">
        <f>_xlfn.XLOOKUP($A869,'RAWDATA Cars Buyers DB'!$A:$A,'RAWDATA Cars Buyers DB'!G:G)</f>
        <v>Clerical</v>
      </c>
      <c r="H869" s="8" t="str">
        <f>_xlfn.XLOOKUP($A869,'RAWDATA Cars Buyers DB'!$A:$A,'RAWDATA Cars Buyers DB'!H:H)</f>
        <v>Yes</v>
      </c>
      <c r="I869" s="8" t="str">
        <f>_xlfn.XLOOKUP($A869,'RAWDATA Cars Buyers DB'!$A:$A,'RAWDATA Cars Buyers DB'!I:I)</f>
        <v>6+ Kilometre</v>
      </c>
      <c r="J869" s="8" t="str">
        <f>_xlfn.XLOOKUP($A869,'RAWDATA Cars Buyers DB'!$A:$A,'RAWDATA Cars Buyers DB'!J:J)</f>
        <v>Brandenburg</v>
      </c>
      <c r="K869" s="8">
        <f>_xlfn.XLOOKUP($A869,'RAWDATA Cars Buyers DB'!$A:$A,'RAWDATA Cars Buyers DB'!K:K)</f>
        <v>45</v>
      </c>
      <c r="L869" s="10" t="str">
        <f>IF(_xlfn.XLOOKUP($A869,'RAWDATA Cars Buyers DB'!$A:$A,'RAWDATA Cars Buyers DB'!K:K)&gt;54,"Old ",IF(_xlfn.XLOOKUP($A869,'RAWDATA Cars Buyers DB'!$A:$A,'RAWDATA Cars Buyers DB'!K:K)&gt;=31,"Middle Age ",IF(_xlfn.XLOOKUP($A869,'RAWDATA Cars Buyers DB'!$A:$A,'RAWDATA Cars Buyers DB'!K:K)&lt;31,"Adolescent","Invalid")))</f>
        <v xml:space="preserve">Middle Age </v>
      </c>
      <c r="M869" s="8" t="str">
        <f>_xlfn.XLOOKUP($A869,'RAWDATA Cars Buyers DB'!$A:$A,'RAWDATA Cars Buyers DB'!L:L)</f>
        <v>No</v>
      </c>
    </row>
    <row r="870" spans="1:13">
      <c r="A870" s="6">
        <v>65658</v>
      </c>
      <c r="B870" s="10" t="str">
        <f>IF(_xlfn.XLOOKUP($A870,'RAWDATA Cars Buyers DB'!$A:$A,'RAWDATA Cars Buyers DB'!B:B)="S","Single","Married")</f>
        <v>Married</v>
      </c>
      <c r="C870" s="10" t="str">
        <f>IF(_xlfn.XLOOKUP($A870,'RAWDATA Cars Buyers DB'!$A:$A,'RAWDATA Cars Buyers DB'!C:C)="F","Female","Male")</f>
        <v>Male</v>
      </c>
      <c r="D870" s="7">
        <f>_xlfn.XLOOKUP($A870,'RAWDATA Cars Buyers DB'!$A:$A,'RAWDATA Cars Buyers DB'!D:D)</f>
        <v>72160</v>
      </c>
      <c r="E870" s="8">
        <f>_xlfn.XLOOKUP($A870,'RAWDATA Cars Buyers DB'!$A:$A,'RAWDATA Cars Buyers DB'!E:E)</f>
        <v>3</v>
      </c>
      <c r="F870" s="8" t="str">
        <f>_xlfn.XLOOKUP($A870,'RAWDATA Cars Buyers DB'!$A:$A,'RAWDATA Cars Buyers DB'!F:F)</f>
        <v>Partial College</v>
      </c>
      <c r="G870" s="8" t="str">
        <f>_xlfn.XLOOKUP($A870,'RAWDATA Cars Buyers DB'!$A:$A,'RAWDATA Cars Buyers DB'!G:G)</f>
        <v>Clerical</v>
      </c>
      <c r="H870" s="8" t="str">
        <f>_xlfn.XLOOKUP($A870,'RAWDATA Cars Buyers DB'!$A:$A,'RAWDATA Cars Buyers DB'!H:H)</f>
        <v>No</v>
      </c>
      <c r="I870" s="8" t="str">
        <f>_xlfn.XLOOKUP($A870,'RAWDATA Cars Buyers DB'!$A:$A,'RAWDATA Cars Buyers DB'!I:I)</f>
        <v>6+ Kilometre</v>
      </c>
      <c r="J870" s="8" t="str">
        <f>_xlfn.XLOOKUP($A870,'RAWDATA Cars Buyers DB'!$A:$A,'RAWDATA Cars Buyers DB'!J:J)</f>
        <v>Hamburg</v>
      </c>
      <c r="K870" s="8">
        <f>_xlfn.XLOOKUP($A870,'RAWDATA Cars Buyers DB'!$A:$A,'RAWDATA Cars Buyers DB'!K:K)</f>
        <v>21</v>
      </c>
      <c r="L870" s="10" t="str">
        <f>IF(_xlfn.XLOOKUP($A870,'RAWDATA Cars Buyers DB'!$A:$A,'RAWDATA Cars Buyers DB'!K:K)&gt;54,"Old ",IF(_xlfn.XLOOKUP($A870,'RAWDATA Cars Buyers DB'!$A:$A,'RAWDATA Cars Buyers DB'!K:K)&gt;=31,"Middle Age ",IF(_xlfn.XLOOKUP($A870,'RAWDATA Cars Buyers DB'!$A:$A,'RAWDATA Cars Buyers DB'!K:K)&lt;31,"Adolescent","Invalid")))</f>
        <v>Adolescent</v>
      </c>
      <c r="M870" s="8" t="str">
        <f>_xlfn.XLOOKUP($A870,'RAWDATA Cars Buyers DB'!$A:$A,'RAWDATA Cars Buyers DB'!L:L)</f>
        <v>No</v>
      </c>
    </row>
    <row r="871" spans="1:13">
      <c r="A871" s="6">
        <v>48638</v>
      </c>
      <c r="B871" s="10" t="str">
        <f>IF(_xlfn.XLOOKUP($A871,'RAWDATA Cars Buyers DB'!$A:$A,'RAWDATA Cars Buyers DB'!B:B)="S","Single","Married")</f>
        <v>Single</v>
      </c>
      <c r="C871" s="10" t="str">
        <f>IF(_xlfn.XLOOKUP($A871,'RAWDATA Cars Buyers DB'!$A:$A,'RAWDATA Cars Buyers DB'!C:C)="F","Female","Male")</f>
        <v>Male</v>
      </c>
      <c r="D871" s="7">
        <f>_xlfn.XLOOKUP($A871,'RAWDATA Cars Buyers DB'!$A:$A,'RAWDATA Cars Buyers DB'!D:D)</f>
        <v>71313</v>
      </c>
      <c r="E871" s="8">
        <f>_xlfn.XLOOKUP($A871,'RAWDATA Cars Buyers DB'!$A:$A,'RAWDATA Cars Buyers DB'!E:E)</f>
        <v>4</v>
      </c>
      <c r="F871" s="8" t="str">
        <f>_xlfn.XLOOKUP($A871,'RAWDATA Cars Buyers DB'!$A:$A,'RAWDATA Cars Buyers DB'!F:F)</f>
        <v>Graduate Degree</v>
      </c>
      <c r="G871" s="8" t="str">
        <f>_xlfn.XLOOKUP($A871,'RAWDATA Cars Buyers DB'!$A:$A,'RAWDATA Cars Buyers DB'!G:G)</f>
        <v>Skilled Manual</v>
      </c>
      <c r="H871" s="8" t="str">
        <f>_xlfn.XLOOKUP($A871,'RAWDATA Cars Buyers DB'!$A:$A,'RAWDATA Cars Buyers DB'!H:H)</f>
        <v>No</v>
      </c>
      <c r="I871" s="8" t="str">
        <f>_xlfn.XLOOKUP($A871,'RAWDATA Cars Buyers DB'!$A:$A,'RAWDATA Cars Buyers DB'!I:I)</f>
        <v>6+ Kilometre</v>
      </c>
      <c r="J871" s="8" t="str">
        <f>_xlfn.XLOOKUP($A871,'RAWDATA Cars Buyers DB'!$A:$A,'RAWDATA Cars Buyers DB'!J:J)</f>
        <v>Mecklenburg-Vorpommern</v>
      </c>
      <c r="K871" s="8">
        <f>_xlfn.XLOOKUP($A871,'RAWDATA Cars Buyers DB'!$A:$A,'RAWDATA Cars Buyers DB'!K:K)</f>
        <v>35</v>
      </c>
      <c r="L871" s="10" t="str">
        <f>IF(_xlfn.XLOOKUP($A871,'RAWDATA Cars Buyers DB'!$A:$A,'RAWDATA Cars Buyers DB'!K:K)&gt;54,"Old ",IF(_xlfn.XLOOKUP($A871,'RAWDATA Cars Buyers DB'!$A:$A,'RAWDATA Cars Buyers DB'!K:K)&gt;=31,"Middle Age ",IF(_xlfn.XLOOKUP($A871,'RAWDATA Cars Buyers DB'!$A:$A,'RAWDATA Cars Buyers DB'!K:K)&lt;31,"Adolescent","Invalid")))</f>
        <v xml:space="preserve">Middle Age </v>
      </c>
      <c r="M871" s="8" t="str">
        <f>_xlfn.XLOOKUP($A871,'RAWDATA Cars Buyers DB'!$A:$A,'RAWDATA Cars Buyers DB'!L:L)</f>
        <v>No</v>
      </c>
    </row>
    <row r="872" spans="1:13">
      <c r="A872" s="6">
        <v>77067</v>
      </c>
      <c r="B872" s="10" t="str">
        <f>IF(_xlfn.XLOOKUP($A872,'RAWDATA Cars Buyers DB'!$A:$A,'RAWDATA Cars Buyers DB'!B:B)="S","Single","Married")</f>
        <v>Married</v>
      </c>
      <c r="C872" s="10" t="str">
        <f>IF(_xlfn.XLOOKUP($A872,'RAWDATA Cars Buyers DB'!$A:$A,'RAWDATA Cars Buyers DB'!C:C)="F","Female","Male")</f>
        <v>Female</v>
      </c>
      <c r="D872" s="7">
        <f>_xlfn.XLOOKUP($A872,'RAWDATA Cars Buyers DB'!$A:$A,'RAWDATA Cars Buyers DB'!D:D)</f>
        <v>83232</v>
      </c>
      <c r="E872" s="8">
        <f>_xlfn.XLOOKUP($A872,'RAWDATA Cars Buyers DB'!$A:$A,'RAWDATA Cars Buyers DB'!E:E)</f>
        <v>3</v>
      </c>
      <c r="F872" s="8" t="str">
        <f>_xlfn.XLOOKUP($A872,'RAWDATA Cars Buyers DB'!$A:$A,'RAWDATA Cars Buyers DB'!F:F)</f>
        <v>Partial College</v>
      </c>
      <c r="G872" s="8" t="str">
        <f>_xlfn.XLOOKUP($A872,'RAWDATA Cars Buyers DB'!$A:$A,'RAWDATA Cars Buyers DB'!G:G)</f>
        <v>Professional</v>
      </c>
      <c r="H872" s="8" t="str">
        <f>_xlfn.XLOOKUP($A872,'RAWDATA Cars Buyers DB'!$A:$A,'RAWDATA Cars Buyers DB'!H:H)</f>
        <v>No</v>
      </c>
      <c r="I872" s="8" t="str">
        <f>_xlfn.XLOOKUP($A872,'RAWDATA Cars Buyers DB'!$A:$A,'RAWDATA Cars Buyers DB'!I:I)</f>
        <v>1–2 Kilometre</v>
      </c>
      <c r="J872" s="8" t="str">
        <f>_xlfn.XLOOKUP($A872,'RAWDATA Cars Buyers DB'!$A:$A,'RAWDATA Cars Buyers DB'!J:J)</f>
        <v>Hesse</v>
      </c>
      <c r="K872" s="8">
        <f>_xlfn.XLOOKUP($A872,'RAWDATA Cars Buyers DB'!$A:$A,'RAWDATA Cars Buyers DB'!K:K)</f>
        <v>50</v>
      </c>
      <c r="L872" s="10" t="str">
        <f>IF(_xlfn.XLOOKUP($A872,'RAWDATA Cars Buyers DB'!$A:$A,'RAWDATA Cars Buyers DB'!K:K)&gt;54,"Old ",IF(_xlfn.XLOOKUP($A872,'RAWDATA Cars Buyers DB'!$A:$A,'RAWDATA Cars Buyers DB'!K:K)&gt;=31,"Middle Age ",IF(_xlfn.XLOOKUP($A872,'RAWDATA Cars Buyers DB'!$A:$A,'RAWDATA Cars Buyers DB'!K:K)&lt;31,"Adolescent","Invalid")))</f>
        <v xml:space="preserve">Middle Age </v>
      </c>
      <c r="M872" s="8" t="str">
        <f>_xlfn.XLOOKUP($A872,'RAWDATA Cars Buyers DB'!$A:$A,'RAWDATA Cars Buyers DB'!L:L)</f>
        <v>No</v>
      </c>
    </row>
    <row r="873" spans="1:13">
      <c r="A873" s="6">
        <v>98869</v>
      </c>
      <c r="B873" s="10" t="str">
        <f>IF(_xlfn.XLOOKUP($A873,'RAWDATA Cars Buyers DB'!$A:$A,'RAWDATA Cars Buyers DB'!B:B)="S","Single","Married")</f>
        <v>Married</v>
      </c>
      <c r="C873" s="10" t="str">
        <f>IF(_xlfn.XLOOKUP($A873,'RAWDATA Cars Buyers DB'!$A:$A,'RAWDATA Cars Buyers DB'!C:C)="F","Female","Male")</f>
        <v>Male</v>
      </c>
      <c r="D873" s="7">
        <f>_xlfn.XLOOKUP($A873,'RAWDATA Cars Buyers DB'!$A:$A,'RAWDATA Cars Buyers DB'!D:D)</f>
        <v>35417</v>
      </c>
      <c r="E873" s="8">
        <f>_xlfn.XLOOKUP($A873,'RAWDATA Cars Buyers DB'!$A:$A,'RAWDATA Cars Buyers DB'!E:E)</f>
        <v>2</v>
      </c>
      <c r="F873" s="8" t="str">
        <f>_xlfn.XLOOKUP($A873,'RAWDATA Cars Buyers DB'!$A:$A,'RAWDATA Cars Buyers DB'!F:F)</f>
        <v>Graduate Degree</v>
      </c>
      <c r="G873" s="8" t="str">
        <f>_xlfn.XLOOKUP($A873,'RAWDATA Cars Buyers DB'!$A:$A,'RAWDATA Cars Buyers DB'!G:G)</f>
        <v>Management</v>
      </c>
      <c r="H873" s="8" t="str">
        <f>_xlfn.XLOOKUP($A873,'RAWDATA Cars Buyers DB'!$A:$A,'RAWDATA Cars Buyers DB'!H:H)</f>
        <v>No</v>
      </c>
      <c r="I873" s="8" t="str">
        <f>_xlfn.XLOOKUP($A873,'RAWDATA Cars Buyers DB'!$A:$A,'RAWDATA Cars Buyers DB'!I:I)</f>
        <v>2–4 Kilometre</v>
      </c>
      <c r="J873" s="8" t="str">
        <f>_xlfn.XLOOKUP($A873,'RAWDATA Cars Buyers DB'!$A:$A,'RAWDATA Cars Buyers DB'!J:J)</f>
        <v>Baden-Württemberg</v>
      </c>
      <c r="K873" s="8">
        <f>_xlfn.XLOOKUP($A873,'RAWDATA Cars Buyers DB'!$A:$A,'RAWDATA Cars Buyers DB'!K:K)</f>
        <v>25</v>
      </c>
      <c r="L873" s="10" t="str">
        <f>IF(_xlfn.XLOOKUP($A873,'RAWDATA Cars Buyers DB'!$A:$A,'RAWDATA Cars Buyers DB'!K:K)&gt;54,"Old ",IF(_xlfn.XLOOKUP($A873,'RAWDATA Cars Buyers DB'!$A:$A,'RAWDATA Cars Buyers DB'!K:K)&gt;=31,"Middle Age ",IF(_xlfn.XLOOKUP($A873,'RAWDATA Cars Buyers DB'!$A:$A,'RAWDATA Cars Buyers DB'!K:K)&lt;31,"Adolescent","Invalid")))</f>
        <v>Adolescent</v>
      </c>
      <c r="M873" s="8" t="str">
        <f>_xlfn.XLOOKUP($A873,'RAWDATA Cars Buyers DB'!$A:$A,'RAWDATA Cars Buyers DB'!L:L)</f>
        <v>Yes</v>
      </c>
    </row>
    <row r="874" spans="1:13">
      <c r="A874" s="6">
        <v>44674</v>
      </c>
      <c r="B874" s="10" t="str">
        <f>IF(_xlfn.XLOOKUP($A874,'RAWDATA Cars Buyers DB'!$A:$A,'RAWDATA Cars Buyers DB'!B:B)="S","Single","Married")</f>
        <v>Single</v>
      </c>
      <c r="C874" s="10" t="str">
        <f>IF(_xlfn.XLOOKUP($A874,'RAWDATA Cars Buyers DB'!$A:$A,'RAWDATA Cars Buyers DB'!C:C)="F","Female","Male")</f>
        <v>Male</v>
      </c>
      <c r="D874" s="7">
        <f>_xlfn.XLOOKUP($A874,'RAWDATA Cars Buyers DB'!$A:$A,'RAWDATA Cars Buyers DB'!D:D)</f>
        <v>44729</v>
      </c>
      <c r="E874" s="8">
        <f>_xlfn.XLOOKUP($A874,'RAWDATA Cars Buyers DB'!$A:$A,'RAWDATA Cars Buyers DB'!E:E)</f>
        <v>4</v>
      </c>
      <c r="F874" s="8" t="str">
        <f>_xlfn.XLOOKUP($A874,'RAWDATA Cars Buyers DB'!$A:$A,'RAWDATA Cars Buyers DB'!F:F)</f>
        <v>High School</v>
      </c>
      <c r="G874" s="8" t="str">
        <f>_xlfn.XLOOKUP($A874,'RAWDATA Cars Buyers DB'!$A:$A,'RAWDATA Cars Buyers DB'!G:G)</f>
        <v>Skilled Manual</v>
      </c>
      <c r="H874" s="8" t="str">
        <f>_xlfn.XLOOKUP($A874,'RAWDATA Cars Buyers DB'!$A:$A,'RAWDATA Cars Buyers DB'!H:H)</f>
        <v>No</v>
      </c>
      <c r="I874" s="8" t="str">
        <f>_xlfn.XLOOKUP($A874,'RAWDATA Cars Buyers DB'!$A:$A,'RAWDATA Cars Buyers DB'!I:I)</f>
        <v>6+ Kilometre</v>
      </c>
      <c r="J874" s="8" t="str">
        <f>_xlfn.XLOOKUP($A874,'RAWDATA Cars Buyers DB'!$A:$A,'RAWDATA Cars Buyers DB'!J:J)</f>
        <v>North Rhine-Westphalia</v>
      </c>
      <c r="K874" s="8">
        <f>_xlfn.XLOOKUP($A874,'RAWDATA Cars Buyers DB'!$A:$A,'RAWDATA Cars Buyers DB'!K:K)</f>
        <v>40</v>
      </c>
      <c r="L874" s="10" t="str">
        <f>IF(_xlfn.XLOOKUP($A874,'RAWDATA Cars Buyers DB'!$A:$A,'RAWDATA Cars Buyers DB'!K:K)&gt;54,"Old ",IF(_xlfn.XLOOKUP($A874,'RAWDATA Cars Buyers DB'!$A:$A,'RAWDATA Cars Buyers DB'!K:K)&gt;=31,"Middle Age ",IF(_xlfn.XLOOKUP($A874,'RAWDATA Cars Buyers DB'!$A:$A,'RAWDATA Cars Buyers DB'!K:K)&lt;31,"Adolescent","Invalid")))</f>
        <v xml:space="preserve">Middle Age </v>
      </c>
      <c r="M874" s="8" t="str">
        <f>_xlfn.XLOOKUP($A874,'RAWDATA Cars Buyers DB'!$A:$A,'RAWDATA Cars Buyers DB'!L:L)</f>
        <v>No</v>
      </c>
    </row>
    <row r="875" spans="1:13">
      <c r="A875" s="6">
        <v>45854</v>
      </c>
      <c r="B875" s="10" t="str">
        <f>IF(_xlfn.XLOOKUP($A875,'RAWDATA Cars Buyers DB'!$A:$A,'RAWDATA Cars Buyers DB'!B:B)="S","Single","Married")</f>
        <v>Married</v>
      </c>
      <c r="C875" s="10" t="str">
        <f>IF(_xlfn.XLOOKUP($A875,'RAWDATA Cars Buyers DB'!$A:$A,'RAWDATA Cars Buyers DB'!C:C)="F","Female","Male")</f>
        <v>Female</v>
      </c>
      <c r="D875" s="7">
        <f>_xlfn.XLOOKUP($A875,'RAWDATA Cars Buyers DB'!$A:$A,'RAWDATA Cars Buyers DB'!D:D)</f>
        <v>50099</v>
      </c>
      <c r="E875" s="8">
        <f>_xlfn.XLOOKUP($A875,'RAWDATA Cars Buyers DB'!$A:$A,'RAWDATA Cars Buyers DB'!E:E)</f>
        <v>5</v>
      </c>
      <c r="F875" s="8" t="str">
        <f>_xlfn.XLOOKUP($A875,'RAWDATA Cars Buyers DB'!$A:$A,'RAWDATA Cars Buyers DB'!F:F)</f>
        <v>Graduate Degree</v>
      </c>
      <c r="G875" s="8" t="str">
        <f>_xlfn.XLOOKUP($A875,'RAWDATA Cars Buyers DB'!$A:$A,'RAWDATA Cars Buyers DB'!G:G)</f>
        <v>Professional</v>
      </c>
      <c r="H875" s="8" t="str">
        <f>_xlfn.XLOOKUP($A875,'RAWDATA Cars Buyers DB'!$A:$A,'RAWDATA Cars Buyers DB'!H:H)</f>
        <v>No</v>
      </c>
      <c r="I875" s="8" t="str">
        <f>_xlfn.XLOOKUP($A875,'RAWDATA Cars Buyers DB'!$A:$A,'RAWDATA Cars Buyers DB'!I:I)</f>
        <v>6+ Kilometre</v>
      </c>
      <c r="J875" s="8" t="str">
        <f>_xlfn.XLOOKUP($A875,'RAWDATA Cars Buyers DB'!$A:$A,'RAWDATA Cars Buyers DB'!J:J)</f>
        <v>Mecklenburg-Vorpommern</v>
      </c>
      <c r="K875" s="8">
        <f>_xlfn.XLOOKUP($A875,'RAWDATA Cars Buyers DB'!$A:$A,'RAWDATA Cars Buyers DB'!K:K)</f>
        <v>45</v>
      </c>
      <c r="L875" s="10" t="str">
        <f>IF(_xlfn.XLOOKUP($A875,'RAWDATA Cars Buyers DB'!$A:$A,'RAWDATA Cars Buyers DB'!K:K)&gt;54,"Old ",IF(_xlfn.XLOOKUP($A875,'RAWDATA Cars Buyers DB'!$A:$A,'RAWDATA Cars Buyers DB'!K:K)&gt;=31,"Middle Age ",IF(_xlfn.XLOOKUP($A875,'RAWDATA Cars Buyers DB'!$A:$A,'RAWDATA Cars Buyers DB'!K:K)&lt;31,"Adolescent","Invalid")))</f>
        <v xml:space="preserve">Middle Age </v>
      </c>
      <c r="M875" s="8" t="str">
        <f>_xlfn.XLOOKUP($A875,'RAWDATA Cars Buyers DB'!$A:$A,'RAWDATA Cars Buyers DB'!L:L)</f>
        <v>No</v>
      </c>
    </row>
    <row r="876" spans="1:13">
      <c r="A876" s="6">
        <v>56271</v>
      </c>
      <c r="B876" s="10" t="str">
        <f>IF(_xlfn.XLOOKUP($A876,'RAWDATA Cars Buyers DB'!$A:$A,'RAWDATA Cars Buyers DB'!B:B)="S","Single","Married")</f>
        <v>Single</v>
      </c>
      <c r="C876" s="10" t="str">
        <f>IF(_xlfn.XLOOKUP($A876,'RAWDATA Cars Buyers DB'!$A:$A,'RAWDATA Cars Buyers DB'!C:C)="F","Female","Male")</f>
        <v>Male</v>
      </c>
      <c r="D876" s="7">
        <f>_xlfn.XLOOKUP($A876,'RAWDATA Cars Buyers DB'!$A:$A,'RAWDATA Cars Buyers DB'!D:D)</f>
        <v>118134</v>
      </c>
      <c r="E876" s="8">
        <f>_xlfn.XLOOKUP($A876,'RAWDATA Cars Buyers DB'!$A:$A,'RAWDATA Cars Buyers DB'!E:E)</f>
        <v>0</v>
      </c>
      <c r="F876" s="8" t="str">
        <f>_xlfn.XLOOKUP($A876,'RAWDATA Cars Buyers DB'!$A:$A,'RAWDATA Cars Buyers DB'!F:F)</f>
        <v>High School</v>
      </c>
      <c r="G876" s="8" t="str">
        <f>_xlfn.XLOOKUP($A876,'RAWDATA Cars Buyers DB'!$A:$A,'RAWDATA Cars Buyers DB'!G:G)</f>
        <v>Skilled Manual</v>
      </c>
      <c r="H876" s="8" t="str">
        <f>_xlfn.XLOOKUP($A876,'RAWDATA Cars Buyers DB'!$A:$A,'RAWDATA Cars Buyers DB'!H:H)</f>
        <v>Yes</v>
      </c>
      <c r="I876" s="8" t="str">
        <f>_xlfn.XLOOKUP($A876,'RAWDATA Cars Buyers DB'!$A:$A,'RAWDATA Cars Buyers DB'!I:I)</f>
        <v>4–6 Kilometre</v>
      </c>
      <c r="J876" s="8" t="str">
        <f>_xlfn.XLOOKUP($A876,'RAWDATA Cars Buyers DB'!$A:$A,'RAWDATA Cars Buyers DB'!J:J)</f>
        <v>Brandenburg</v>
      </c>
      <c r="K876" s="8">
        <f>_xlfn.XLOOKUP($A876,'RAWDATA Cars Buyers DB'!$A:$A,'RAWDATA Cars Buyers DB'!K:K)</f>
        <v>38</v>
      </c>
      <c r="L876" s="10" t="str">
        <f>IF(_xlfn.XLOOKUP($A876,'RAWDATA Cars Buyers DB'!$A:$A,'RAWDATA Cars Buyers DB'!K:K)&gt;54,"Old ",IF(_xlfn.XLOOKUP($A876,'RAWDATA Cars Buyers DB'!$A:$A,'RAWDATA Cars Buyers DB'!K:K)&gt;=31,"Middle Age ",IF(_xlfn.XLOOKUP($A876,'RAWDATA Cars Buyers DB'!$A:$A,'RAWDATA Cars Buyers DB'!K:K)&lt;31,"Adolescent","Invalid")))</f>
        <v xml:space="preserve">Middle Age </v>
      </c>
      <c r="M876" s="8" t="str">
        <f>_xlfn.XLOOKUP($A876,'RAWDATA Cars Buyers DB'!$A:$A,'RAWDATA Cars Buyers DB'!L:L)</f>
        <v>No</v>
      </c>
    </row>
    <row r="877" spans="1:13">
      <c r="A877" s="6">
        <v>83688</v>
      </c>
      <c r="B877" s="10" t="str">
        <f>IF(_xlfn.XLOOKUP($A877,'RAWDATA Cars Buyers DB'!$A:$A,'RAWDATA Cars Buyers DB'!B:B)="S","Single","Married")</f>
        <v>Single</v>
      </c>
      <c r="C877" s="10" t="str">
        <f>IF(_xlfn.XLOOKUP($A877,'RAWDATA Cars Buyers DB'!$A:$A,'RAWDATA Cars Buyers DB'!C:C)="F","Female","Male")</f>
        <v>Male</v>
      </c>
      <c r="D877" s="7">
        <f>_xlfn.XLOOKUP($A877,'RAWDATA Cars Buyers DB'!$A:$A,'RAWDATA Cars Buyers DB'!D:D)</f>
        <v>49961</v>
      </c>
      <c r="E877" s="8">
        <f>_xlfn.XLOOKUP($A877,'RAWDATA Cars Buyers DB'!$A:$A,'RAWDATA Cars Buyers DB'!E:E)</f>
        <v>3</v>
      </c>
      <c r="F877" s="8" t="str">
        <f>_xlfn.XLOOKUP($A877,'RAWDATA Cars Buyers DB'!$A:$A,'RAWDATA Cars Buyers DB'!F:F)</f>
        <v>Partial College</v>
      </c>
      <c r="G877" s="8" t="str">
        <f>_xlfn.XLOOKUP($A877,'RAWDATA Cars Buyers DB'!$A:$A,'RAWDATA Cars Buyers DB'!G:G)</f>
        <v>Professional</v>
      </c>
      <c r="H877" s="8" t="str">
        <f>_xlfn.XLOOKUP($A877,'RAWDATA Cars Buyers DB'!$A:$A,'RAWDATA Cars Buyers DB'!H:H)</f>
        <v>No</v>
      </c>
      <c r="I877" s="8" t="str">
        <f>_xlfn.XLOOKUP($A877,'RAWDATA Cars Buyers DB'!$A:$A,'RAWDATA Cars Buyers DB'!I:I)</f>
        <v>2–4 Kilometre</v>
      </c>
      <c r="J877" s="8" t="str">
        <f>_xlfn.XLOOKUP($A877,'RAWDATA Cars Buyers DB'!$A:$A,'RAWDATA Cars Buyers DB'!J:J)</f>
        <v>Schleswig-Holstein</v>
      </c>
      <c r="K877" s="8">
        <f>_xlfn.XLOOKUP($A877,'RAWDATA Cars Buyers DB'!$A:$A,'RAWDATA Cars Buyers DB'!K:K)</f>
        <v>47</v>
      </c>
      <c r="L877" s="10" t="str">
        <f>IF(_xlfn.XLOOKUP($A877,'RAWDATA Cars Buyers DB'!$A:$A,'RAWDATA Cars Buyers DB'!K:K)&gt;54,"Old ",IF(_xlfn.XLOOKUP($A877,'RAWDATA Cars Buyers DB'!$A:$A,'RAWDATA Cars Buyers DB'!K:K)&gt;=31,"Middle Age ",IF(_xlfn.XLOOKUP($A877,'RAWDATA Cars Buyers DB'!$A:$A,'RAWDATA Cars Buyers DB'!K:K)&lt;31,"Adolescent","Invalid")))</f>
        <v xml:space="preserve">Middle Age </v>
      </c>
      <c r="M877" s="8" t="str">
        <f>_xlfn.XLOOKUP($A877,'RAWDATA Cars Buyers DB'!$A:$A,'RAWDATA Cars Buyers DB'!L:L)</f>
        <v>No</v>
      </c>
    </row>
    <row r="878" spans="1:13">
      <c r="A878" s="6">
        <v>48518</v>
      </c>
      <c r="B878" s="10" t="str">
        <f>IF(_xlfn.XLOOKUP($A878,'RAWDATA Cars Buyers DB'!$A:$A,'RAWDATA Cars Buyers DB'!B:B)="S","Single","Married")</f>
        <v>Single</v>
      </c>
      <c r="C878" s="10" t="str">
        <f>IF(_xlfn.XLOOKUP($A878,'RAWDATA Cars Buyers DB'!$A:$A,'RAWDATA Cars Buyers DB'!C:C)="F","Female","Male")</f>
        <v>Female</v>
      </c>
      <c r="D878" s="7">
        <f>_xlfn.XLOOKUP($A878,'RAWDATA Cars Buyers DB'!$A:$A,'RAWDATA Cars Buyers DB'!D:D)</f>
        <v>32602</v>
      </c>
      <c r="E878" s="8">
        <f>_xlfn.XLOOKUP($A878,'RAWDATA Cars Buyers DB'!$A:$A,'RAWDATA Cars Buyers DB'!E:E)</f>
        <v>2</v>
      </c>
      <c r="F878" s="8" t="str">
        <f>_xlfn.XLOOKUP($A878,'RAWDATA Cars Buyers DB'!$A:$A,'RAWDATA Cars Buyers DB'!F:F)</f>
        <v>Graduate Degree</v>
      </c>
      <c r="G878" s="8" t="str">
        <f>_xlfn.XLOOKUP($A878,'RAWDATA Cars Buyers DB'!$A:$A,'RAWDATA Cars Buyers DB'!G:G)</f>
        <v>Skilled Manual</v>
      </c>
      <c r="H878" s="8" t="str">
        <f>_xlfn.XLOOKUP($A878,'RAWDATA Cars Buyers DB'!$A:$A,'RAWDATA Cars Buyers DB'!H:H)</f>
        <v>No</v>
      </c>
      <c r="I878" s="8" t="str">
        <f>_xlfn.XLOOKUP($A878,'RAWDATA Cars Buyers DB'!$A:$A,'RAWDATA Cars Buyers DB'!I:I)</f>
        <v>0–1 Kilometre</v>
      </c>
      <c r="J878" s="8" t="str">
        <f>_xlfn.XLOOKUP($A878,'RAWDATA Cars Buyers DB'!$A:$A,'RAWDATA Cars Buyers DB'!J:J)</f>
        <v>Hesse</v>
      </c>
      <c r="K878" s="8">
        <f>_xlfn.XLOOKUP($A878,'RAWDATA Cars Buyers DB'!$A:$A,'RAWDATA Cars Buyers DB'!K:K)</f>
        <v>27</v>
      </c>
      <c r="L878" s="10" t="str">
        <f>IF(_xlfn.XLOOKUP($A878,'RAWDATA Cars Buyers DB'!$A:$A,'RAWDATA Cars Buyers DB'!K:K)&gt;54,"Old ",IF(_xlfn.XLOOKUP($A878,'RAWDATA Cars Buyers DB'!$A:$A,'RAWDATA Cars Buyers DB'!K:K)&gt;=31,"Middle Age ",IF(_xlfn.XLOOKUP($A878,'RAWDATA Cars Buyers DB'!$A:$A,'RAWDATA Cars Buyers DB'!K:K)&lt;31,"Adolescent","Invalid")))</f>
        <v>Adolescent</v>
      </c>
      <c r="M878" s="8" t="str">
        <f>_xlfn.XLOOKUP($A878,'RAWDATA Cars Buyers DB'!$A:$A,'RAWDATA Cars Buyers DB'!L:L)</f>
        <v>No</v>
      </c>
    </row>
    <row r="879" spans="1:13">
      <c r="A879" s="6">
        <v>20267</v>
      </c>
      <c r="B879" s="10" t="str">
        <f>IF(_xlfn.XLOOKUP($A879,'RAWDATA Cars Buyers DB'!$A:$A,'RAWDATA Cars Buyers DB'!B:B)="S","Single","Married")</f>
        <v>Married</v>
      </c>
      <c r="C879" s="10" t="str">
        <f>IF(_xlfn.XLOOKUP($A879,'RAWDATA Cars Buyers DB'!$A:$A,'RAWDATA Cars Buyers DB'!C:C)="F","Female","Male")</f>
        <v>Female</v>
      </c>
      <c r="D879" s="7">
        <f>_xlfn.XLOOKUP($A879,'RAWDATA Cars Buyers DB'!$A:$A,'RAWDATA Cars Buyers DB'!D:D)</f>
        <v>29256</v>
      </c>
      <c r="E879" s="8">
        <f>_xlfn.XLOOKUP($A879,'RAWDATA Cars Buyers DB'!$A:$A,'RAWDATA Cars Buyers DB'!E:E)</f>
        <v>5</v>
      </c>
      <c r="F879" s="8" t="str">
        <f>_xlfn.XLOOKUP($A879,'RAWDATA Cars Buyers DB'!$A:$A,'RAWDATA Cars Buyers DB'!F:F)</f>
        <v>Partial College</v>
      </c>
      <c r="G879" s="8" t="str">
        <f>_xlfn.XLOOKUP($A879,'RAWDATA Cars Buyers DB'!$A:$A,'RAWDATA Cars Buyers DB'!G:G)</f>
        <v>Professional</v>
      </c>
      <c r="H879" s="8" t="str">
        <f>_xlfn.XLOOKUP($A879,'RAWDATA Cars Buyers DB'!$A:$A,'RAWDATA Cars Buyers DB'!H:H)</f>
        <v>Yes</v>
      </c>
      <c r="I879" s="8" t="str">
        <f>_xlfn.XLOOKUP($A879,'RAWDATA Cars Buyers DB'!$A:$A,'RAWDATA Cars Buyers DB'!I:I)</f>
        <v>2–4 Kilometre</v>
      </c>
      <c r="J879" s="8" t="str">
        <f>_xlfn.XLOOKUP($A879,'RAWDATA Cars Buyers DB'!$A:$A,'RAWDATA Cars Buyers DB'!J:J)</f>
        <v>Brandenburg</v>
      </c>
      <c r="K879" s="8">
        <f>_xlfn.XLOOKUP($A879,'RAWDATA Cars Buyers DB'!$A:$A,'RAWDATA Cars Buyers DB'!K:K)</f>
        <v>33</v>
      </c>
      <c r="L879" s="10" t="str">
        <f>IF(_xlfn.XLOOKUP($A879,'RAWDATA Cars Buyers DB'!$A:$A,'RAWDATA Cars Buyers DB'!K:K)&gt;54,"Old ",IF(_xlfn.XLOOKUP($A879,'RAWDATA Cars Buyers DB'!$A:$A,'RAWDATA Cars Buyers DB'!K:K)&gt;=31,"Middle Age ",IF(_xlfn.XLOOKUP($A879,'RAWDATA Cars Buyers DB'!$A:$A,'RAWDATA Cars Buyers DB'!K:K)&lt;31,"Adolescent","Invalid")))</f>
        <v xml:space="preserve">Middle Age </v>
      </c>
      <c r="M879" s="8" t="str">
        <f>_xlfn.XLOOKUP($A879,'RAWDATA Cars Buyers DB'!$A:$A,'RAWDATA Cars Buyers DB'!L:L)</f>
        <v>No</v>
      </c>
    </row>
    <row r="880" spans="1:13">
      <c r="A880" s="6">
        <v>60448</v>
      </c>
      <c r="B880" s="10" t="str">
        <f>IF(_xlfn.XLOOKUP($A880,'RAWDATA Cars Buyers DB'!$A:$A,'RAWDATA Cars Buyers DB'!B:B)="S","Single","Married")</f>
        <v>Married</v>
      </c>
      <c r="C880" s="10" t="str">
        <f>IF(_xlfn.XLOOKUP($A880,'RAWDATA Cars Buyers DB'!$A:$A,'RAWDATA Cars Buyers DB'!C:C)="F","Female","Male")</f>
        <v>Male</v>
      </c>
      <c r="D880" s="7">
        <f>_xlfn.XLOOKUP($A880,'RAWDATA Cars Buyers DB'!$A:$A,'RAWDATA Cars Buyers DB'!D:D)</f>
        <v>54681</v>
      </c>
      <c r="E880" s="8">
        <f>_xlfn.XLOOKUP($A880,'RAWDATA Cars Buyers DB'!$A:$A,'RAWDATA Cars Buyers DB'!E:E)</f>
        <v>5</v>
      </c>
      <c r="F880" s="8" t="str">
        <f>_xlfn.XLOOKUP($A880,'RAWDATA Cars Buyers DB'!$A:$A,'RAWDATA Cars Buyers DB'!F:F)</f>
        <v>High School</v>
      </c>
      <c r="G880" s="8" t="str">
        <f>_xlfn.XLOOKUP($A880,'RAWDATA Cars Buyers DB'!$A:$A,'RAWDATA Cars Buyers DB'!G:G)</f>
        <v>Professional</v>
      </c>
      <c r="H880" s="8" t="str">
        <f>_xlfn.XLOOKUP($A880,'RAWDATA Cars Buyers DB'!$A:$A,'RAWDATA Cars Buyers DB'!H:H)</f>
        <v>Yes</v>
      </c>
      <c r="I880" s="8" t="str">
        <f>_xlfn.XLOOKUP($A880,'RAWDATA Cars Buyers DB'!$A:$A,'RAWDATA Cars Buyers DB'!I:I)</f>
        <v>2–4 Kilometre</v>
      </c>
      <c r="J880" s="8" t="str">
        <f>_xlfn.XLOOKUP($A880,'RAWDATA Cars Buyers DB'!$A:$A,'RAWDATA Cars Buyers DB'!J:J)</f>
        <v>Brandenburg</v>
      </c>
      <c r="K880" s="8">
        <f>_xlfn.XLOOKUP($A880,'RAWDATA Cars Buyers DB'!$A:$A,'RAWDATA Cars Buyers DB'!K:K)</f>
        <v>67</v>
      </c>
      <c r="L880" s="10" t="str">
        <f>IF(_xlfn.XLOOKUP($A880,'RAWDATA Cars Buyers DB'!$A:$A,'RAWDATA Cars Buyers DB'!K:K)&gt;54,"Old ",IF(_xlfn.XLOOKUP($A880,'RAWDATA Cars Buyers DB'!$A:$A,'RAWDATA Cars Buyers DB'!K:K)&gt;=31,"Middle Age ",IF(_xlfn.XLOOKUP($A880,'RAWDATA Cars Buyers DB'!$A:$A,'RAWDATA Cars Buyers DB'!K:K)&lt;31,"Adolescent","Invalid")))</f>
        <v xml:space="preserve">Old </v>
      </c>
      <c r="M880" s="8" t="str">
        <f>_xlfn.XLOOKUP($A880,'RAWDATA Cars Buyers DB'!$A:$A,'RAWDATA Cars Buyers DB'!L:L)</f>
        <v>Yes</v>
      </c>
    </row>
    <row r="881" spans="1:13">
      <c r="A881" s="6">
        <v>16229</v>
      </c>
      <c r="B881" s="10" t="str">
        <f>IF(_xlfn.XLOOKUP($A881,'RAWDATA Cars Buyers DB'!$A:$A,'RAWDATA Cars Buyers DB'!B:B)="S","Single","Married")</f>
        <v>Single</v>
      </c>
      <c r="C881" s="10" t="str">
        <f>IF(_xlfn.XLOOKUP($A881,'RAWDATA Cars Buyers DB'!$A:$A,'RAWDATA Cars Buyers DB'!C:C)="F","Female","Male")</f>
        <v>Female</v>
      </c>
      <c r="D881" s="7">
        <f>_xlfn.XLOOKUP($A881,'RAWDATA Cars Buyers DB'!$A:$A,'RAWDATA Cars Buyers DB'!D:D)</f>
        <v>111328</v>
      </c>
      <c r="E881" s="8">
        <f>_xlfn.XLOOKUP($A881,'RAWDATA Cars Buyers DB'!$A:$A,'RAWDATA Cars Buyers DB'!E:E)</f>
        <v>3</v>
      </c>
      <c r="F881" s="8" t="str">
        <f>_xlfn.XLOOKUP($A881,'RAWDATA Cars Buyers DB'!$A:$A,'RAWDATA Cars Buyers DB'!F:F)</f>
        <v>High School</v>
      </c>
      <c r="G881" s="8" t="str">
        <f>_xlfn.XLOOKUP($A881,'RAWDATA Cars Buyers DB'!$A:$A,'RAWDATA Cars Buyers DB'!G:G)</f>
        <v>Skilled Manual</v>
      </c>
      <c r="H881" s="8" t="str">
        <f>_xlfn.XLOOKUP($A881,'RAWDATA Cars Buyers DB'!$A:$A,'RAWDATA Cars Buyers DB'!H:H)</f>
        <v>No</v>
      </c>
      <c r="I881" s="8" t="str">
        <f>_xlfn.XLOOKUP($A881,'RAWDATA Cars Buyers DB'!$A:$A,'RAWDATA Cars Buyers DB'!I:I)</f>
        <v>6+ Kilometre</v>
      </c>
      <c r="J881" s="8" t="str">
        <f>_xlfn.XLOOKUP($A881,'RAWDATA Cars Buyers DB'!$A:$A,'RAWDATA Cars Buyers DB'!J:J)</f>
        <v>North Rhine-Westphalia</v>
      </c>
      <c r="K881" s="8">
        <f>_xlfn.XLOOKUP($A881,'RAWDATA Cars Buyers DB'!$A:$A,'RAWDATA Cars Buyers DB'!K:K)</f>
        <v>63</v>
      </c>
      <c r="L881" s="10" t="str">
        <f>IF(_xlfn.XLOOKUP($A881,'RAWDATA Cars Buyers DB'!$A:$A,'RAWDATA Cars Buyers DB'!K:K)&gt;54,"Old ",IF(_xlfn.XLOOKUP($A881,'RAWDATA Cars Buyers DB'!$A:$A,'RAWDATA Cars Buyers DB'!K:K)&gt;=31,"Middle Age ",IF(_xlfn.XLOOKUP($A881,'RAWDATA Cars Buyers DB'!$A:$A,'RAWDATA Cars Buyers DB'!K:K)&lt;31,"Adolescent","Invalid")))</f>
        <v xml:space="preserve">Old </v>
      </c>
      <c r="M881" s="8" t="str">
        <f>_xlfn.XLOOKUP($A881,'RAWDATA Cars Buyers DB'!$A:$A,'RAWDATA Cars Buyers DB'!L:L)</f>
        <v>Yes</v>
      </c>
    </row>
    <row r="882" spans="1:13">
      <c r="A882" s="6">
        <v>66793</v>
      </c>
      <c r="B882" s="10" t="str">
        <f>IF(_xlfn.XLOOKUP($A882,'RAWDATA Cars Buyers DB'!$A:$A,'RAWDATA Cars Buyers DB'!B:B)="S","Single","Married")</f>
        <v>Married</v>
      </c>
      <c r="C882" s="10" t="str">
        <f>IF(_xlfn.XLOOKUP($A882,'RAWDATA Cars Buyers DB'!$A:$A,'RAWDATA Cars Buyers DB'!C:C)="F","Female","Male")</f>
        <v>Male</v>
      </c>
      <c r="D882" s="7">
        <f>_xlfn.XLOOKUP($A882,'RAWDATA Cars Buyers DB'!$A:$A,'RAWDATA Cars Buyers DB'!D:D)</f>
        <v>107440</v>
      </c>
      <c r="E882" s="8">
        <f>_xlfn.XLOOKUP($A882,'RAWDATA Cars Buyers DB'!$A:$A,'RAWDATA Cars Buyers DB'!E:E)</f>
        <v>1</v>
      </c>
      <c r="F882" s="8" t="str">
        <f>_xlfn.XLOOKUP($A882,'RAWDATA Cars Buyers DB'!$A:$A,'RAWDATA Cars Buyers DB'!F:F)</f>
        <v>Graduate Degree</v>
      </c>
      <c r="G882" s="8" t="str">
        <f>_xlfn.XLOOKUP($A882,'RAWDATA Cars Buyers DB'!$A:$A,'RAWDATA Cars Buyers DB'!G:G)</f>
        <v>Management</v>
      </c>
      <c r="H882" s="8" t="str">
        <f>_xlfn.XLOOKUP($A882,'RAWDATA Cars Buyers DB'!$A:$A,'RAWDATA Cars Buyers DB'!H:H)</f>
        <v>Yes</v>
      </c>
      <c r="I882" s="8" t="str">
        <f>_xlfn.XLOOKUP($A882,'RAWDATA Cars Buyers DB'!$A:$A,'RAWDATA Cars Buyers DB'!I:I)</f>
        <v>6+ Kilometre</v>
      </c>
      <c r="J882" s="8" t="str">
        <f>_xlfn.XLOOKUP($A882,'RAWDATA Cars Buyers DB'!$A:$A,'RAWDATA Cars Buyers DB'!J:J)</f>
        <v>Mecklenburg-Vorpommern</v>
      </c>
      <c r="K882" s="8">
        <f>_xlfn.XLOOKUP($A882,'RAWDATA Cars Buyers DB'!$A:$A,'RAWDATA Cars Buyers DB'!K:K)</f>
        <v>56</v>
      </c>
      <c r="L882" s="10" t="str">
        <f>IF(_xlfn.XLOOKUP($A882,'RAWDATA Cars Buyers DB'!$A:$A,'RAWDATA Cars Buyers DB'!K:K)&gt;54,"Old ",IF(_xlfn.XLOOKUP($A882,'RAWDATA Cars Buyers DB'!$A:$A,'RAWDATA Cars Buyers DB'!K:K)&gt;=31,"Middle Age ",IF(_xlfn.XLOOKUP($A882,'RAWDATA Cars Buyers DB'!$A:$A,'RAWDATA Cars Buyers DB'!K:K)&lt;31,"Adolescent","Invalid")))</f>
        <v xml:space="preserve">Old </v>
      </c>
      <c r="M882" s="8" t="str">
        <f>_xlfn.XLOOKUP($A882,'RAWDATA Cars Buyers DB'!$A:$A,'RAWDATA Cars Buyers DB'!L:L)</f>
        <v>No</v>
      </c>
    </row>
    <row r="883" spans="1:13">
      <c r="A883" s="6">
        <v>57915</v>
      </c>
      <c r="B883" s="10" t="str">
        <f>IF(_xlfn.XLOOKUP($A883,'RAWDATA Cars Buyers DB'!$A:$A,'RAWDATA Cars Buyers DB'!B:B)="S","Single","Married")</f>
        <v>Married</v>
      </c>
      <c r="C883" s="10" t="str">
        <f>IF(_xlfn.XLOOKUP($A883,'RAWDATA Cars Buyers DB'!$A:$A,'RAWDATA Cars Buyers DB'!C:C)="F","Female","Male")</f>
        <v>Male</v>
      </c>
      <c r="D883" s="7">
        <f>_xlfn.XLOOKUP($A883,'RAWDATA Cars Buyers DB'!$A:$A,'RAWDATA Cars Buyers DB'!D:D)</f>
        <v>84789</v>
      </c>
      <c r="E883" s="8">
        <f>_xlfn.XLOOKUP($A883,'RAWDATA Cars Buyers DB'!$A:$A,'RAWDATA Cars Buyers DB'!E:E)</f>
        <v>3</v>
      </c>
      <c r="F883" s="8" t="str">
        <f>_xlfn.XLOOKUP($A883,'RAWDATA Cars Buyers DB'!$A:$A,'RAWDATA Cars Buyers DB'!F:F)</f>
        <v>High School</v>
      </c>
      <c r="G883" s="8" t="str">
        <f>_xlfn.XLOOKUP($A883,'RAWDATA Cars Buyers DB'!$A:$A,'RAWDATA Cars Buyers DB'!G:G)</f>
        <v>Management</v>
      </c>
      <c r="H883" s="8" t="str">
        <f>_xlfn.XLOOKUP($A883,'RAWDATA Cars Buyers DB'!$A:$A,'RAWDATA Cars Buyers DB'!H:H)</f>
        <v>Yes</v>
      </c>
      <c r="I883" s="8" t="str">
        <f>_xlfn.XLOOKUP($A883,'RAWDATA Cars Buyers DB'!$A:$A,'RAWDATA Cars Buyers DB'!I:I)</f>
        <v>1–2 Kilometre</v>
      </c>
      <c r="J883" s="8" t="str">
        <f>_xlfn.XLOOKUP($A883,'RAWDATA Cars Buyers DB'!$A:$A,'RAWDATA Cars Buyers DB'!J:J)</f>
        <v>Bavaria</v>
      </c>
      <c r="K883" s="8">
        <f>_xlfn.XLOOKUP($A883,'RAWDATA Cars Buyers DB'!$A:$A,'RAWDATA Cars Buyers DB'!K:K)</f>
        <v>45</v>
      </c>
      <c r="L883" s="10" t="str">
        <f>IF(_xlfn.XLOOKUP($A883,'RAWDATA Cars Buyers DB'!$A:$A,'RAWDATA Cars Buyers DB'!K:K)&gt;54,"Old ",IF(_xlfn.XLOOKUP($A883,'RAWDATA Cars Buyers DB'!$A:$A,'RAWDATA Cars Buyers DB'!K:K)&gt;=31,"Middle Age ",IF(_xlfn.XLOOKUP($A883,'RAWDATA Cars Buyers DB'!$A:$A,'RAWDATA Cars Buyers DB'!K:K)&lt;31,"Adolescent","Invalid")))</f>
        <v xml:space="preserve">Middle Age </v>
      </c>
      <c r="M883" s="8" t="str">
        <f>_xlfn.XLOOKUP($A883,'RAWDATA Cars Buyers DB'!$A:$A,'RAWDATA Cars Buyers DB'!L:L)</f>
        <v>No</v>
      </c>
    </row>
    <row r="884" spans="1:13">
      <c r="A884" s="6">
        <v>14632</v>
      </c>
      <c r="B884" s="10" t="str">
        <f>IF(_xlfn.XLOOKUP($A884,'RAWDATA Cars Buyers DB'!$A:$A,'RAWDATA Cars Buyers DB'!B:B)="S","Single","Married")</f>
        <v>Single</v>
      </c>
      <c r="C884" s="10" t="str">
        <f>IF(_xlfn.XLOOKUP($A884,'RAWDATA Cars Buyers DB'!$A:$A,'RAWDATA Cars Buyers DB'!C:C)="F","Female","Male")</f>
        <v>Male</v>
      </c>
      <c r="D884" s="7">
        <f>_xlfn.XLOOKUP($A884,'RAWDATA Cars Buyers DB'!$A:$A,'RAWDATA Cars Buyers DB'!D:D)</f>
        <v>63361</v>
      </c>
      <c r="E884" s="8">
        <f>_xlfn.XLOOKUP($A884,'RAWDATA Cars Buyers DB'!$A:$A,'RAWDATA Cars Buyers DB'!E:E)</f>
        <v>0</v>
      </c>
      <c r="F884" s="8" t="str">
        <f>_xlfn.XLOOKUP($A884,'RAWDATA Cars Buyers DB'!$A:$A,'RAWDATA Cars Buyers DB'!F:F)</f>
        <v>Partial College</v>
      </c>
      <c r="G884" s="8" t="str">
        <f>_xlfn.XLOOKUP($A884,'RAWDATA Cars Buyers DB'!$A:$A,'RAWDATA Cars Buyers DB'!G:G)</f>
        <v>Clerical</v>
      </c>
      <c r="H884" s="8" t="str">
        <f>_xlfn.XLOOKUP($A884,'RAWDATA Cars Buyers DB'!$A:$A,'RAWDATA Cars Buyers DB'!H:H)</f>
        <v>No</v>
      </c>
      <c r="I884" s="8" t="str">
        <f>_xlfn.XLOOKUP($A884,'RAWDATA Cars Buyers DB'!$A:$A,'RAWDATA Cars Buyers DB'!I:I)</f>
        <v>0–1 Kilometre</v>
      </c>
      <c r="J884" s="8" t="str">
        <f>_xlfn.XLOOKUP($A884,'RAWDATA Cars Buyers DB'!$A:$A,'RAWDATA Cars Buyers DB'!J:J)</f>
        <v>Saarland</v>
      </c>
      <c r="K884" s="8">
        <f>_xlfn.XLOOKUP($A884,'RAWDATA Cars Buyers DB'!$A:$A,'RAWDATA Cars Buyers DB'!K:K)</f>
        <v>50</v>
      </c>
      <c r="L884" s="10" t="str">
        <f>IF(_xlfn.XLOOKUP($A884,'RAWDATA Cars Buyers DB'!$A:$A,'RAWDATA Cars Buyers DB'!K:K)&gt;54,"Old ",IF(_xlfn.XLOOKUP($A884,'RAWDATA Cars Buyers DB'!$A:$A,'RAWDATA Cars Buyers DB'!K:K)&gt;=31,"Middle Age ",IF(_xlfn.XLOOKUP($A884,'RAWDATA Cars Buyers DB'!$A:$A,'RAWDATA Cars Buyers DB'!K:K)&lt;31,"Adolescent","Invalid")))</f>
        <v xml:space="preserve">Middle Age </v>
      </c>
      <c r="M884" s="8" t="str">
        <f>_xlfn.XLOOKUP($A884,'RAWDATA Cars Buyers DB'!$A:$A,'RAWDATA Cars Buyers DB'!L:L)</f>
        <v>No</v>
      </c>
    </row>
    <row r="885" spans="1:13">
      <c r="A885" s="6">
        <v>13596</v>
      </c>
      <c r="B885" s="10" t="str">
        <f>IF(_xlfn.XLOOKUP($A885,'RAWDATA Cars Buyers DB'!$A:$A,'RAWDATA Cars Buyers DB'!B:B)="S","Single","Married")</f>
        <v>Married</v>
      </c>
      <c r="C885" s="10" t="str">
        <f>IF(_xlfn.XLOOKUP($A885,'RAWDATA Cars Buyers DB'!$A:$A,'RAWDATA Cars Buyers DB'!C:C)="F","Female","Male")</f>
        <v>Female</v>
      </c>
      <c r="D885" s="7">
        <f>_xlfn.XLOOKUP($A885,'RAWDATA Cars Buyers DB'!$A:$A,'RAWDATA Cars Buyers DB'!D:D)</f>
        <v>84503</v>
      </c>
      <c r="E885" s="8">
        <f>_xlfn.XLOOKUP($A885,'RAWDATA Cars Buyers DB'!$A:$A,'RAWDATA Cars Buyers DB'!E:E)</f>
        <v>3</v>
      </c>
      <c r="F885" s="8" t="str">
        <f>_xlfn.XLOOKUP($A885,'RAWDATA Cars Buyers DB'!$A:$A,'RAWDATA Cars Buyers DB'!F:F)</f>
        <v>Partial College</v>
      </c>
      <c r="G885" s="8" t="str">
        <f>_xlfn.XLOOKUP($A885,'RAWDATA Cars Buyers DB'!$A:$A,'RAWDATA Cars Buyers DB'!G:G)</f>
        <v>Professional</v>
      </c>
      <c r="H885" s="8" t="str">
        <f>_xlfn.XLOOKUP($A885,'RAWDATA Cars Buyers DB'!$A:$A,'RAWDATA Cars Buyers DB'!H:H)</f>
        <v>No</v>
      </c>
      <c r="I885" s="8" t="str">
        <f>_xlfn.XLOOKUP($A885,'RAWDATA Cars Buyers DB'!$A:$A,'RAWDATA Cars Buyers DB'!I:I)</f>
        <v>4–6 Kilometre</v>
      </c>
      <c r="J885" s="8" t="str">
        <f>_xlfn.XLOOKUP($A885,'RAWDATA Cars Buyers DB'!$A:$A,'RAWDATA Cars Buyers DB'!J:J)</f>
        <v>Saxony</v>
      </c>
      <c r="K885" s="8">
        <f>_xlfn.XLOOKUP($A885,'RAWDATA Cars Buyers DB'!$A:$A,'RAWDATA Cars Buyers DB'!K:K)</f>
        <v>51</v>
      </c>
      <c r="L885" s="10" t="str">
        <f>IF(_xlfn.XLOOKUP($A885,'RAWDATA Cars Buyers DB'!$A:$A,'RAWDATA Cars Buyers DB'!K:K)&gt;54,"Old ",IF(_xlfn.XLOOKUP($A885,'RAWDATA Cars Buyers DB'!$A:$A,'RAWDATA Cars Buyers DB'!K:K)&gt;=31,"Middle Age ",IF(_xlfn.XLOOKUP($A885,'RAWDATA Cars Buyers DB'!$A:$A,'RAWDATA Cars Buyers DB'!K:K)&lt;31,"Adolescent","Invalid")))</f>
        <v xml:space="preserve">Middle Age </v>
      </c>
      <c r="M885" s="8" t="str">
        <f>_xlfn.XLOOKUP($A885,'RAWDATA Cars Buyers DB'!$A:$A,'RAWDATA Cars Buyers DB'!L:L)</f>
        <v>No</v>
      </c>
    </row>
    <row r="886" spans="1:13">
      <c r="A886" s="6">
        <v>16168</v>
      </c>
      <c r="B886" s="10" t="str">
        <f>IF(_xlfn.XLOOKUP($A886,'RAWDATA Cars Buyers DB'!$A:$A,'RAWDATA Cars Buyers DB'!B:B)="S","Single","Married")</f>
        <v>Married</v>
      </c>
      <c r="C886" s="10" t="str">
        <f>IF(_xlfn.XLOOKUP($A886,'RAWDATA Cars Buyers DB'!$A:$A,'RAWDATA Cars Buyers DB'!C:C)="F","Female","Male")</f>
        <v>Male</v>
      </c>
      <c r="D886" s="7">
        <f>_xlfn.XLOOKUP($A886,'RAWDATA Cars Buyers DB'!$A:$A,'RAWDATA Cars Buyers DB'!D:D)</f>
        <v>54540</v>
      </c>
      <c r="E886" s="8">
        <f>_xlfn.XLOOKUP($A886,'RAWDATA Cars Buyers DB'!$A:$A,'RAWDATA Cars Buyers DB'!E:E)</f>
        <v>4</v>
      </c>
      <c r="F886" s="8" t="str">
        <f>_xlfn.XLOOKUP($A886,'RAWDATA Cars Buyers DB'!$A:$A,'RAWDATA Cars Buyers DB'!F:F)</f>
        <v>Bachelors</v>
      </c>
      <c r="G886" s="8" t="str">
        <f>_xlfn.XLOOKUP($A886,'RAWDATA Cars Buyers DB'!$A:$A,'RAWDATA Cars Buyers DB'!G:G)</f>
        <v>Skilled Manual</v>
      </c>
      <c r="H886" s="8" t="str">
        <f>_xlfn.XLOOKUP($A886,'RAWDATA Cars Buyers DB'!$A:$A,'RAWDATA Cars Buyers DB'!H:H)</f>
        <v>No</v>
      </c>
      <c r="I886" s="8" t="str">
        <f>_xlfn.XLOOKUP($A886,'RAWDATA Cars Buyers DB'!$A:$A,'RAWDATA Cars Buyers DB'!I:I)</f>
        <v>2–4 Kilometre</v>
      </c>
      <c r="J886" s="8" t="str">
        <f>_xlfn.XLOOKUP($A886,'RAWDATA Cars Buyers DB'!$A:$A,'RAWDATA Cars Buyers DB'!J:J)</f>
        <v>Schleswig-Holstein</v>
      </c>
      <c r="K886" s="8">
        <f>_xlfn.XLOOKUP($A886,'RAWDATA Cars Buyers DB'!$A:$A,'RAWDATA Cars Buyers DB'!K:K)</f>
        <v>69</v>
      </c>
      <c r="L886" s="10" t="str">
        <f>IF(_xlfn.XLOOKUP($A886,'RAWDATA Cars Buyers DB'!$A:$A,'RAWDATA Cars Buyers DB'!K:K)&gt;54,"Old ",IF(_xlfn.XLOOKUP($A886,'RAWDATA Cars Buyers DB'!$A:$A,'RAWDATA Cars Buyers DB'!K:K)&gt;=31,"Middle Age ",IF(_xlfn.XLOOKUP($A886,'RAWDATA Cars Buyers DB'!$A:$A,'RAWDATA Cars Buyers DB'!K:K)&lt;31,"Adolescent","Invalid")))</f>
        <v xml:space="preserve">Old </v>
      </c>
      <c r="M886" s="8" t="str">
        <f>_xlfn.XLOOKUP($A886,'RAWDATA Cars Buyers DB'!$A:$A,'RAWDATA Cars Buyers DB'!L:L)</f>
        <v>No</v>
      </c>
    </row>
    <row r="887" spans="1:13">
      <c r="A887" s="6">
        <v>17561</v>
      </c>
      <c r="B887" s="10" t="str">
        <f>IF(_xlfn.XLOOKUP($A887,'RAWDATA Cars Buyers DB'!$A:$A,'RAWDATA Cars Buyers DB'!B:B)="S","Single","Married")</f>
        <v>Married</v>
      </c>
      <c r="C887" s="10" t="str">
        <f>IF(_xlfn.XLOOKUP($A887,'RAWDATA Cars Buyers DB'!$A:$A,'RAWDATA Cars Buyers DB'!C:C)="F","Female","Male")</f>
        <v>Male</v>
      </c>
      <c r="D887" s="7">
        <f>_xlfn.XLOOKUP($A887,'RAWDATA Cars Buyers DB'!$A:$A,'RAWDATA Cars Buyers DB'!D:D)</f>
        <v>46536</v>
      </c>
      <c r="E887" s="8">
        <f>_xlfn.XLOOKUP($A887,'RAWDATA Cars Buyers DB'!$A:$A,'RAWDATA Cars Buyers DB'!E:E)</f>
        <v>4</v>
      </c>
      <c r="F887" s="8" t="str">
        <f>_xlfn.XLOOKUP($A887,'RAWDATA Cars Buyers DB'!$A:$A,'RAWDATA Cars Buyers DB'!F:F)</f>
        <v>High School</v>
      </c>
      <c r="G887" s="8" t="str">
        <f>_xlfn.XLOOKUP($A887,'RAWDATA Cars Buyers DB'!$A:$A,'RAWDATA Cars Buyers DB'!G:G)</f>
        <v>Professional</v>
      </c>
      <c r="H887" s="8" t="str">
        <f>_xlfn.XLOOKUP($A887,'RAWDATA Cars Buyers DB'!$A:$A,'RAWDATA Cars Buyers DB'!H:H)</f>
        <v>No</v>
      </c>
      <c r="I887" s="8" t="str">
        <f>_xlfn.XLOOKUP($A887,'RAWDATA Cars Buyers DB'!$A:$A,'RAWDATA Cars Buyers DB'!I:I)</f>
        <v>0–1 Kilometre</v>
      </c>
      <c r="J887" s="8" t="str">
        <f>_xlfn.XLOOKUP($A887,'RAWDATA Cars Buyers DB'!$A:$A,'RAWDATA Cars Buyers DB'!J:J)</f>
        <v>Hamburg</v>
      </c>
      <c r="K887" s="8">
        <f>_xlfn.XLOOKUP($A887,'RAWDATA Cars Buyers DB'!$A:$A,'RAWDATA Cars Buyers DB'!K:K)</f>
        <v>60</v>
      </c>
      <c r="L887" s="10" t="str">
        <f>IF(_xlfn.XLOOKUP($A887,'RAWDATA Cars Buyers DB'!$A:$A,'RAWDATA Cars Buyers DB'!K:K)&gt;54,"Old ",IF(_xlfn.XLOOKUP($A887,'RAWDATA Cars Buyers DB'!$A:$A,'RAWDATA Cars Buyers DB'!K:K)&gt;=31,"Middle Age ",IF(_xlfn.XLOOKUP($A887,'RAWDATA Cars Buyers DB'!$A:$A,'RAWDATA Cars Buyers DB'!K:K)&lt;31,"Adolescent","Invalid")))</f>
        <v xml:space="preserve">Old </v>
      </c>
      <c r="M887" s="8" t="str">
        <f>_xlfn.XLOOKUP($A887,'RAWDATA Cars Buyers DB'!$A:$A,'RAWDATA Cars Buyers DB'!L:L)</f>
        <v>No</v>
      </c>
    </row>
    <row r="888" spans="1:13">
      <c r="A888" s="6">
        <v>83794</v>
      </c>
      <c r="B888" s="10" t="str">
        <f>IF(_xlfn.XLOOKUP($A888,'RAWDATA Cars Buyers DB'!$A:$A,'RAWDATA Cars Buyers DB'!B:B)="S","Single","Married")</f>
        <v>Single</v>
      </c>
      <c r="C888" s="10" t="str">
        <f>IF(_xlfn.XLOOKUP($A888,'RAWDATA Cars Buyers DB'!$A:$A,'RAWDATA Cars Buyers DB'!C:C)="F","Female","Male")</f>
        <v>Female</v>
      </c>
      <c r="D888" s="7">
        <f>_xlfn.XLOOKUP($A888,'RAWDATA Cars Buyers DB'!$A:$A,'RAWDATA Cars Buyers DB'!D:D)</f>
        <v>104700</v>
      </c>
      <c r="E888" s="8">
        <f>_xlfn.XLOOKUP($A888,'RAWDATA Cars Buyers DB'!$A:$A,'RAWDATA Cars Buyers DB'!E:E)</f>
        <v>3</v>
      </c>
      <c r="F888" s="8" t="str">
        <f>_xlfn.XLOOKUP($A888,'RAWDATA Cars Buyers DB'!$A:$A,'RAWDATA Cars Buyers DB'!F:F)</f>
        <v>Partial College</v>
      </c>
      <c r="G888" s="8" t="str">
        <f>_xlfn.XLOOKUP($A888,'RAWDATA Cars Buyers DB'!$A:$A,'RAWDATA Cars Buyers DB'!G:G)</f>
        <v>Management</v>
      </c>
      <c r="H888" s="8" t="str">
        <f>_xlfn.XLOOKUP($A888,'RAWDATA Cars Buyers DB'!$A:$A,'RAWDATA Cars Buyers DB'!H:H)</f>
        <v>Yes</v>
      </c>
      <c r="I888" s="8" t="str">
        <f>_xlfn.XLOOKUP($A888,'RAWDATA Cars Buyers DB'!$A:$A,'RAWDATA Cars Buyers DB'!I:I)</f>
        <v>0–1 Kilometre</v>
      </c>
      <c r="J888" s="8" t="str">
        <f>_xlfn.XLOOKUP($A888,'RAWDATA Cars Buyers DB'!$A:$A,'RAWDATA Cars Buyers DB'!J:J)</f>
        <v>Schleswig-Holstein</v>
      </c>
      <c r="K888" s="8">
        <f>_xlfn.XLOOKUP($A888,'RAWDATA Cars Buyers DB'!$A:$A,'RAWDATA Cars Buyers DB'!K:K)</f>
        <v>21</v>
      </c>
      <c r="L888" s="10" t="str">
        <f>IF(_xlfn.XLOOKUP($A888,'RAWDATA Cars Buyers DB'!$A:$A,'RAWDATA Cars Buyers DB'!K:K)&gt;54,"Old ",IF(_xlfn.XLOOKUP($A888,'RAWDATA Cars Buyers DB'!$A:$A,'RAWDATA Cars Buyers DB'!K:K)&gt;=31,"Middle Age ",IF(_xlfn.XLOOKUP($A888,'RAWDATA Cars Buyers DB'!$A:$A,'RAWDATA Cars Buyers DB'!K:K)&lt;31,"Adolescent","Invalid")))</f>
        <v>Adolescent</v>
      </c>
      <c r="M888" s="8" t="str">
        <f>_xlfn.XLOOKUP($A888,'RAWDATA Cars Buyers DB'!$A:$A,'RAWDATA Cars Buyers DB'!L:L)</f>
        <v>No</v>
      </c>
    </row>
    <row r="889" spans="1:13">
      <c r="A889" s="6">
        <v>92152</v>
      </c>
      <c r="B889" s="10" t="str">
        <f>IF(_xlfn.XLOOKUP($A889,'RAWDATA Cars Buyers DB'!$A:$A,'RAWDATA Cars Buyers DB'!B:B)="S","Single","Married")</f>
        <v>Married</v>
      </c>
      <c r="C889" s="10" t="str">
        <f>IF(_xlfn.XLOOKUP($A889,'RAWDATA Cars Buyers DB'!$A:$A,'RAWDATA Cars Buyers DB'!C:C)="F","Female","Male")</f>
        <v>Male</v>
      </c>
      <c r="D889" s="7">
        <f>_xlfn.XLOOKUP($A889,'RAWDATA Cars Buyers DB'!$A:$A,'RAWDATA Cars Buyers DB'!D:D)</f>
        <v>83043</v>
      </c>
      <c r="E889" s="8">
        <f>_xlfn.XLOOKUP($A889,'RAWDATA Cars Buyers DB'!$A:$A,'RAWDATA Cars Buyers DB'!E:E)</f>
        <v>4</v>
      </c>
      <c r="F889" s="8" t="str">
        <f>_xlfn.XLOOKUP($A889,'RAWDATA Cars Buyers DB'!$A:$A,'RAWDATA Cars Buyers DB'!F:F)</f>
        <v>Graduate Degree</v>
      </c>
      <c r="G889" s="8" t="str">
        <f>_xlfn.XLOOKUP($A889,'RAWDATA Cars Buyers DB'!$A:$A,'RAWDATA Cars Buyers DB'!G:G)</f>
        <v>Professional</v>
      </c>
      <c r="H889" s="8" t="str">
        <f>_xlfn.XLOOKUP($A889,'RAWDATA Cars Buyers DB'!$A:$A,'RAWDATA Cars Buyers DB'!H:H)</f>
        <v>Yes</v>
      </c>
      <c r="I889" s="8" t="str">
        <f>_xlfn.XLOOKUP($A889,'RAWDATA Cars Buyers DB'!$A:$A,'RAWDATA Cars Buyers DB'!I:I)</f>
        <v>1–2 Kilometre</v>
      </c>
      <c r="J889" s="8" t="str">
        <f>_xlfn.XLOOKUP($A889,'RAWDATA Cars Buyers DB'!$A:$A,'RAWDATA Cars Buyers DB'!J:J)</f>
        <v>Schleswig-Holstein</v>
      </c>
      <c r="K889" s="8">
        <f>_xlfn.XLOOKUP($A889,'RAWDATA Cars Buyers DB'!$A:$A,'RAWDATA Cars Buyers DB'!K:K)</f>
        <v>44</v>
      </c>
      <c r="L889" s="10" t="str">
        <f>IF(_xlfn.XLOOKUP($A889,'RAWDATA Cars Buyers DB'!$A:$A,'RAWDATA Cars Buyers DB'!K:K)&gt;54,"Old ",IF(_xlfn.XLOOKUP($A889,'RAWDATA Cars Buyers DB'!$A:$A,'RAWDATA Cars Buyers DB'!K:K)&gt;=31,"Middle Age ",IF(_xlfn.XLOOKUP($A889,'RAWDATA Cars Buyers DB'!$A:$A,'RAWDATA Cars Buyers DB'!K:K)&lt;31,"Adolescent","Invalid")))</f>
        <v xml:space="preserve">Middle Age </v>
      </c>
      <c r="M889" s="8" t="str">
        <f>_xlfn.XLOOKUP($A889,'RAWDATA Cars Buyers DB'!$A:$A,'RAWDATA Cars Buyers DB'!L:L)</f>
        <v>No</v>
      </c>
    </row>
    <row r="890" spans="1:13">
      <c r="A890" s="6">
        <v>36734</v>
      </c>
      <c r="B890" s="10" t="str">
        <f>IF(_xlfn.XLOOKUP($A890,'RAWDATA Cars Buyers DB'!$A:$A,'RAWDATA Cars Buyers DB'!B:B)="S","Single","Married")</f>
        <v>Single</v>
      </c>
      <c r="C890" s="10" t="str">
        <f>IF(_xlfn.XLOOKUP($A890,'RAWDATA Cars Buyers DB'!$A:$A,'RAWDATA Cars Buyers DB'!C:C)="F","Female","Male")</f>
        <v>Male</v>
      </c>
      <c r="D890" s="7">
        <f>_xlfn.XLOOKUP($A890,'RAWDATA Cars Buyers DB'!$A:$A,'RAWDATA Cars Buyers DB'!D:D)</f>
        <v>98532</v>
      </c>
      <c r="E890" s="8">
        <f>_xlfn.XLOOKUP($A890,'RAWDATA Cars Buyers DB'!$A:$A,'RAWDATA Cars Buyers DB'!E:E)</f>
        <v>1</v>
      </c>
      <c r="F890" s="8" t="str">
        <f>_xlfn.XLOOKUP($A890,'RAWDATA Cars Buyers DB'!$A:$A,'RAWDATA Cars Buyers DB'!F:F)</f>
        <v>High School</v>
      </c>
      <c r="G890" s="8" t="str">
        <f>_xlfn.XLOOKUP($A890,'RAWDATA Cars Buyers DB'!$A:$A,'RAWDATA Cars Buyers DB'!G:G)</f>
        <v>Skilled Manual</v>
      </c>
      <c r="H890" s="8" t="str">
        <f>_xlfn.XLOOKUP($A890,'RAWDATA Cars Buyers DB'!$A:$A,'RAWDATA Cars Buyers DB'!H:H)</f>
        <v>Yes</v>
      </c>
      <c r="I890" s="8" t="str">
        <f>_xlfn.XLOOKUP($A890,'RAWDATA Cars Buyers DB'!$A:$A,'RAWDATA Cars Buyers DB'!I:I)</f>
        <v>4–6 Kilometre</v>
      </c>
      <c r="J890" s="8" t="str">
        <f>_xlfn.XLOOKUP($A890,'RAWDATA Cars Buyers DB'!$A:$A,'RAWDATA Cars Buyers DB'!J:J)</f>
        <v>Brandenburg</v>
      </c>
      <c r="K890" s="8">
        <f>_xlfn.XLOOKUP($A890,'RAWDATA Cars Buyers DB'!$A:$A,'RAWDATA Cars Buyers DB'!K:K)</f>
        <v>63</v>
      </c>
      <c r="L890" s="10" t="str">
        <f>IF(_xlfn.XLOOKUP($A890,'RAWDATA Cars Buyers DB'!$A:$A,'RAWDATA Cars Buyers DB'!K:K)&gt;54,"Old ",IF(_xlfn.XLOOKUP($A890,'RAWDATA Cars Buyers DB'!$A:$A,'RAWDATA Cars Buyers DB'!K:K)&gt;=31,"Middle Age ",IF(_xlfn.XLOOKUP($A890,'RAWDATA Cars Buyers DB'!$A:$A,'RAWDATA Cars Buyers DB'!K:K)&lt;31,"Adolescent","Invalid")))</f>
        <v xml:space="preserve">Old </v>
      </c>
      <c r="M890" s="8" t="str">
        <f>_xlfn.XLOOKUP($A890,'RAWDATA Cars Buyers DB'!$A:$A,'RAWDATA Cars Buyers DB'!L:L)</f>
        <v>No</v>
      </c>
    </row>
    <row r="891" spans="1:13">
      <c r="A891" s="6">
        <v>16371</v>
      </c>
      <c r="B891" s="10" t="str">
        <f>IF(_xlfn.XLOOKUP($A891,'RAWDATA Cars Buyers DB'!$A:$A,'RAWDATA Cars Buyers DB'!B:B)="S","Single","Married")</f>
        <v>Single</v>
      </c>
      <c r="C891" s="10" t="str">
        <f>IF(_xlfn.XLOOKUP($A891,'RAWDATA Cars Buyers DB'!$A:$A,'RAWDATA Cars Buyers DB'!C:C)="F","Female","Male")</f>
        <v>Female</v>
      </c>
      <c r="D891" s="7">
        <f>_xlfn.XLOOKUP($A891,'RAWDATA Cars Buyers DB'!$A:$A,'RAWDATA Cars Buyers DB'!D:D)</f>
        <v>76575</v>
      </c>
      <c r="E891" s="8">
        <f>_xlfn.XLOOKUP($A891,'RAWDATA Cars Buyers DB'!$A:$A,'RAWDATA Cars Buyers DB'!E:E)</f>
        <v>5</v>
      </c>
      <c r="F891" s="8" t="str">
        <f>_xlfn.XLOOKUP($A891,'RAWDATA Cars Buyers DB'!$A:$A,'RAWDATA Cars Buyers DB'!F:F)</f>
        <v>Partial College</v>
      </c>
      <c r="G891" s="8" t="str">
        <f>_xlfn.XLOOKUP($A891,'RAWDATA Cars Buyers DB'!$A:$A,'RAWDATA Cars Buyers DB'!G:G)</f>
        <v>Professional</v>
      </c>
      <c r="H891" s="8" t="str">
        <f>_xlfn.XLOOKUP($A891,'RAWDATA Cars Buyers DB'!$A:$A,'RAWDATA Cars Buyers DB'!H:H)</f>
        <v>No</v>
      </c>
      <c r="I891" s="8" t="str">
        <f>_xlfn.XLOOKUP($A891,'RAWDATA Cars Buyers DB'!$A:$A,'RAWDATA Cars Buyers DB'!I:I)</f>
        <v>2–4 Kilometre</v>
      </c>
      <c r="J891" s="8" t="str">
        <f>_xlfn.XLOOKUP($A891,'RAWDATA Cars Buyers DB'!$A:$A,'RAWDATA Cars Buyers DB'!J:J)</f>
        <v>Bremen</v>
      </c>
      <c r="K891" s="8">
        <f>_xlfn.XLOOKUP($A891,'RAWDATA Cars Buyers DB'!$A:$A,'RAWDATA Cars Buyers DB'!K:K)</f>
        <v>21</v>
      </c>
      <c r="L891" s="10" t="str">
        <f>IF(_xlfn.XLOOKUP($A891,'RAWDATA Cars Buyers DB'!$A:$A,'RAWDATA Cars Buyers DB'!K:K)&gt;54,"Old ",IF(_xlfn.XLOOKUP($A891,'RAWDATA Cars Buyers DB'!$A:$A,'RAWDATA Cars Buyers DB'!K:K)&gt;=31,"Middle Age ",IF(_xlfn.XLOOKUP($A891,'RAWDATA Cars Buyers DB'!$A:$A,'RAWDATA Cars Buyers DB'!K:K)&lt;31,"Adolescent","Invalid")))</f>
        <v>Adolescent</v>
      </c>
      <c r="M891" s="8" t="str">
        <f>_xlfn.XLOOKUP($A891,'RAWDATA Cars Buyers DB'!$A:$A,'RAWDATA Cars Buyers DB'!L:L)</f>
        <v>Yes</v>
      </c>
    </row>
    <row r="892" spans="1:13">
      <c r="A892" s="6">
        <v>36069</v>
      </c>
      <c r="B892" s="10" t="str">
        <f>IF(_xlfn.XLOOKUP($A892,'RAWDATA Cars Buyers DB'!$A:$A,'RAWDATA Cars Buyers DB'!B:B)="S","Single","Married")</f>
        <v>Married</v>
      </c>
      <c r="C892" s="10" t="str">
        <f>IF(_xlfn.XLOOKUP($A892,'RAWDATA Cars Buyers DB'!$A:$A,'RAWDATA Cars Buyers DB'!C:C)="F","Female","Male")</f>
        <v>Female</v>
      </c>
      <c r="D892" s="7">
        <f>_xlfn.XLOOKUP($A892,'RAWDATA Cars Buyers DB'!$A:$A,'RAWDATA Cars Buyers DB'!D:D)</f>
        <v>22871</v>
      </c>
      <c r="E892" s="8">
        <f>_xlfn.XLOOKUP($A892,'RAWDATA Cars Buyers DB'!$A:$A,'RAWDATA Cars Buyers DB'!E:E)</f>
        <v>3</v>
      </c>
      <c r="F892" s="8" t="str">
        <f>_xlfn.XLOOKUP($A892,'RAWDATA Cars Buyers DB'!$A:$A,'RAWDATA Cars Buyers DB'!F:F)</f>
        <v>High School</v>
      </c>
      <c r="G892" s="8" t="str">
        <f>_xlfn.XLOOKUP($A892,'RAWDATA Cars Buyers DB'!$A:$A,'RAWDATA Cars Buyers DB'!G:G)</f>
        <v>Skilled Manual</v>
      </c>
      <c r="H892" s="8" t="str">
        <f>_xlfn.XLOOKUP($A892,'RAWDATA Cars Buyers DB'!$A:$A,'RAWDATA Cars Buyers DB'!H:H)</f>
        <v>Yes</v>
      </c>
      <c r="I892" s="8" t="str">
        <f>_xlfn.XLOOKUP($A892,'RAWDATA Cars Buyers DB'!$A:$A,'RAWDATA Cars Buyers DB'!I:I)</f>
        <v>4–6 Kilometre</v>
      </c>
      <c r="J892" s="8" t="str">
        <f>_xlfn.XLOOKUP($A892,'RAWDATA Cars Buyers DB'!$A:$A,'RAWDATA Cars Buyers DB'!J:J)</f>
        <v>Lower Saxony</v>
      </c>
      <c r="K892" s="8">
        <f>_xlfn.XLOOKUP($A892,'RAWDATA Cars Buyers DB'!$A:$A,'RAWDATA Cars Buyers DB'!K:K)</f>
        <v>61</v>
      </c>
      <c r="L892" s="10" t="str">
        <f>IF(_xlfn.XLOOKUP($A892,'RAWDATA Cars Buyers DB'!$A:$A,'RAWDATA Cars Buyers DB'!K:K)&gt;54,"Old ",IF(_xlfn.XLOOKUP($A892,'RAWDATA Cars Buyers DB'!$A:$A,'RAWDATA Cars Buyers DB'!K:K)&gt;=31,"Middle Age ",IF(_xlfn.XLOOKUP($A892,'RAWDATA Cars Buyers DB'!$A:$A,'RAWDATA Cars Buyers DB'!K:K)&lt;31,"Adolescent","Invalid")))</f>
        <v xml:space="preserve">Old </v>
      </c>
      <c r="M892" s="8" t="str">
        <f>_xlfn.XLOOKUP($A892,'RAWDATA Cars Buyers DB'!$A:$A,'RAWDATA Cars Buyers DB'!L:L)</f>
        <v>No</v>
      </c>
    </row>
    <row r="893" spans="1:13">
      <c r="A893" s="6">
        <v>89905</v>
      </c>
      <c r="B893" s="10" t="str">
        <f>IF(_xlfn.XLOOKUP($A893,'RAWDATA Cars Buyers DB'!$A:$A,'RAWDATA Cars Buyers DB'!B:B)="S","Single","Married")</f>
        <v>Single</v>
      </c>
      <c r="C893" s="10" t="str">
        <f>IF(_xlfn.XLOOKUP($A893,'RAWDATA Cars Buyers DB'!$A:$A,'RAWDATA Cars Buyers DB'!C:C)="F","Female","Male")</f>
        <v>Female</v>
      </c>
      <c r="D893" s="7">
        <f>_xlfn.XLOOKUP($A893,'RAWDATA Cars Buyers DB'!$A:$A,'RAWDATA Cars Buyers DB'!D:D)</f>
        <v>66002</v>
      </c>
      <c r="E893" s="8">
        <f>_xlfn.XLOOKUP($A893,'RAWDATA Cars Buyers DB'!$A:$A,'RAWDATA Cars Buyers DB'!E:E)</f>
        <v>1</v>
      </c>
      <c r="F893" s="8" t="str">
        <f>_xlfn.XLOOKUP($A893,'RAWDATA Cars Buyers DB'!$A:$A,'RAWDATA Cars Buyers DB'!F:F)</f>
        <v>Graduate Degree</v>
      </c>
      <c r="G893" s="8" t="str">
        <f>_xlfn.XLOOKUP($A893,'RAWDATA Cars Buyers DB'!$A:$A,'RAWDATA Cars Buyers DB'!G:G)</f>
        <v>Management</v>
      </c>
      <c r="H893" s="8" t="str">
        <f>_xlfn.XLOOKUP($A893,'RAWDATA Cars Buyers DB'!$A:$A,'RAWDATA Cars Buyers DB'!H:H)</f>
        <v>No</v>
      </c>
      <c r="I893" s="8" t="str">
        <f>_xlfn.XLOOKUP($A893,'RAWDATA Cars Buyers DB'!$A:$A,'RAWDATA Cars Buyers DB'!I:I)</f>
        <v>1–2 Kilometre</v>
      </c>
      <c r="J893" s="8" t="str">
        <f>_xlfn.XLOOKUP($A893,'RAWDATA Cars Buyers DB'!$A:$A,'RAWDATA Cars Buyers DB'!J:J)</f>
        <v>Brandenburg</v>
      </c>
      <c r="K893" s="8">
        <f>_xlfn.XLOOKUP($A893,'RAWDATA Cars Buyers DB'!$A:$A,'RAWDATA Cars Buyers DB'!K:K)</f>
        <v>20</v>
      </c>
      <c r="L893" s="10" t="str">
        <f>IF(_xlfn.XLOOKUP($A893,'RAWDATA Cars Buyers DB'!$A:$A,'RAWDATA Cars Buyers DB'!K:K)&gt;54,"Old ",IF(_xlfn.XLOOKUP($A893,'RAWDATA Cars Buyers DB'!$A:$A,'RAWDATA Cars Buyers DB'!K:K)&gt;=31,"Middle Age ",IF(_xlfn.XLOOKUP($A893,'RAWDATA Cars Buyers DB'!$A:$A,'RAWDATA Cars Buyers DB'!K:K)&lt;31,"Adolescent","Invalid")))</f>
        <v>Adolescent</v>
      </c>
      <c r="M893" s="8" t="str">
        <f>_xlfn.XLOOKUP($A893,'RAWDATA Cars Buyers DB'!$A:$A,'RAWDATA Cars Buyers DB'!L:L)</f>
        <v>Yes</v>
      </c>
    </row>
    <row r="894" spans="1:13">
      <c r="A894" s="6">
        <v>22910</v>
      </c>
      <c r="B894" s="10" t="str">
        <f>IF(_xlfn.XLOOKUP($A894,'RAWDATA Cars Buyers DB'!$A:$A,'RAWDATA Cars Buyers DB'!B:B)="S","Single","Married")</f>
        <v>Married</v>
      </c>
      <c r="C894" s="10" t="str">
        <f>IF(_xlfn.XLOOKUP($A894,'RAWDATA Cars Buyers DB'!$A:$A,'RAWDATA Cars Buyers DB'!C:C)="F","Female","Male")</f>
        <v>Female</v>
      </c>
      <c r="D894" s="7">
        <f>_xlfn.XLOOKUP($A894,'RAWDATA Cars Buyers DB'!$A:$A,'RAWDATA Cars Buyers DB'!D:D)</f>
        <v>69812</v>
      </c>
      <c r="E894" s="8">
        <f>_xlfn.XLOOKUP($A894,'RAWDATA Cars Buyers DB'!$A:$A,'RAWDATA Cars Buyers DB'!E:E)</f>
        <v>5</v>
      </c>
      <c r="F894" s="8" t="str">
        <f>_xlfn.XLOOKUP($A894,'RAWDATA Cars Buyers DB'!$A:$A,'RAWDATA Cars Buyers DB'!F:F)</f>
        <v>Partial College</v>
      </c>
      <c r="G894" s="8" t="str">
        <f>_xlfn.XLOOKUP($A894,'RAWDATA Cars Buyers DB'!$A:$A,'RAWDATA Cars Buyers DB'!G:G)</f>
        <v>Management</v>
      </c>
      <c r="H894" s="8" t="str">
        <f>_xlfn.XLOOKUP($A894,'RAWDATA Cars Buyers DB'!$A:$A,'RAWDATA Cars Buyers DB'!H:H)</f>
        <v>No</v>
      </c>
      <c r="I894" s="8" t="str">
        <f>_xlfn.XLOOKUP($A894,'RAWDATA Cars Buyers DB'!$A:$A,'RAWDATA Cars Buyers DB'!I:I)</f>
        <v>6+ Kilometre</v>
      </c>
      <c r="J894" s="8" t="str">
        <f>_xlfn.XLOOKUP($A894,'RAWDATA Cars Buyers DB'!$A:$A,'RAWDATA Cars Buyers DB'!J:J)</f>
        <v>Hamburg</v>
      </c>
      <c r="K894" s="8">
        <f>_xlfn.XLOOKUP($A894,'RAWDATA Cars Buyers DB'!$A:$A,'RAWDATA Cars Buyers DB'!K:K)</f>
        <v>55</v>
      </c>
      <c r="L894" s="10" t="str">
        <f>IF(_xlfn.XLOOKUP($A894,'RAWDATA Cars Buyers DB'!$A:$A,'RAWDATA Cars Buyers DB'!K:K)&gt;54,"Old ",IF(_xlfn.XLOOKUP($A894,'RAWDATA Cars Buyers DB'!$A:$A,'RAWDATA Cars Buyers DB'!K:K)&gt;=31,"Middle Age ",IF(_xlfn.XLOOKUP($A894,'RAWDATA Cars Buyers DB'!$A:$A,'RAWDATA Cars Buyers DB'!K:K)&lt;31,"Adolescent","Invalid")))</f>
        <v xml:space="preserve">Old </v>
      </c>
      <c r="M894" s="8" t="str">
        <f>_xlfn.XLOOKUP($A894,'RAWDATA Cars Buyers DB'!$A:$A,'RAWDATA Cars Buyers DB'!L:L)</f>
        <v>Yes</v>
      </c>
    </row>
    <row r="895" spans="1:13">
      <c r="A895" s="6">
        <v>83479</v>
      </c>
      <c r="B895" s="10" t="str">
        <f>IF(_xlfn.XLOOKUP($A895,'RAWDATA Cars Buyers DB'!$A:$A,'RAWDATA Cars Buyers DB'!B:B)="S","Single","Married")</f>
        <v>Married</v>
      </c>
      <c r="C895" s="10" t="str">
        <f>IF(_xlfn.XLOOKUP($A895,'RAWDATA Cars Buyers DB'!$A:$A,'RAWDATA Cars Buyers DB'!C:C)="F","Female","Male")</f>
        <v>Male</v>
      </c>
      <c r="D895" s="7">
        <f>_xlfn.XLOOKUP($A895,'RAWDATA Cars Buyers DB'!$A:$A,'RAWDATA Cars Buyers DB'!D:D)</f>
        <v>42626</v>
      </c>
      <c r="E895" s="8">
        <f>_xlfn.XLOOKUP($A895,'RAWDATA Cars Buyers DB'!$A:$A,'RAWDATA Cars Buyers DB'!E:E)</f>
        <v>5</v>
      </c>
      <c r="F895" s="8" t="str">
        <f>_xlfn.XLOOKUP($A895,'RAWDATA Cars Buyers DB'!$A:$A,'RAWDATA Cars Buyers DB'!F:F)</f>
        <v>Bachelors</v>
      </c>
      <c r="G895" s="8" t="str">
        <f>_xlfn.XLOOKUP($A895,'RAWDATA Cars Buyers DB'!$A:$A,'RAWDATA Cars Buyers DB'!G:G)</f>
        <v>Management</v>
      </c>
      <c r="H895" s="8" t="str">
        <f>_xlfn.XLOOKUP($A895,'RAWDATA Cars Buyers DB'!$A:$A,'RAWDATA Cars Buyers DB'!H:H)</f>
        <v>Yes</v>
      </c>
      <c r="I895" s="8" t="str">
        <f>_xlfn.XLOOKUP($A895,'RAWDATA Cars Buyers DB'!$A:$A,'RAWDATA Cars Buyers DB'!I:I)</f>
        <v>0–1 Kilometre</v>
      </c>
      <c r="J895" s="8" t="str">
        <f>_xlfn.XLOOKUP($A895,'RAWDATA Cars Buyers DB'!$A:$A,'RAWDATA Cars Buyers DB'!J:J)</f>
        <v>Hamburg</v>
      </c>
      <c r="K895" s="8">
        <f>_xlfn.XLOOKUP($A895,'RAWDATA Cars Buyers DB'!$A:$A,'RAWDATA Cars Buyers DB'!K:K)</f>
        <v>31</v>
      </c>
      <c r="L895" s="10" t="str">
        <f>IF(_xlfn.XLOOKUP($A895,'RAWDATA Cars Buyers DB'!$A:$A,'RAWDATA Cars Buyers DB'!K:K)&gt;54,"Old ",IF(_xlfn.XLOOKUP($A895,'RAWDATA Cars Buyers DB'!$A:$A,'RAWDATA Cars Buyers DB'!K:K)&gt;=31,"Middle Age ",IF(_xlfn.XLOOKUP($A895,'RAWDATA Cars Buyers DB'!$A:$A,'RAWDATA Cars Buyers DB'!K:K)&lt;31,"Adolescent","Invalid")))</f>
        <v xml:space="preserve">Middle Age </v>
      </c>
      <c r="M895" s="8" t="str">
        <f>_xlfn.XLOOKUP($A895,'RAWDATA Cars Buyers DB'!$A:$A,'RAWDATA Cars Buyers DB'!L:L)</f>
        <v>No</v>
      </c>
    </row>
    <row r="896" spans="1:13">
      <c r="A896" s="6">
        <v>87735</v>
      </c>
      <c r="B896" s="10" t="str">
        <f>IF(_xlfn.XLOOKUP($A896,'RAWDATA Cars Buyers DB'!$A:$A,'RAWDATA Cars Buyers DB'!B:B)="S","Single","Married")</f>
        <v>Single</v>
      </c>
      <c r="C896" s="10" t="str">
        <f>IF(_xlfn.XLOOKUP($A896,'RAWDATA Cars Buyers DB'!$A:$A,'RAWDATA Cars Buyers DB'!C:C)="F","Female","Male")</f>
        <v>Male</v>
      </c>
      <c r="D896" s="7">
        <f>_xlfn.XLOOKUP($A896,'RAWDATA Cars Buyers DB'!$A:$A,'RAWDATA Cars Buyers DB'!D:D)</f>
        <v>79979</v>
      </c>
      <c r="E896" s="8">
        <f>_xlfn.XLOOKUP($A896,'RAWDATA Cars Buyers DB'!$A:$A,'RAWDATA Cars Buyers DB'!E:E)</f>
        <v>1</v>
      </c>
      <c r="F896" s="8" t="str">
        <f>_xlfn.XLOOKUP($A896,'RAWDATA Cars Buyers DB'!$A:$A,'RAWDATA Cars Buyers DB'!F:F)</f>
        <v>Bachelors</v>
      </c>
      <c r="G896" s="8" t="str">
        <f>_xlfn.XLOOKUP($A896,'RAWDATA Cars Buyers DB'!$A:$A,'RAWDATA Cars Buyers DB'!G:G)</f>
        <v>Clerical</v>
      </c>
      <c r="H896" s="8" t="str">
        <f>_xlfn.XLOOKUP($A896,'RAWDATA Cars Buyers DB'!$A:$A,'RAWDATA Cars Buyers DB'!H:H)</f>
        <v>No</v>
      </c>
      <c r="I896" s="8" t="str">
        <f>_xlfn.XLOOKUP($A896,'RAWDATA Cars Buyers DB'!$A:$A,'RAWDATA Cars Buyers DB'!I:I)</f>
        <v>2–4 Kilometre</v>
      </c>
      <c r="J896" s="8" t="str">
        <f>_xlfn.XLOOKUP($A896,'RAWDATA Cars Buyers DB'!$A:$A,'RAWDATA Cars Buyers DB'!J:J)</f>
        <v>North Rhine-Westphalia</v>
      </c>
      <c r="K896" s="8">
        <f>_xlfn.XLOOKUP($A896,'RAWDATA Cars Buyers DB'!$A:$A,'RAWDATA Cars Buyers DB'!K:K)</f>
        <v>28</v>
      </c>
      <c r="L896" s="10" t="str">
        <f>IF(_xlfn.XLOOKUP($A896,'RAWDATA Cars Buyers DB'!$A:$A,'RAWDATA Cars Buyers DB'!K:K)&gt;54,"Old ",IF(_xlfn.XLOOKUP($A896,'RAWDATA Cars Buyers DB'!$A:$A,'RAWDATA Cars Buyers DB'!K:K)&gt;=31,"Middle Age ",IF(_xlfn.XLOOKUP($A896,'RAWDATA Cars Buyers DB'!$A:$A,'RAWDATA Cars Buyers DB'!K:K)&lt;31,"Adolescent","Invalid")))</f>
        <v>Adolescent</v>
      </c>
      <c r="M896" s="8" t="str">
        <f>_xlfn.XLOOKUP($A896,'RAWDATA Cars Buyers DB'!$A:$A,'RAWDATA Cars Buyers DB'!L:L)</f>
        <v>No</v>
      </c>
    </row>
    <row r="897" spans="1:13">
      <c r="A897" s="6">
        <v>91264</v>
      </c>
      <c r="B897" s="10" t="str">
        <f>IF(_xlfn.XLOOKUP($A897,'RAWDATA Cars Buyers DB'!$A:$A,'RAWDATA Cars Buyers DB'!B:B)="S","Single","Married")</f>
        <v>Single</v>
      </c>
      <c r="C897" s="10" t="str">
        <f>IF(_xlfn.XLOOKUP($A897,'RAWDATA Cars Buyers DB'!$A:$A,'RAWDATA Cars Buyers DB'!C:C)="F","Female","Male")</f>
        <v>Female</v>
      </c>
      <c r="D897" s="7">
        <f>_xlfn.XLOOKUP($A897,'RAWDATA Cars Buyers DB'!$A:$A,'RAWDATA Cars Buyers DB'!D:D)</f>
        <v>96057</v>
      </c>
      <c r="E897" s="8">
        <f>_xlfn.XLOOKUP($A897,'RAWDATA Cars Buyers DB'!$A:$A,'RAWDATA Cars Buyers DB'!E:E)</f>
        <v>2</v>
      </c>
      <c r="F897" s="8" t="str">
        <f>_xlfn.XLOOKUP($A897,'RAWDATA Cars Buyers DB'!$A:$A,'RAWDATA Cars Buyers DB'!F:F)</f>
        <v>High School</v>
      </c>
      <c r="G897" s="8" t="str">
        <f>_xlfn.XLOOKUP($A897,'RAWDATA Cars Buyers DB'!$A:$A,'RAWDATA Cars Buyers DB'!G:G)</f>
        <v>Management</v>
      </c>
      <c r="H897" s="8" t="str">
        <f>_xlfn.XLOOKUP($A897,'RAWDATA Cars Buyers DB'!$A:$A,'RAWDATA Cars Buyers DB'!H:H)</f>
        <v>Yes</v>
      </c>
      <c r="I897" s="8" t="str">
        <f>_xlfn.XLOOKUP($A897,'RAWDATA Cars Buyers DB'!$A:$A,'RAWDATA Cars Buyers DB'!I:I)</f>
        <v>6+ Kilometre</v>
      </c>
      <c r="J897" s="8" t="str">
        <f>_xlfn.XLOOKUP($A897,'RAWDATA Cars Buyers DB'!$A:$A,'RAWDATA Cars Buyers DB'!J:J)</f>
        <v>Bremen</v>
      </c>
      <c r="K897" s="8">
        <f>_xlfn.XLOOKUP($A897,'RAWDATA Cars Buyers DB'!$A:$A,'RAWDATA Cars Buyers DB'!K:K)</f>
        <v>55</v>
      </c>
      <c r="L897" s="10" t="str">
        <f>IF(_xlfn.XLOOKUP($A897,'RAWDATA Cars Buyers DB'!$A:$A,'RAWDATA Cars Buyers DB'!K:K)&gt;54,"Old ",IF(_xlfn.XLOOKUP($A897,'RAWDATA Cars Buyers DB'!$A:$A,'RAWDATA Cars Buyers DB'!K:K)&gt;=31,"Middle Age ",IF(_xlfn.XLOOKUP($A897,'RAWDATA Cars Buyers DB'!$A:$A,'RAWDATA Cars Buyers DB'!K:K)&lt;31,"Adolescent","Invalid")))</f>
        <v xml:space="preserve">Old </v>
      </c>
      <c r="M897" s="8" t="str">
        <f>_xlfn.XLOOKUP($A897,'RAWDATA Cars Buyers DB'!$A:$A,'RAWDATA Cars Buyers DB'!L:L)</f>
        <v>No</v>
      </c>
    </row>
    <row r="898" spans="1:13">
      <c r="A898" s="6">
        <v>33275</v>
      </c>
      <c r="B898" s="10" t="str">
        <f>IF(_xlfn.XLOOKUP($A898,'RAWDATA Cars Buyers DB'!$A:$A,'RAWDATA Cars Buyers DB'!B:B)="S","Single","Married")</f>
        <v>Single</v>
      </c>
      <c r="C898" s="10" t="str">
        <f>IF(_xlfn.XLOOKUP($A898,'RAWDATA Cars Buyers DB'!$A:$A,'RAWDATA Cars Buyers DB'!C:C)="F","Female","Male")</f>
        <v>Female</v>
      </c>
      <c r="D898" s="7">
        <f>_xlfn.XLOOKUP($A898,'RAWDATA Cars Buyers DB'!$A:$A,'RAWDATA Cars Buyers DB'!D:D)</f>
        <v>86668</v>
      </c>
      <c r="E898" s="8">
        <f>_xlfn.XLOOKUP($A898,'RAWDATA Cars Buyers DB'!$A:$A,'RAWDATA Cars Buyers DB'!E:E)</f>
        <v>3</v>
      </c>
      <c r="F898" s="8" t="str">
        <f>_xlfn.XLOOKUP($A898,'RAWDATA Cars Buyers DB'!$A:$A,'RAWDATA Cars Buyers DB'!F:F)</f>
        <v>Graduate Degree</v>
      </c>
      <c r="G898" s="8" t="str">
        <f>_xlfn.XLOOKUP($A898,'RAWDATA Cars Buyers DB'!$A:$A,'RAWDATA Cars Buyers DB'!G:G)</f>
        <v>Professional</v>
      </c>
      <c r="H898" s="8" t="str">
        <f>_xlfn.XLOOKUP($A898,'RAWDATA Cars Buyers DB'!$A:$A,'RAWDATA Cars Buyers DB'!H:H)</f>
        <v>No</v>
      </c>
      <c r="I898" s="8" t="str">
        <f>_xlfn.XLOOKUP($A898,'RAWDATA Cars Buyers DB'!$A:$A,'RAWDATA Cars Buyers DB'!I:I)</f>
        <v>1–2 Kilometre</v>
      </c>
      <c r="J898" s="8" t="str">
        <f>_xlfn.XLOOKUP($A898,'RAWDATA Cars Buyers DB'!$A:$A,'RAWDATA Cars Buyers DB'!J:J)</f>
        <v>Rhineland-Palatinate</v>
      </c>
      <c r="K898" s="8">
        <f>_xlfn.XLOOKUP($A898,'RAWDATA Cars Buyers DB'!$A:$A,'RAWDATA Cars Buyers DB'!K:K)</f>
        <v>60</v>
      </c>
      <c r="L898" s="10" t="str">
        <f>IF(_xlfn.XLOOKUP($A898,'RAWDATA Cars Buyers DB'!$A:$A,'RAWDATA Cars Buyers DB'!K:K)&gt;54,"Old ",IF(_xlfn.XLOOKUP($A898,'RAWDATA Cars Buyers DB'!$A:$A,'RAWDATA Cars Buyers DB'!K:K)&gt;=31,"Middle Age ",IF(_xlfn.XLOOKUP($A898,'RAWDATA Cars Buyers DB'!$A:$A,'RAWDATA Cars Buyers DB'!K:K)&lt;31,"Adolescent","Invalid")))</f>
        <v xml:space="preserve">Old </v>
      </c>
      <c r="M898" s="8" t="str">
        <f>_xlfn.XLOOKUP($A898,'RAWDATA Cars Buyers DB'!$A:$A,'RAWDATA Cars Buyers DB'!L:L)</f>
        <v>Yes</v>
      </c>
    </row>
    <row r="899" spans="1:13">
      <c r="A899" s="6">
        <v>82274</v>
      </c>
      <c r="B899" s="10" t="str">
        <f>IF(_xlfn.XLOOKUP($A899,'RAWDATA Cars Buyers DB'!$A:$A,'RAWDATA Cars Buyers DB'!B:B)="S","Single","Married")</f>
        <v>Married</v>
      </c>
      <c r="C899" s="10" t="str">
        <f>IF(_xlfn.XLOOKUP($A899,'RAWDATA Cars Buyers DB'!$A:$A,'RAWDATA Cars Buyers DB'!C:C)="F","Female","Male")</f>
        <v>Male</v>
      </c>
      <c r="D899" s="7">
        <f>_xlfn.XLOOKUP($A899,'RAWDATA Cars Buyers DB'!$A:$A,'RAWDATA Cars Buyers DB'!D:D)</f>
        <v>119003</v>
      </c>
      <c r="E899" s="8">
        <f>_xlfn.XLOOKUP($A899,'RAWDATA Cars Buyers DB'!$A:$A,'RAWDATA Cars Buyers DB'!E:E)</f>
        <v>5</v>
      </c>
      <c r="F899" s="8" t="str">
        <f>_xlfn.XLOOKUP($A899,'RAWDATA Cars Buyers DB'!$A:$A,'RAWDATA Cars Buyers DB'!F:F)</f>
        <v>Partial College</v>
      </c>
      <c r="G899" s="8" t="str">
        <f>_xlfn.XLOOKUP($A899,'RAWDATA Cars Buyers DB'!$A:$A,'RAWDATA Cars Buyers DB'!G:G)</f>
        <v>Clerical</v>
      </c>
      <c r="H899" s="8" t="str">
        <f>_xlfn.XLOOKUP($A899,'RAWDATA Cars Buyers DB'!$A:$A,'RAWDATA Cars Buyers DB'!H:H)</f>
        <v>Yes</v>
      </c>
      <c r="I899" s="8" t="str">
        <f>_xlfn.XLOOKUP($A899,'RAWDATA Cars Buyers DB'!$A:$A,'RAWDATA Cars Buyers DB'!I:I)</f>
        <v>4–6 Kilometre</v>
      </c>
      <c r="J899" s="8" t="str">
        <f>_xlfn.XLOOKUP($A899,'RAWDATA Cars Buyers DB'!$A:$A,'RAWDATA Cars Buyers DB'!J:J)</f>
        <v>Mecklenburg-Vorpommern</v>
      </c>
      <c r="K899" s="8">
        <f>_xlfn.XLOOKUP($A899,'RAWDATA Cars Buyers DB'!$A:$A,'RAWDATA Cars Buyers DB'!K:K)</f>
        <v>47</v>
      </c>
      <c r="L899" s="10" t="str">
        <f>IF(_xlfn.XLOOKUP($A899,'RAWDATA Cars Buyers DB'!$A:$A,'RAWDATA Cars Buyers DB'!K:K)&gt;54,"Old ",IF(_xlfn.XLOOKUP($A899,'RAWDATA Cars Buyers DB'!$A:$A,'RAWDATA Cars Buyers DB'!K:K)&gt;=31,"Middle Age ",IF(_xlfn.XLOOKUP($A899,'RAWDATA Cars Buyers DB'!$A:$A,'RAWDATA Cars Buyers DB'!K:K)&lt;31,"Adolescent","Invalid")))</f>
        <v xml:space="preserve">Middle Age </v>
      </c>
      <c r="M899" s="8" t="str">
        <f>_xlfn.XLOOKUP($A899,'RAWDATA Cars Buyers DB'!$A:$A,'RAWDATA Cars Buyers DB'!L:L)</f>
        <v>No</v>
      </c>
    </row>
    <row r="900" spans="1:13">
      <c r="A900" s="6">
        <v>91449</v>
      </c>
      <c r="B900" s="10" t="str">
        <f>IF(_xlfn.XLOOKUP($A900,'RAWDATA Cars Buyers DB'!$A:$A,'RAWDATA Cars Buyers DB'!B:B)="S","Single","Married")</f>
        <v>Married</v>
      </c>
      <c r="C900" s="10" t="str">
        <f>IF(_xlfn.XLOOKUP($A900,'RAWDATA Cars Buyers DB'!$A:$A,'RAWDATA Cars Buyers DB'!C:C)="F","Female","Male")</f>
        <v>Female</v>
      </c>
      <c r="D900" s="7">
        <f>_xlfn.XLOOKUP($A900,'RAWDATA Cars Buyers DB'!$A:$A,'RAWDATA Cars Buyers DB'!D:D)</f>
        <v>100070</v>
      </c>
      <c r="E900" s="8">
        <f>_xlfn.XLOOKUP($A900,'RAWDATA Cars Buyers DB'!$A:$A,'RAWDATA Cars Buyers DB'!E:E)</f>
        <v>5</v>
      </c>
      <c r="F900" s="8" t="str">
        <f>_xlfn.XLOOKUP($A900,'RAWDATA Cars Buyers DB'!$A:$A,'RAWDATA Cars Buyers DB'!F:F)</f>
        <v>Graduate Degree</v>
      </c>
      <c r="G900" s="8" t="str">
        <f>_xlfn.XLOOKUP($A900,'RAWDATA Cars Buyers DB'!$A:$A,'RAWDATA Cars Buyers DB'!G:G)</f>
        <v>Management</v>
      </c>
      <c r="H900" s="8" t="str">
        <f>_xlfn.XLOOKUP($A900,'RAWDATA Cars Buyers DB'!$A:$A,'RAWDATA Cars Buyers DB'!H:H)</f>
        <v>No</v>
      </c>
      <c r="I900" s="8" t="str">
        <f>_xlfn.XLOOKUP($A900,'RAWDATA Cars Buyers DB'!$A:$A,'RAWDATA Cars Buyers DB'!I:I)</f>
        <v>0–1 Kilometre</v>
      </c>
      <c r="J900" s="8" t="str">
        <f>_xlfn.XLOOKUP($A900,'RAWDATA Cars Buyers DB'!$A:$A,'RAWDATA Cars Buyers DB'!J:J)</f>
        <v>Hamburg</v>
      </c>
      <c r="K900" s="8">
        <f>_xlfn.XLOOKUP($A900,'RAWDATA Cars Buyers DB'!$A:$A,'RAWDATA Cars Buyers DB'!K:K)</f>
        <v>57</v>
      </c>
      <c r="L900" s="10" t="str">
        <f>IF(_xlfn.XLOOKUP($A900,'RAWDATA Cars Buyers DB'!$A:$A,'RAWDATA Cars Buyers DB'!K:K)&gt;54,"Old ",IF(_xlfn.XLOOKUP($A900,'RAWDATA Cars Buyers DB'!$A:$A,'RAWDATA Cars Buyers DB'!K:K)&gt;=31,"Middle Age ",IF(_xlfn.XLOOKUP($A900,'RAWDATA Cars Buyers DB'!$A:$A,'RAWDATA Cars Buyers DB'!K:K)&lt;31,"Adolescent","Invalid")))</f>
        <v xml:space="preserve">Old </v>
      </c>
      <c r="M900" s="8" t="str">
        <f>_xlfn.XLOOKUP($A900,'RAWDATA Cars Buyers DB'!$A:$A,'RAWDATA Cars Buyers DB'!L:L)</f>
        <v>Yes</v>
      </c>
    </row>
    <row r="901" spans="1:13">
      <c r="A901" s="6">
        <v>70004</v>
      </c>
      <c r="B901" s="10" t="str">
        <f>IF(_xlfn.XLOOKUP($A901,'RAWDATA Cars Buyers DB'!$A:$A,'RAWDATA Cars Buyers DB'!B:B)="S","Single","Married")</f>
        <v>Married</v>
      </c>
      <c r="C901" s="10" t="str">
        <f>IF(_xlfn.XLOOKUP($A901,'RAWDATA Cars Buyers DB'!$A:$A,'RAWDATA Cars Buyers DB'!C:C)="F","Female","Male")</f>
        <v>Male</v>
      </c>
      <c r="D901" s="7">
        <f>_xlfn.XLOOKUP($A901,'RAWDATA Cars Buyers DB'!$A:$A,'RAWDATA Cars Buyers DB'!D:D)</f>
        <v>109390</v>
      </c>
      <c r="E901" s="8">
        <f>_xlfn.XLOOKUP($A901,'RAWDATA Cars Buyers DB'!$A:$A,'RAWDATA Cars Buyers DB'!E:E)</f>
        <v>4</v>
      </c>
      <c r="F901" s="8" t="str">
        <f>_xlfn.XLOOKUP($A901,'RAWDATA Cars Buyers DB'!$A:$A,'RAWDATA Cars Buyers DB'!F:F)</f>
        <v>Partial College</v>
      </c>
      <c r="G901" s="8" t="str">
        <f>_xlfn.XLOOKUP($A901,'RAWDATA Cars Buyers DB'!$A:$A,'RAWDATA Cars Buyers DB'!G:G)</f>
        <v>Professional</v>
      </c>
      <c r="H901" s="8" t="str">
        <f>_xlfn.XLOOKUP($A901,'RAWDATA Cars Buyers DB'!$A:$A,'RAWDATA Cars Buyers DB'!H:H)</f>
        <v>Yes</v>
      </c>
      <c r="I901" s="8" t="str">
        <f>_xlfn.XLOOKUP($A901,'RAWDATA Cars Buyers DB'!$A:$A,'RAWDATA Cars Buyers DB'!I:I)</f>
        <v>2–4 Kilometre</v>
      </c>
      <c r="J901" s="8" t="str">
        <f>_xlfn.XLOOKUP($A901,'RAWDATA Cars Buyers DB'!$A:$A,'RAWDATA Cars Buyers DB'!J:J)</f>
        <v>Bavaria</v>
      </c>
      <c r="K901" s="8">
        <f>_xlfn.XLOOKUP($A901,'RAWDATA Cars Buyers DB'!$A:$A,'RAWDATA Cars Buyers DB'!K:K)</f>
        <v>52</v>
      </c>
      <c r="L901" s="10" t="str">
        <f>IF(_xlfn.XLOOKUP($A901,'RAWDATA Cars Buyers DB'!$A:$A,'RAWDATA Cars Buyers DB'!K:K)&gt;54,"Old ",IF(_xlfn.XLOOKUP($A901,'RAWDATA Cars Buyers DB'!$A:$A,'RAWDATA Cars Buyers DB'!K:K)&gt;=31,"Middle Age ",IF(_xlfn.XLOOKUP($A901,'RAWDATA Cars Buyers DB'!$A:$A,'RAWDATA Cars Buyers DB'!K:K)&lt;31,"Adolescent","Invalid")))</f>
        <v xml:space="preserve">Middle Age </v>
      </c>
      <c r="M901" s="8" t="str">
        <f>_xlfn.XLOOKUP($A901,'RAWDATA Cars Buyers DB'!$A:$A,'RAWDATA Cars Buyers DB'!L:L)</f>
        <v>Yes</v>
      </c>
    </row>
    <row r="902" spans="1:13">
      <c r="A902" s="6">
        <v>72981</v>
      </c>
      <c r="B902" s="10" t="str">
        <f>IF(_xlfn.XLOOKUP($A902,'RAWDATA Cars Buyers DB'!$A:$A,'RAWDATA Cars Buyers DB'!B:B)="S","Single","Married")</f>
        <v>Married</v>
      </c>
      <c r="C902" s="10" t="str">
        <f>IF(_xlfn.XLOOKUP($A902,'RAWDATA Cars Buyers DB'!$A:$A,'RAWDATA Cars Buyers DB'!C:C)="F","Female","Male")</f>
        <v>Female</v>
      </c>
      <c r="D902" s="7">
        <f>_xlfn.XLOOKUP($A902,'RAWDATA Cars Buyers DB'!$A:$A,'RAWDATA Cars Buyers DB'!D:D)</f>
        <v>62998</v>
      </c>
      <c r="E902" s="8">
        <f>_xlfn.XLOOKUP($A902,'RAWDATA Cars Buyers DB'!$A:$A,'RAWDATA Cars Buyers DB'!E:E)</f>
        <v>5</v>
      </c>
      <c r="F902" s="8" t="str">
        <f>_xlfn.XLOOKUP($A902,'RAWDATA Cars Buyers DB'!$A:$A,'RAWDATA Cars Buyers DB'!F:F)</f>
        <v>High School</v>
      </c>
      <c r="G902" s="8" t="str">
        <f>_xlfn.XLOOKUP($A902,'RAWDATA Cars Buyers DB'!$A:$A,'RAWDATA Cars Buyers DB'!G:G)</f>
        <v>Professional</v>
      </c>
      <c r="H902" s="8" t="str">
        <f>_xlfn.XLOOKUP($A902,'RAWDATA Cars Buyers DB'!$A:$A,'RAWDATA Cars Buyers DB'!H:H)</f>
        <v>Yes</v>
      </c>
      <c r="I902" s="8" t="str">
        <f>_xlfn.XLOOKUP($A902,'RAWDATA Cars Buyers DB'!$A:$A,'RAWDATA Cars Buyers DB'!I:I)</f>
        <v>6+ Kilometre</v>
      </c>
      <c r="J902" s="8" t="str">
        <f>_xlfn.XLOOKUP($A902,'RAWDATA Cars Buyers DB'!$A:$A,'RAWDATA Cars Buyers DB'!J:J)</f>
        <v>Mecklenburg-Vorpommern</v>
      </c>
      <c r="K902" s="8">
        <f>_xlfn.XLOOKUP($A902,'RAWDATA Cars Buyers DB'!$A:$A,'RAWDATA Cars Buyers DB'!K:K)</f>
        <v>61</v>
      </c>
      <c r="L902" s="10" t="str">
        <f>IF(_xlfn.XLOOKUP($A902,'RAWDATA Cars Buyers DB'!$A:$A,'RAWDATA Cars Buyers DB'!K:K)&gt;54,"Old ",IF(_xlfn.XLOOKUP($A902,'RAWDATA Cars Buyers DB'!$A:$A,'RAWDATA Cars Buyers DB'!K:K)&gt;=31,"Middle Age ",IF(_xlfn.XLOOKUP($A902,'RAWDATA Cars Buyers DB'!$A:$A,'RAWDATA Cars Buyers DB'!K:K)&lt;31,"Adolescent","Invalid")))</f>
        <v xml:space="preserve">Old </v>
      </c>
      <c r="M902" s="8" t="str">
        <f>_xlfn.XLOOKUP($A902,'RAWDATA Cars Buyers DB'!$A:$A,'RAWDATA Cars Buyers DB'!L:L)</f>
        <v>Yes</v>
      </c>
    </row>
    <row r="903" spans="1:13">
      <c r="A903" s="6">
        <v>94659</v>
      </c>
      <c r="B903" s="10" t="str">
        <f>IF(_xlfn.XLOOKUP($A903,'RAWDATA Cars Buyers DB'!$A:$A,'RAWDATA Cars Buyers DB'!B:B)="S","Single","Married")</f>
        <v>Married</v>
      </c>
      <c r="C903" s="10" t="str">
        <f>IF(_xlfn.XLOOKUP($A903,'RAWDATA Cars Buyers DB'!$A:$A,'RAWDATA Cars Buyers DB'!C:C)="F","Female","Male")</f>
        <v>Male</v>
      </c>
      <c r="D903" s="7">
        <f>_xlfn.XLOOKUP($A903,'RAWDATA Cars Buyers DB'!$A:$A,'RAWDATA Cars Buyers DB'!D:D)</f>
        <v>83814</v>
      </c>
      <c r="E903" s="8">
        <f>_xlfn.XLOOKUP($A903,'RAWDATA Cars Buyers DB'!$A:$A,'RAWDATA Cars Buyers DB'!E:E)</f>
        <v>1</v>
      </c>
      <c r="F903" s="8" t="str">
        <f>_xlfn.XLOOKUP($A903,'RAWDATA Cars Buyers DB'!$A:$A,'RAWDATA Cars Buyers DB'!F:F)</f>
        <v>Partial College</v>
      </c>
      <c r="G903" s="8" t="str">
        <f>_xlfn.XLOOKUP($A903,'RAWDATA Cars Buyers DB'!$A:$A,'RAWDATA Cars Buyers DB'!G:G)</f>
        <v>Professional</v>
      </c>
      <c r="H903" s="8" t="str">
        <f>_xlfn.XLOOKUP($A903,'RAWDATA Cars Buyers DB'!$A:$A,'RAWDATA Cars Buyers DB'!H:H)</f>
        <v>No</v>
      </c>
      <c r="I903" s="8" t="str">
        <f>_xlfn.XLOOKUP($A903,'RAWDATA Cars Buyers DB'!$A:$A,'RAWDATA Cars Buyers DB'!I:I)</f>
        <v>6+ Kilometre</v>
      </c>
      <c r="J903" s="8" t="str">
        <f>_xlfn.XLOOKUP($A903,'RAWDATA Cars Buyers DB'!$A:$A,'RAWDATA Cars Buyers DB'!J:J)</f>
        <v>Saarland</v>
      </c>
      <c r="K903" s="8">
        <f>_xlfn.XLOOKUP($A903,'RAWDATA Cars Buyers DB'!$A:$A,'RAWDATA Cars Buyers DB'!K:K)</f>
        <v>65</v>
      </c>
      <c r="L903" s="10" t="str">
        <f>IF(_xlfn.XLOOKUP($A903,'RAWDATA Cars Buyers DB'!$A:$A,'RAWDATA Cars Buyers DB'!K:K)&gt;54,"Old ",IF(_xlfn.XLOOKUP($A903,'RAWDATA Cars Buyers DB'!$A:$A,'RAWDATA Cars Buyers DB'!K:K)&gt;=31,"Middle Age ",IF(_xlfn.XLOOKUP($A903,'RAWDATA Cars Buyers DB'!$A:$A,'RAWDATA Cars Buyers DB'!K:K)&lt;31,"Adolescent","Invalid")))</f>
        <v xml:space="preserve">Old </v>
      </c>
      <c r="M903" s="8" t="str">
        <f>_xlfn.XLOOKUP($A903,'RAWDATA Cars Buyers DB'!$A:$A,'RAWDATA Cars Buyers DB'!L:L)</f>
        <v>Yes</v>
      </c>
    </row>
    <row r="904" spans="1:13">
      <c r="A904" s="6">
        <v>64553</v>
      </c>
      <c r="B904" s="10" t="str">
        <f>IF(_xlfn.XLOOKUP($A904,'RAWDATA Cars Buyers DB'!$A:$A,'RAWDATA Cars Buyers DB'!B:B)="S","Single","Married")</f>
        <v>Married</v>
      </c>
      <c r="C904" s="10" t="str">
        <f>IF(_xlfn.XLOOKUP($A904,'RAWDATA Cars Buyers DB'!$A:$A,'RAWDATA Cars Buyers DB'!C:C)="F","Female","Male")</f>
        <v>Female</v>
      </c>
      <c r="D904" s="7">
        <f>_xlfn.XLOOKUP($A904,'RAWDATA Cars Buyers DB'!$A:$A,'RAWDATA Cars Buyers DB'!D:D)</f>
        <v>65607</v>
      </c>
      <c r="E904" s="8">
        <f>_xlfn.XLOOKUP($A904,'RAWDATA Cars Buyers DB'!$A:$A,'RAWDATA Cars Buyers DB'!E:E)</f>
        <v>5</v>
      </c>
      <c r="F904" s="8" t="str">
        <f>_xlfn.XLOOKUP($A904,'RAWDATA Cars Buyers DB'!$A:$A,'RAWDATA Cars Buyers DB'!F:F)</f>
        <v>Graduate Degree</v>
      </c>
      <c r="G904" s="8" t="str">
        <f>_xlfn.XLOOKUP($A904,'RAWDATA Cars Buyers DB'!$A:$A,'RAWDATA Cars Buyers DB'!G:G)</f>
        <v>Skilled Manual</v>
      </c>
      <c r="H904" s="8" t="str">
        <f>_xlfn.XLOOKUP($A904,'RAWDATA Cars Buyers DB'!$A:$A,'RAWDATA Cars Buyers DB'!H:H)</f>
        <v>No</v>
      </c>
      <c r="I904" s="8" t="str">
        <f>_xlfn.XLOOKUP($A904,'RAWDATA Cars Buyers DB'!$A:$A,'RAWDATA Cars Buyers DB'!I:I)</f>
        <v>0–1 Kilometre</v>
      </c>
      <c r="J904" s="8" t="str">
        <f>_xlfn.XLOOKUP($A904,'RAWDATA Cars Buyers DB'!$A:$A,'RAWDATA Cars Buyers DB'!J:J)</f>
        <v>Hamburg</v>
      </c>
      <c r="K904" s="8">
        <f>_xlfn.XLOOKUP($A904,'RAWDATA Cars Buyers DB'!$A:$A,'RAWDATA Cars Buyers DB'!K:K)</f>
        <v>41</v>
      </c>
      <c r="L904" s="10" t="str">
        <f>IF(_xlfn.XLOOKUP($A904,'RAWDATA Cars Buyers DB'!$A:$A,'RAWDATA Cars Buyers DB'!K:K)&gt;54,"Old ",IF(_xlfn.XLOOKUP($A904,'RAWDATA Cars Buyers DB'!$A:$A,'RAWDATA Cars Buyers DB'!K:K)&gt;=31,"Middle Age ",IF(_xlfn.XLOOKUP($A904,'RAWDATA Cars Buyers DB'!$A:$A,'RAWDATA Cars Buyers DB'!K:K)&lt;31,"Adolescent","Invalid")))</f>
        <v xml:space="preserve">Middle Age </v>
      </c>
      <c r="M904" s="8" t="str">
        <f>_xlfn.XLOOKUP($A904,'RAWDATA Cars Buyers DB'!$A:$A,'RAWDATA Cars Buyers DB'!L:L)</f>
        <v>Yes</v>
      </c>
    </row>
    <row r="905" spans="1:13">
      <c r="A905" s="6">
        <v>58447</v>
      </c>
      <c r="B905" s="10" t="str">
        <f>IF(_xlfn.XLOOKUP($A905,'RAWDATA Cars Buyers DB'!$A:$A,'RAWDATA Cars Buyers DB'!B:B)="S","Single","Married")</f>
        <v>Married</v>
      </c>
      <c r="C905" s="10" t="str">
        <f>IF(_xlfn.XLOOKUP($A905,'RAWDATA Cars Buyers DB'!$A:$A,'RAWDATA Cars Buyers DB'!C:C)="F","Female","Male")</f>
        <v>Female</v>
      </c>
      <c r="D905" s="7">
        <f>_xlfn.XLOOKUP($A905,'RAWDATA Cars Buyers DB'!$A:$A,'RAWDATA Cars Buyers DB'!D:D)</f>
        <v>27812</v>
      </c>
      <c r="E905" s="8">
        <f>_xlfn.XLOOKUP($A905,'RAWDATA Cars Buyers DB'!$A:$A,'RAWDATA Cars Buyers DB'!E:E)</f>
        <v>2</v>
      </c>
      <c r="F905" s="8" t="str">
        <f>_xlfn.XLOOKUP($A905,'RAWDATA Cars Buyers DB'!$A:$A,'RAWDATA Cars Buyers DB'!F:F)</f>
        <v>Graduate Degree</v>
      </c>
      <c r="G905" s="8" t="str">
        <f>_xlfn.XLOOKUP($A905,'RAWDATA Cars Buyers DB'!$A:$A,'RAWDATA Cars Buyers DB'!G:G)</f>
        <v>Clerical</v>
      </c>
      <c r="H905" s="8" t="str">
        <f>_xlfn.XLOOKUP($A905,'RAWDATA Cars Buyers DB'!$A:$A,'RAWDATA Cars Buyers DB'!H:H)</f>
        <v>Yes</v>
      </c>
      <c r="I905" s="8" t="str">
        <f>_xlfn.XLOOKUP($A905,'RAWDATA Cars Buyers DB'!$A:$A,'RAWDATA Cars Buyers DB'!I:I)</f>
        <v>4–6 Kilometre</v>
      </c>
      <c r="J905" s="8" t="str">
        <f>_xlfn.XLOOKUP($A905,'RAWDATA Cars Buyers DB'!$A:$A,'RAWDATA Cars Buyers DB'!J:J)</f>
        <v>Saarland</v>
      </c>
      <c r="K905" s="8">
        <f>_xlfn.XLOOKUP($A905,'RAWDATA Cars Buyers DB'!$A:$A,'RAWDATA Cars Buyers DB'!K:K)</f>
        <v>44</v>
      </c>
      <c r="L905" s="10" t="str">
        <f>IF(_xlfn.XLOOKUP($A905,'RAWDATA Cars Buyers DB'!$A:$A,'RAWDATA Cars Buyers DB'!K:K)&gt;54,"Old ",IF(_xlfn.XLOOKUP($A905,'RAWDATA Cars Buyers DB'!$A:$A,'RAWDATA Cars Buyers DB'!K:K)&gt;=31,"Middle Age ",IF(_xlfn.XLOOKUP($A905,'RAWDATA Cars Buyers DB'!$A:$A,'RAWDATA Cars Buyers DB'!K:K)&lt;31,"Adolescent","Invalid")))</f>
        <v xml:space="preserve">Middle Age </v>
      </c>
      <c r="M905" s="8" t="str">
        <f>_xlfn.XLOOKUP($A905,'RAWDATA Cars Buyers DB'!$A:$A,'RAWDATA Cars Buyers DB'!L:L)</f>
        <v>Yes</v>
      </c>
    </row>
    <row r="906" spans="1:13">
      <c r="A906" s="6">
        <v>44529</v>
      </c>
      <c r="B906" s="10" t="str">
        <f>IF(_xlfn.XLOOKUP($A906,'RAWDATA Cars Buyers DB'!$A:$A,'RAWDATA Cars Buyers DB'!B:B)="S","Single","Married")</f>
        <v>Married</v>
      </c>
      <c r="C906" s="10" t="str">
        <f>IF(_xlfn.XLOOKUP($A906,'RAWDATA Cars Buyers DB'!$A:$A,'RAWDATA Cars Buyers DB'!C:C)="F","Female","Male")</f>
        <v>Male</v>
      </c>
      <c r="D906" s="7">
        <f>_xlfn.XLOOKUP($A906,'RAWDATA Cars Buyers DB'!$A:$A,'RAWDATA Cars Buyers DB'!D:D)</f>
        <v>81844</v>
      </c>
      <c r="E906" s="8">
        <f>_xlfn.XLOOKUP($A906,'RAWDATA Cars Buyers DB'!$A:$A,'RAWDATA Cars Buyers DB'!E:E)</f>
        <v>3</v>
      </c>
      <c r="F906" s="8" t="str">
        <f>_xlfn.XLOOKUP($A906,'RAWDATA Cars Buyers DB'!$A:$A,'RAWDATA Cars Buyers DB'!F:F)</f>
        <v>High School</v>
      </c>
      <c r="G906" s="8" t="str">
        <f>_xlfn.XLOOKUP($A906,'RAWDATA Cars Buyers DB'!$A:$A,'RAWDATA Cars Buyers DB'!G:G)</f>
        <v>Professional</v>
      </c>
      <c r="H906" s="8" t="str">
        <f>_xlfn.XLOOKUP($A906,'RAWDATA Cars Buyers DB'!$A:$A,'RAWDATA Cars Buyers DB'!H:H)</f>
        <v>No</v>
      </c>
      <c r="I906" s="8" t="str">
        <f>_xlfn.XLOOKUP($A906,'RAWDATA Cars Buyers DB'!$A:$A,'RAWDATA Cars Buyers DB'!I:I)</f>
        <v>1–2 Kilometre</v>
      </c>
      <c r="J906" s="8" t="str">
        <f>_xlfn.XLOOKUP($A906,'RAWDATA Cars Buyers DB'!$A:$A,'RAWDATA Cars Buyers DB'!J:J)</f>
        <v>Bavaria</v>
      </c>
      <c r="K906" s="8">
        <f>_xlfn.XLOOKUP($A906,'RAWDATA Cars Buyers DB'!$A:$A,'RAWDATA Cars Buyers DB'!K:K)</f>
        <v>37</v>
      </c>
      <c r="L906" s="10" t="str">
        <f>IF(_xlfn.XLOOKUP($A906,'RAWDATA Cars Buyers DB'!$A:$A,'RAWDATA Cars Buyers DB'!K:K)&gt;54,"Old ",IF(_xlfn.XLOOKUP($A906,'RAWDATA Cars Buyers DB'!$A:$A,'RAWDATA Cars Buyers DB'!K:K)&gt;=31,"Middle Age ",IF(_xlfn.XLOOKUP($A906,'RAWDATA Cars Buyers DB'!$A:$A,'RAWDATA Cars Buyers DB'!K:K)&lt;31,"Adolescent","Invalid")))</f>
        <v xml:space="preserve">Middle Age </v>
      </c>
      <c r="M906" s="8" t="str">
        <f>_xlfn.XLOOKUP($A906,'RAWDATA Cars Buyers DB'!$A:$A,'RAWDATA Cars Buyers DB'!L:L)</f>
        <v>Yes</v>
      </c>
    </row>
    <row r="907" spans="1:13">
      <c r="A907" s="6">
        <v>85703</v>
      </c>
      <c r="B907" s="10" t="str">
        <f>IF(_xlfn.XLOOKUP($A907,'RAWDATA Cars Buyers DB'!$A:$A,'RAWDATA Cars Buyers DB'!B:B)="S","Single","Married")</f>
        <v>Married</v>
      </c>
      <c r="C907" s="10" t="str">
        <f>IF(_xlfn.XLOOKUP($A907,'RAWDATA Cars Buyers DB'!$A:$A,'RAWDATA Cars Buyers DB'!C:C)="F","Female","Male")</f>
        <v>Female</v>
      </c>
      <c r="D907" s="7">
        <f>_xlfn.XLOOKUP($A907,'RAWDATA Cars Buyers DB'!$A:$A,'RAWDATA Cars Buyers DB'!D:D)</f>
        <v>90093</v>
      </c>
      <c r="E907" s="8">
        <f>_xlfn.XLOOKUP($A907,'RAWDATA Cars Buyers DB'!$A:$A,'RAWDATA Cars Buyers DB'!E:E)</f>
        <v>3</v>
      </c>
      <c r="F907" s="8" t="str">
        <f>_xlfn.XLOOKUP($A907,'RAWDATA Cars Buyers DB'!$A:$A,'RAWDATA Cars Buyers DB'!F:F)</f>
        <v>Graduate Degree</v>
      </c>
      <c r="G907" s="8" t="str">
        <f>_xlfn.XLOOKUP($A907,'RAWDATA Cars Buyers DB'!$A:$A,'RAWDATA Cars Buyers DB'!G:G)</f>
        <v>Skilled Manual</v>
      </c>
      <c r="H907" s="8" t="str">
        <f>_xlfn.XLOOKUP($A907,'RAWDATA Cars Buyers DB'!$A:$A,'RAWDATA Cars Buyers DB'!H:H)</f>
        <v>No</v>
      </c>
      <c r="I907" s="8" t="str">
        <f>_xlfn.XLOOKUP($A907,'RAWDATA Cars Buyers DB'!$A:$A,'RAWDATA Cars Buyers DB'!I:I)</f>
        <v>4–6 Kilometre</v>
      </c>
      <c r="J907" s="8" t="str">
        <f>_xlfn.XLOOKUP($A907,'RAWDATA Cars Buyers DB'!$A:$A,'RAWDATA Cars Buyers DB'!J:J)</f>
        <v>Baden-Württemberg</v>
      </c>
      <c r="K907" s="8">
        <f>_xlfn.XLOOKUP($A907,'RAWDATA Cars Buyers DB'!$A:$A,'RAWDATA Cars Buyers DB'!K:K)</f>
        <v>25</v>
      </c>
      <c r="L907" s="10" t="str">
        <f>IF(_xlfn.XLOOKUP($A907,'RAWDATA Cars Buyers DB'!$A:$A,'RAWDATA Cars Buyers DB'!K:K)&gt;54,"Old ",IF(_xlfn.XLOOKUP($A907,'RAWDATA Cars Buyers DB'!$A:$A,'RAWDATA Cars Buyers DB'!K:K)&gt;=31,"Middle Age ",IF(_xlfn.XLOOKUP($A907,'RAWDATA Cars Buyers DB'!$A:$A,'RAWDATA Cars Buyers DB'!K:K)&lt;31,"Adolescent","Invalid")))</f>
        <v>Adolescent</v>
      </c>
      <c r="M907" s="8" t="str">
        <f>_xlfn.XLOOKUP($A907,'RAWDATA Cars Buyers DB'!$A:$A,'RAWDATA Cars Buyers DB'!L:L)</f>
        <v>No</v>
      </c>
    </row>
    <row r="908" spans="1:13">
      <c r="A908" s="6">
        <v>86090</v>
      </c>
      <c r="B908" s="10" t="str">
        <f>IF(_xlfn.XLOOKUP($A908,'RAWDATA Cars Buyers DB'!$A:$A,'RAWDATA Cars Buyers DB'!B:B)="S","Single","Married")</f>
        <v>Married</v>
      </c>
      <c r="C908" s="10" t="str">
        <f>IF(_xlfn.XLOOKUP($A908,'RAWDATA Cars Buyers DB'!$A:$A,'RAWDATA Cars Buyers DB'!C:C)="F","Female","Male")</f>
        <v>Male</v>
      </c>
      <c r="D908" s="7">
        <f>_xlfn.XLOOKUP($A908,'RAWDATA Cars Buyers DB'!$A:$A,'RAWDATA Cars Buyers DB'!D:D)</f>
        <v>22179</v>
      </c>
      <c r="E908" s="8">
        <f>_xlfn.XLOOKUP($A908,'RAWDATA Cars Buyers DB'!$A:$A,'RAWDATA Cars Buyers DB'!E:E)</f>
        <v>5</v>
      </c>
      <c r="F908" s="8" t="str">
        <f>_xlfn.XLOOKUP($A908,'RAWDATA Cars Buyers DB'!$A:$A,'RAWDATA Cars Buyers DB'!F:F)</f>
        <v>Partial College</v>
      </c>
      <c r="G908" s="8" t="str">
        <f>_xlfn.XLOOKUP($A908,'RAWDATA Cars Buyers DB'!$A:$A,'RAWDATA Cars Buyers DB'!G:G)</f>
        <v>Management</v>
      </c>
      <c r="H908" s="8" t="str">
        <f>_xlfn.XLOOKUP($A908,'RAWDATA Cars Buyers DB'!$A:$A,'RAWDATA Cars Buyers DB'!H:H)</f>
        <v>No</v>
      </c>
      <c r="I908" s="8" t="str">
        <f>_xlfn.XLOOKUP($A908,'RAWDATA Cars Buyers DB'!$A:$A,'RAWDATA Cars Buyers DB'!I:I)</f>
        <v>4–6 Kilometre</v>
      </c>
      <c r="J908" s="8" t="str">
        <f>_xlfn.XLOOKUP($A908,'RAWDATA Cars Buyers DB'!$A:$A,'RAWDATA Cars Buyers DB'!J:J)</f>
        <v>Hamburg</v>
      </c>
      <c r="K908" s="8">
        <f>_xlfn.XLOOKUP($A908,'RAWDATA Cars Buyers DB'!$A:$A,'RAWDATA Cars Buyers DB'!K:K)</f>
        <v>37</v>
      </c>
      <c r="L908" s="10" t="str">
        <f>IF(_xlfn.XLOOKUP($A908,'RAWDATA Cars Buyers DB'!$A:$A,'RAWDATA Cars Buyers DB'!K:K)&gt;54,"Old ",IF(_xlfn.XLOOKUP($A908,'RAWDATA Cars Buyers DB'!$A:$A,'RAWDATA Cars Buyers DB'!K:K)&gt;=31,"Middle Age ",IF(_xlfn.XLOOKUP($A908,'RAWDATA Cars Buyers DB'!$A:$A,'RAWDATA Cars Buyers DB'!K:K)&lt;31,"Adolescent","Invalid")))</f>
        <v xml:space="preserve">Middle Age </v>
      </c>
      <c r="M908" s="8" t="str">
        <f>_xlfn.XLOOKUP($A908,'RAWDATA Cars Buyers DB'!$A:$A,'RAWDATA Cars Buyers DB'!L:L)</f>
        <v>Yes</v>
      </c>
    </row>
    <row r="909" spans="1:13">
      <c r="A909" s="6">
        <v>27260</v>
      </c>
      <c r="B909" s="10" t="str">
        <f>IF(_xlfn.XLOOKUP($A909,'RAWDATA Cars Buyers DB'!$A:$A,'RAWDATA Cars Buyers DB'!B:B)="S","Single","Married")</f>
        <v>Single</v>
      </c>
      <c r="C909" s="10" t="str">
        <f>IF(_xlfn.XLOOKUP($A909,'RAWDATA Cars Buyers DB'!$A:$A,'RAWDATA Cars Buyers DB'!C:C)="F","Female","Male")</f>
        <v>Male</v>
      </c>
      <c r="D909" s="7">
        <f>_xlfn.XLOOKUP($A909,'RAWDATA Cars Buyers DB'!$A:$A,'RAWDATA Cars Buyers DB'!D:D)</f>
        <v>63798</v>
      </c>
      <c r="E909" s="8">
        <f>_xlfn.XLOOKUP($A909,'RAWDATA Cars Buyers DB'!$A:$A,'RAWDATA Cars Buyers DB'!E:E)</f>
        <v>0</v>
      </c>
      <c r="F909" s="8" t="str">
        <f>_xlfn.XLOOKUP($A909,'RAWDATA Cars Buyers DB'!$A:$A,'RAWDATA Cars Buyers DB'!F:F)</f>
        <v>High School</v>
      </c>
      <c r="G909" s="8" t="str">
        <f>_xlfn.XLOOKUP($A909,'RAWDATA Cars Buyers DB'!$A:$A,'RAWDATA Cars Buyers DB'!G:G)</f>
        <v>Professional</v>
      </c>
      <c r="H909" s="8" t="str">
        <f>_xlfn.XLOOKUP($A909,'RAWDATA Cars Buyers DB'!$A:$A,'RAWDATA Cars Buyers DB'!H:H)</f>
        <v>Yes</v>
      </c>
      <c r="I909" s="8" t="str">
        <f>_xlfn.XLOOKUP($A909,'RAWDATA Cars Buyers DB'!$A:$A,'RAWDATA Cars Buyers DB'!I:I)</f>
        <v>4–6 Kilometre</v>
      </c>
      <c r="J909" s="8" t="str">
        <f>_xlfn.XLOOKUP($A909,'RAWDATA Cars Buyers DB'!$A:$A,'RAWDATA Cars Buyers DB'!J:J)</f>
        <v>Saxony-Anhalt</v>
      </c>
      <c r="K909" s="8">
        <f>_xlfn.XLOOKUP($A909,'RAWDATA Cars Buyers DB'!$A:$A,'RAWDATA Cars Buyers DB'!K:K)</f>
        <v>35</v>
      </c>
      <c r="L909" s="10" t="str">
        <f>IF(_xlfn.XLOOKUP($A909,'RAWDATA Cars Buyers DB'!$A:$A,'RAWDATA Cars Buyers DB'!K:K)&gt;54,"Old ",IF(_xlfn.XLOOKUP($A909,'RAWDATA Cars Buyers DB'!$A:$A,'RAWDATA Cars Buyers DB'!K:K)&gt;=31,"Middle Age ",IF(_xlfn.XLOOKUP($A909,'RAWDATA Cars Buyers DB'!$A:$A,'RAWDATA Cars Buyers DB'!K:K)&lt;31,"Adolescent","Invalid")))</f>
        <v xml:space="preserve">Middle Age </v>
      </c>
      <c r="M909" s="8" t="str">
        <f>_xlfn.XLOOKUP($A909,'RAWDATA Cars Buyers DB'!$A:$A,'RAWDATA Cars Buyers DB'!L:L)</f>
        <v>No</v>
      </c>
    </row>
    <row r="910" spans="1:13">
      <c r="A910" s="6">
        <v>13812</v>
      </c>
      <c r="B910" s="10" t="str">
        <f>IF(_xlfn.XLOOKUP($A910,'RAWDATA Cars Buyers DB'!$A:$A,'RAWDATA Cars Buyers DB'!B:B)="S","Single","Married")</f>
        <v>Married</v>
      </c>
      <c r="C910" s="10" t="str">
        <f>IF(_xlfn.XLOOKUP($A910,'RAWDATA Cars Buyers DB'!$A:$A,'RAWDATA Cars Buyers DB'!C:C)="F","Female","Male")</f>
        <v>Male</v>
      </c>
      <c r="D910" s="7">
        <f>_xlfn.XLOOKUP($A910,'RAWDATA Cars Buyers DB'!$A:$A,'RAWDATA Cars Buyers DB'!D:D)</f>
        <v>94601</v>
      </c>
      <c r="E910" s="8">
        <f>_xlfn.XLOOKUP($A910,'RAWDATA Cars Buyers DB'!$A:$A,'RAWDATA Cars Buyers DB'!E:E)</f>
        <v>0</v>
      </c>
      <c r="F910" s="8" t="str">
        <f>_xlfn.XLOOKUP($A910,'RAWDATA Cars Buyers DB'!$A:$A,'RAWDATA Cars Buyers DB'!F:F)</f>
        <v>Partial College</v>
      </c>
      <c r="G910" s="8" t="str">
        <f>_xlfn.XLOOKUP($A910,'RAWDATA Cars Buyers DB'!$A:$A,'RAWDATA Cars Buyers DB'!G:G)</f>
        <v>Skilled Manual</v>
      </c>
      <c r="H910" s="8" t="str">
        <f>_xlfn.XLOOKUP($A910,'RAWDATA Cars Buyers DB'!$A:$A,'RAWDATA Cars Buyers DB'!H:H)</f>
        <v>Yes</v>
      </c>
      <c r="I910" s="8" t="str">
        <f>_xlfn.XLOOKUP($A910,'RAWDATA Cars Buyers DB'!$A:$A,'RAWDATA Cars Buyers DB'!I:I)</f>
        <v>0–1 Kilometre</v>
      </c>
      <c r="J910" s="8" t="str">
        <f>_xlfn.XLOOKUP($A910,'RAWDATA Cars Buyers DB'!$A:$A,'RAWDATA Cars Buyers DB'!J:J)</f>
        <v>Baden-Württemberg</v>
      </c>
      <c r="K910" s="8">
        <f>_xlfn.XLOOKUP($A910,'RAWDATA Cars Buyers DB'!$A:$A,'RAWDATA Cars Buyers DB'!K:K)</f>
        <v>34</v>
      </c>
      <c r="L910" s="10" t="str">
        <f>IF(_xlfn.XLOOKUP($A910,'RAWDATA Cars Buyers DB'!$A:$A,'RAWDATA Cars Buyers DB'!K:K)&gt;54,"Old ",IF(_xlfn.XLOOKUP($A910,'RAWDATA Cars Buyers DB'!$A:$A,'RAWDATA Cars Buyers DB'!K:K)&gt;=31,"Middle Age ",IF(_xlfn.XLOOKUP($A910,'RAWDATA Cars Buyers DB'!$A:$A,'RAWDATA Cars Buyers DB'!K:K)&lt;31,"Adolescent","Invalid")))</f>
        <v xml:space="preserve">Middle Age </v>
      </c>
      <c r="M910" s="8" t="str">
        <f>_xlfn.XLOOKUP($A910,'RAWDATA Cars Buyers DB'!$A:$A,'RAWDATA Cars Buyers DB'!L:L)</f>
        <v>No</v>
      </c>
    </row>
    <row r="911" spans="1:13">
      <c r="A911" s="6">
        <v>38024</v>
      </c>
      <c r="B911" s="10" t="str">
        <f>IF(_xlfn.XLOOKUP($A911,'RAWDATA Cars Buyers DB'!$A:$A,'RAWDATA Cars Buyers DB'!B:B)="S","Single","Married")</f>
        <v>Single</v>
      </c>
      <c r="C911" s="10" t="str">
        <f>IF(_xlfn.XLOOKUP($A911,'RAWDATA Cars Buyers DB'!$A:$A,'RAWDATA Cars Buyers DB'!C:C)="F","Female","Male")</f>
        <v>Male</v>
      </c>
      <c r="D911" s="7">
        <f>_xlfn.XLOOKUP($A911,'RAWDATA Cars Buyers DB'!$A:$A,'RAWDATA Cars Buyers DB'!D:D)</f>
        <v>28275</v>
      </c>
      <c r="E911" s="8">
        <f>_xlfn.XLOOKUP($A911,'RAWDATA Cars Buyers DB'!$A:$A,'RAWDATA Cars Buyers DB'!E:E)</f>
        <v>1</v>
      </c>
      <c r="F911" s="8" t="str">
        <f>_xlfn.XLOOKUP($A911,'RAWDATA Cars Buyers DB'!$A:$A,'RAWDATA Cars Buyers DB'!F:F)</f>
        <v>Graduate Degree</v>
      </c>
      <c r="G911" s="8" t="str">
        <f>_xlfn.XLOOKUP($A911,'RAWDATA Cars Buyers DB'!$A:$A,'RAWDATA Cars Buyers DB'!G:G)</f>
        <v>Professional</v>
      </c>
      <c r="H911" s="8" t="str">
        <f>_xlfn.XLOOKUP($A911,'RAWDATA Cars Buyers DB'!$A:$A,'RAWDATA Cars Buyers DB'!H:H)</f>
        <v>No</v>
      </c>
      <c r="I911" s="8" t="str">
        <f>_xlfn.XLOOKUP($A911,'RAWDATA Cars Buyers DB'!$A:$A,'RAWDATA Cars Buyers DB'!I:I)</f>
        <v>0–1 Kilometre</v>
      </c>
      <c r="J911" s="8" t="str">
        <f>_xlfn.XLOOKUP($A911,'RAWDATA Cars Buyers DB'!$A:$A,'RAWDATA Cars Buyers DB'!J:J)</f>
        <v>Mecklenburg-Vorpommern</v>
      </c>
      <c r="K911" s="8">
        <f>_xlfn.XLOOKUP($A911,'RAWDATA Cars Buyers DB'!$A:$A,'RAWDATA Cars Buyers DB'!K:K)</f>
        <v>67</v>
      </c>
      <c r="L911" s="10" t="str">
        <f>IF(_xlfn.XLOOKUP($A911,'RAWDATA Cars Buyers DB'!$A:$A,'RAWDATA Cars Buyers DB'!K:K)&gt;54,"Old ",IF(_xlfn.XLOOKUP($A911,'RAWDATA Cars Buyers DB'!$A:$A,'RAWDATA Cars Buyers DB'!K:K)&gt;=31,"Middle Age ",IF(_xlfn.XLOOKUP($A911,'RAWDATA Cars Buyers DB'!$A:$A,'RAWDATA Cars Buyers DB'!K:K)&lt;31,"Adolescent","Invalid")))</f>
        <v xml:space="preserve">Old </v>
      </c>
      <c r="M911" s="8" t="str">
        <f>_xlfn.XLOOKUP($A911,'RAWDATA Cars Buyers DB'!$A:$A,'RAWDATA Cars Buyers DB'!L:L)</f>
        <v>No</v>
      </c>
    </row>
    <row r="912" spans="1:13">
      <c r="A912" s="6">
        <v>68656</v>
      </c>
      <c r="B912" s="10" t="str">
        <f>IF(_xlfn.XLOOKUP($A912,'RAWDATA Cars Buyers DB'!$A:$A,'RAWDATA Cars Buyers DB'!B:B)="S","Single","Married")</f>
        <v>Single</v>
      </c>
      <c r="C912" s="10" t="str">
        <f>IF(_xlfn.XLOOKUP($A912,'RAWDATA Cars Buyers DB'!$A:$A,'RAWDATA Cars Buyers DB'!C:C)="F","Female","Male")</f>
        <v>Male</v>
      </c>
      <c r="D912" s="7">
        <f>_xlfn.XLOOKUP($A912,'RAWDATA Cars Buyers DB'!$A:$A,'RAWDATA Cars Buyers DB'!D:D)</f>
        <v>70574</v>
      </c>
      <c r="E912" s="8">
        <f>_xlfn.XLOOKUP($A912,'RAWDATA Cars Buyers DB'!$A:$A,'RAWDATA Cars Buyers DB'!E:E)</f>
        <v>0</v>
      </c>
      <c r="F912" s="8" t="str">
        <f>_xlfn.XLOOKUP($A912,'RAWDATA Cars Buyers DB'!$A:$A,'RAWDATA Cars Buyers DB'!F:F)</f>
        <v>High School</v>
      </c>
      <c r="G912" s="8" t="str">
        <f>_xlfn.XLOOKUP($A912,'RAWDATA Cars Buyers DB'!$A:$A,'RAWDATA Cars Buyers DB'!G:G)</f>
        <v>Clerical</v>
      </c>
      <c r="H912" s="8" t="str">
        <f>_xlfn.XLOOKUP($A912,'RAWDATA Cars Buyers DB'!$A:$A,'RAWDATA Cars Buyers DB'!H:H)</f>
        <v>No</v>
      </c>
      <c r="I912" s="8" t="str">
        <f>_xlfn.XLOOKUP($A912,'RAWDATA Cars Buyers DB'!$A:$A,'RAWDATA Cars Buyers DB'!I:I)</f>
        <v>1–2 Kilometre</v>
      </c>
      <c r="J912" s="8" t="str">
        <f>_xlfn.XLOOKUP($A912,'RAWDATA Cars Buyers DB'!$A:$A,'RAWDATA Cars Buyers DB'!J:J)</f>
        <v>Lower Saxony</v>
      </c>
      <c r="K912" s="8">
        <f>_xlfn.XLOOKUP($A912,'RAWDATA Cars Buyers DB'!$A:$A,'RAWDATA Cars Buyers DB'!K:K)</f>
        <v>27</v>
      </c>
      <c r="L912" s="10" t="str">
        <f>IF(_xlfn.XLOOKUP($A912,'RAWDATA Cars Buyers DB'!$A:$A,'RAWDATA Cars Buyers DB'!K:K)&gt;54,"Old ",IF(_xlfn.XLOOKUP($A912,'RAWDATA Cars Buyers DB'!$A:$A,'RAWDATA Cars Buyers DB'!K:K)&gt;=31,"Middle Age ",IF(_xlfn.XLOOKUP($A912,'RAWDATA Cars Buyers DB'!$A:$A,'RAWDATA Cars Buyers DB'!K:K)&lt;31,"Adolescent","Invalid")))</f>
        <v>Adolescent</v>
      </c>
      <c r="M912" s="8" t="str">
        <f>_xlfn.XLOOKUP($A912,'RAWDATA Cars Buyers DB'!$A:$A,'RAWDATA Cars Buyers DB'!L:L)</f>
        <v>No</v>
      </c>
    </row>
    <row r="913" spans="1:13">
      <c r="A913" s="6">
        <v>37285</v>
      </c>
      <c r="B913" s="10" t="str">
        <f>IF(_xlfn.XLOOKUP($A913,'RAWDATA Cars Buyers DB'!$A:$A,'RAWDATA Cars Buyers DB'!B:B)="S","Single","Married")</f>
        <v>Married</v>
      </c>
      <c r="C913" s="10" t="str">
        <f>IF(_xlfn.XLOOKUP($A913,'RAWDATA Cars Buyers DB'!$A:$A,'RAWDATA Cars Buyers DB'!C:C)="F","Female","Male")</f>
        <v>Female</v>
      </c>
      <c r="D913" s="7">
        <f>_xlfn.XLOOKUP($A913,'RAWDATA Cars Buyers DB'!$A:$A,'RAWDATA Cars Buyers DB'!D:D)</f>
        <v>67857</v>
      </c>
      <c r="E913" s="8">
        <f>_xlfn.XLOOKUP($A913,'RAWDATA Cars Buyers DB'!$A:$A,'RAWDATA Cars Buyers DB'!E:E)</f>
        <v>1</v>
      </c>
      <c r="F913" s="8" t="str">
        <f>_xlfn.XLOOKUP($A913,'RAWDATA Cars Buyers DB'!$A:$A,'RAWDATA Cars Buyers DB'!F:F)</f>
        <v>Partial College</v>
      </c>
      <c r="G913" s="8" t="str">
        <f>_xlfn.XLOOKUP($A913,'RAWDATA Cars Buyers DB'!$A:$A,'RAWDATA Cars Buyers DB'!G:G)</f>
        <v>Clerical</v>
      </c>
      <c r="H913" s="8" t="str">
        <f>_xlfn.XLOOKUP($A913,'RAWDATA Cars Buyers DB'!$A:$A,'RAWDATA Cars Buyers DB'!H:H)</f>
        <v>Yes</v>
      </c>
      <c r="I913" s="8" t="str">
        <f>_xlfn.XLOOKUP($A913,'RAWDATA Cars Buyers DB'!$A:$A,'RAWDATA Cars Buyers DB'!I:I)</f>
        <v>4–6 Kilometre</v>
      </c>
      <c r="J913" s="8" t="str">
        <f>_xlfn.XLOOKUP($A913,'RAWDATA Cars Buyers DB'!$A:$A,'RAWDATA Cars Buyers DB'!J:J)</f>
        <v>Hesse</v>
      </c>
      <c r="K913" s="8">
        <f>_xlfn.XLOOKUP($A913,'RAWDATA Cars Buyers DB'!$A:$A,'RAWDATA Cars Buyers DB'!K:K)</f>
        <v>32</v>
      </c>
      <c r="L913" s="10" t="str">
        <f>IF(_xlfn.XLOOKUP($A913,'RAWDATA Cars Buyers DB'!$A:$A,'RAWDATA Cars Buyers DB'!K:K)&gt;54,"Old ",IF(_xlfn.XLOOKUP($A913,'RAWDATA Cars Buyers DB'!$A:$A,'RAWDATA Cars Buyers DB'!K:K)&gt;=31,"Middle Age ",IF(_xlfn.XLOOKUP($A913,'RAWDATA Cars Buyers DB'!$A:$A,'RAWDATA Cars Buyers DB'!K:K)&lt;31,"Adolescent","Invalid")))</f>
        <v xml:space="preserve">Middle Age </v>
      </c>
      <c r="M913" s="8" t="str">
        <f>_xlfn.XLOOKUP($A913,'RAWDATA Cars Buyers DB'!$A:$A,'RAWDATA Cars Buyers DB'!L:L)</f>
        <v>No</v>
      </c>
    </row>
    <row r="914" spans="1:13">
      <c r="A914" s="6">
        <v>11605</v>
      </c>
      <c r="B914" s="10" t="str">
        <f>IF(_xlfn.XLOOKUP($A914,'RAWDATA Cars Buyers DB'!$A:$A,'RAWDATA Cars Buyers DB'!B:B)="S","Single","Married")</f>
        <v>Single</v>
      </c>
      <c r="C914" s="10" t="str">
        <f>IF(_xlfn.XLOOKUP($A914,'RAWDATA Cars Buyers DB'!$A:$A,'RAWDATA Cars Buyers DB'!C:C)="F","Female","Male")</f>
        <v>Female</v>
      </c>
      <c r="D914" s="7">
        <f>_xlfn.XLOOKUP($A914,'RAWDATA Cars Buyers DB'!$A:$A,'RAWDATA Cars Buyers DB'!D:D)</f>
        <v>40700</v>
      </c>
      <c r="E914" s="8">
        <f>_xlfn.XLOOKUP($A914,'RAWDATA Cars Buyers DB'!$A:$A,'RAWDATA Cars Buyers DB'!E:E)</f>
        <v>4</v>
      </c>
      <c r="F914" s="8" t="str">
        <f>_xlfn.XLOOKUP($A914,'RAWDATA Cars Buyers DB'!$A:$A,'RAWDATA Cars Buyers DB'!F:F)</f>
        <v>Graduate Degree</v>
      </c>
      <c r="G914" s="8" t="str">
        <f>_xlfn.XLOOKUP($A914,'RAWDATA Cars Buyers DB'!$A:$A,'RAWDATA Cars Buyers DB'!G:G)</f>
        <v>Management</v>
      </c>
      <c r="H914" s="8" t="str">
        <f>_xlfn.XLOOKUP($A914,'RAWDATA Cars Buyers DB'!$A:$A,'RAWDATA Cars Buyers DB'!H:H)</f>
        <v>No</v>
      </c>
      <c r="I914" s="8" t="str">
        <f>_xlfn.XLOOKUP($A914,'RAWDATA Cars Buyers DB'!$A:$A,'RAWDATA Cars Buyers DB'!I:I)</f>
        <v>0–1 Kilometre</v>
      </c>
      <c r="J914" s="8" t="str">
        <f>_xlfn.XLOOKUP($A914,'RAWDATA Cars Buyers DB'!$A:$A,'RAWDATA Cars Buyers DB'!J:J)</f>
        <v>North Rhine-Westphalia</v>
      </c>
      <c r="K914" s="8">
        <f>_xlfn.XLOOKUP($A914,'RAWDATA Cars Buyers DB'!$A:$A,'RAWDATA Cars Buyers DB'!K:K)</f>
        <v>62</v>
      </c>
      <c r="L914" s="10" t="str">
        <f>IF(_xlfn.XLOOKUP($A914,'RAWDATA Cars Buyers DB'!$A:$A,'RAWDATA Cars Buyers DB'!K:K)&gt;54,"Old ",IF(_xlfn.XLOOKUP($A914,'RAWDATA Cars Buyers DB'!$A:$A,'RAWDATA Cars Buyers DB'!K:K)&gt;=31,"Middle Age ",IF(_xlfn.XLOOKUP($A914,'RAWDATA Cars Buyers DB'!$A:$A,'RAWDATA Cars Buyers DB'!K:K)&lt;31,"Adolescent","Invalid")))</f>
        <v xml:space="preserve">Old </v>
      </c>
      <c r="M914" s="8" t="str">
        <f>_xlfn.XLOOKUP($A914,'RAWDATA Cars Buyers DB'!$A:$A,'RAWDATA Cars Buyers DB'!L:L)</f>
        <v>No</v>
      </c>
    </row>
    <row r="915" spans="1:13">
      <c r="A915" s="6">
        <v>81158</v>
      </c>
      <c r="B915" s="10" t="str">
        <f>IF(_xlfn.XLOOKUP($A915,'RAWDATA Cars Buyers DB'!$A:$A,'RAWDATA Cars Buyers DB'!B:B)="S","Single","Married")</f>
        <v>Single</v>
      </c>
      <c r="C915" s="10" t="str">
        <f>IF(_xlfn.XLOOKUP($A915,'RAWDATA Cars Buyers DB'!$A:$A,'RAWDATA Cars Buyers DB'!C:C)="F","Female","Male")</f>
        <v>Male</v>
      </c>
      <c r="D915" s="7">
        <f>_xlfn.XLOOKUP($A915,'RAWDATA Cars Buyers DB'!$A:$A,'RAWDATA Cars Buyers DB'!D:D)</f>
        <v>59464</v>
      </c>
      <c r="E915" s="8">
        <f>_xlfn.XLOOKUP($A915,'RAWDATA Cars Buyers DB'!$A:$A,'RAWDATA Cars Buyers DB'!E:E)</f>
        <v>1</v>
      </c>
      <c r="F915" s="8" t="str">
        <f>_xlfn.XLOOKUP($A915,'RAWDATA Cars Buyers DB'!$A:$A,'RAWDATA Cars Buyers DB'!F:F)</f>
        <v>Graduate Degree</v>
      </c>
      <c r="G915" s="8" t="str">
        <f>_xlfn.XLOOKUP($A915,'RAWDATA Cars Buyers DB'!$A:$A,'RAWDATA Cars Buyers DB'!G:G)</f>
        <v>Professional</v>
      </c>
      <c r="H915" s="8" t="str">
        <f>_xlfn.XLOOKUP($A915,'RAWDATA Cars Buyers DB'!$A:$A,'RAWDATA Cars Buyers DB'!H:H)</f>
        <v>Yes</v>
      </c>
      <c r="I915" s="8" t="str">
        <f>_xlfn.XLOOKUP($A915,'RAWDATA Cars Buyers DB'!$A:$A,'RAWDATA Cars Buyers DB'!I:I)</f>
        <v>1–2 Kilometre</v>
      </c>
      <c r="J915" s="8" t="str">
        <f>_xlfn.XLOOKUP($A915,'RAWDATA Cars Buyers DB'!$A:$A,'RAWDATA Cars Buyers DB'!J:J)</f>
        <v>Bavaria</v>
      </c>
      <c r="K915" s="8">
        <f>_xlfn.XLOOKUP($A915,'RAWDATA Cars Buyers DB'!$A:$A,'RAWDATA Cars Buyers DB'!K:K)</f>
        <v>26</v>
      </c>
      <c r="L915" s="10" t="str">
        <f>IF(_xlfn.XLOOKUP($A915,'RAWDATA Cars Buyers DB'!$A:$A,'RAWDATA Cars Buyers DB'!K:K)&gt;54,"Old ",IF(_xlfn.XLOOKUP($A915,'RAWDATA Cars Buyers DB'!$A:$A,'RAWDATA Cars Buyers DB'!K:K)&gt;=31,"Middle Age ",IF(_xlfn.XLOOKUP($A915,'RAWDATA Cars Buyers DB'!$A:$A,'RAWDATA Cars Buyers DB'!K:K)&lt;31,"Adolescent","Invalid")))</f>
        <v>Adolescent</v>
      </c>
      <c r="M915" s="8" t="str">
        <f>_xlfn.XLOOKUP($A915,'RAWDATA Cars Buyers DB'!$A:$A,'RAWDATA Cars Buyers DB'!L:L)</f>
        <v>Yes</v>
      </c>
    </row>
    <row r="916" spans="1:13">
      <c r="A916" s="6">
        <v>82303</v>
      </c>
      <c r="B916" s="10" t="str">
        <f>IF(_xlfn.XLOOKUP($A916,'RAWDATA Cars Buyers DB'!$A:$A,'RAWDATA Cars Buyers DB'!B:B)="S","Single","Married")</f>
        <v>Single</v>
      </c>
      <c r="C916" s="10" t="str">
        <f>IF(_xlfn.XLOOKUP($A916,'RAWDATA Cars Buyers DB'!$A:$A,'RAWDATA Cars Buyers DB'!C:C)="F","Female","Male")</f>
        <v>Female</v>
      </c>
      <c r="D916" s="7">
        <f>_xlfn.XLOOKUP($A916,'RAWDATA Cars Buyers DB'!$A:$A,'RAWDATA Cars Buyers DB'!D:D)</f>
        <v>62351</v>
      </c>
      <c r="E916" s="8">
        <f>_xlfn.XLOOKUP($A916,'RAWDATA Cars Buyers DB'!$A:$A,'RAWDATA Cars Buyers DB'!E:E)</f>
        <v>0</v>
      </c>
      <c r="F916" s="8" t="str">
        <f>_xlfn.XLOOKUP($A916,'RAWDATA Cars Buyers DB'!$A:$A,'RAWDATA Cars Buyers DB'!F:F)</f>
        <v>Bachelors</v>
      </c>
      <c r="G916" s="8" t="str">
        <f>_xlfn.XLOOKUP($A916,'RAWDATA Cars Buyers DB'!$A:$A,'RAWDATA Cars Buyers DB'!G:G)</f>
        <v>Skilled Manual</v>
      </c>
      <c r="H916" s="8" t="str">
        <f>_xlfn.XLOOKUP($A916,'RAWDATA Cars Buyers DB'!$A:$A,'RAWDATA Cars Buyers DB'!H:H)</f>
        <v>No</v>
      </c>
      <c r="I916" s="8" t="str">
        <f>_xlfn.XLOOKUP($A916,'RAWDATA Cars Buyers DB'!$A:$A,'RAWDATA Cars Buyers DB'!I:I)</f>
        <v>1–2 Kilometre</v>
      </c>
      <c r="J916" s="8" t="str">
        <f>_xlfn.XLOOKUP($A916,'RAWDATA Cars Buyers DB'!$A:$A,'RAWDATA Cars Buyers DB'!J:J)</f>
        <v>Brandenburg</v>
      </c>
      <c r="K916" s="8">
        <f>_xlfn.XLOOKUP($A916,'RAWDATA Cars Buyers DB'!$A:$A,'RAWDATA Cars Buyers DB'!K:K)</f>
        <v>36</v>
      </c>
      <c r="L916" s="10" t="str">
        <f>IF(_xlfn.XLOOKUP($A916,'RAWDATA Cars Buyers DB'!$A:$A,'RAWDATA Cars Buyers DB'!K:K)&gt;54,"Old ",IF(_xlfn.XLOOKUP($A916,'RAWDATA Cars Buyers DB'!$A:$A,'RAWDATA Cars Buyers DB'!K:K)&gt;=31,"Middle Age ",IF(_xlfn.XLOOKUP($A916,'RAWDATA Cars Buyers DB'!$A:$A,'RAWDATA Cars Buyers DB'!K:K)&lt;31,"Adolescent","Invalid")))</f>
        <v xml:space="preserve">Middle Age </v>
      </c>
      <c r="M916" s="8" t="str">
        <f>_xlfn.XLOOKUP($A916,'RAWDATA Cars Buyers DB'!$A:$A,'RAWDATA Cars Buyers DB'!L:L)</f>
        <v>No</v>
      </c>
    </row>
    <row r="917" spans="1:13">
      <c r="A917" s="6">
        <v>37139</v>
      </c>
      <c r="B917" s="10" t="str">
        <f>IF(_xlfn.XLOOKUP($A917,'RAWDATA Cars Buyers DB'!$A:$A,'RAWDATA Cars Buyers DB'!B:B)="S","Single","Married")</f>
        <v>Married</v>
      </c>
      <c r="C917" s="10" t="str">
        <f>IF(_xlfn.XLOOKUP($A917,'RAWDATA Cars Buyers DB'!$A:$A,'RAWDATA Cars Buyers DB'!C:C)="F","Female","Male")</f>
        <v>Male</v>
      </c>
      <c r="D917" s="7">
        <f>_xlfn.XLOOKUP($A917,'RAWDATA Cars Buyers DB'!$A:$A,'RAWDATA Cars Buyers DB'!D:D)</f>
        <v>113330</v>
      </c>
      <c r="E917" s="8">
        <f>_xlfn.XLOOKUP($A917,'RAWDATA Cars Buyers DB'!$A:$A,'RAWDATA Cars Buyers DB'!E:E)</f>
        <v>5</v>
      </c>
      <c r="F917" s="8" t="str">
        <f>_xlfn.XLOOKUP($A917,'RAWDATA Cars Buyers DB'!$A:$A,'RAWDATA Cars Buyers DB'!F:F)</f>
        <v>Graduate Degree</v>
      </c>
      <c r="G917" s="8" t="str">
        <f>_xlfn.XLOOKUP($A917,'RAWDATA Cars Buyers DB'!$A:$A,'RAWDATA Cars Buyers DB'!G:G)</f>
        <v>Management</v>
      </c>
      <c r="H917" s="8" t="str">
        <f>_xlfn.XLOOKUP($A917,'RAWDATA Cars Buyers DB'!$A:$A,'RAWDATA Cars Buyers DB'!H:H)</f>
        <v>No</v>
      </c>
      <c r="I917" s="8" t="str">
        <f>_xlfn.XLOOKUP($A917,'RAWDATA Cars Buyers DB'!$A:$A,'RAWDATA Cars Buyers DB'!I:I)</f>
        <v>4–6 Kilometre</v>
      </c>
      <c r="J917" s="8" t="str">
        <f>_xlfn.XLOOKUP($A917,'RAWDATA Cars Buyers DB'!$A:$A,'RAWDATA Cars Buyers DB'!J:J)</f>
        <v>Baden-Württemberg</v>
      </c>
      <c r="K917" s="8">
        <f>_xlfn.XLOOKUP($A917,'RAWDATA Cars Buyers DB'!$A:$A,'RAWDATA Cars Buyers DB'!K:K)</f>
        <v>69</v>
      </c>
      <c r="L917" s="10" t="str">
        <f>IF(_xlfn.XLOOKUP($A917,'RAWDATA Cars Buyers DB'!$A:$A,'RAWDATA Cars Buyers DB'!K:K)&gt;54,"Old ",IF(_xlfn.XLOOKUP($A917,'RAWDATA Cars Buyers DB'!$A:$A,'RAWDATA Cars Buyers DB'!K:K)&gt;=31,"Middle Age ",IF(_xlfn.XLOOKUP($A917,'RAWDATA Cars Buyers DB'!$A:$A,'RAWDATA Cars Buyers DB'!K:K)&lt;31,"Adolescent","Invalid")))</f>
        <v xml:space="preserve">Old </v>
      </c>
      <c r="M917" s="8" t="str">
        <f>_xlfn.XLOOKUP($A917,'RAWDATA Cars Buyers DB'!$A:$A,'RAWDATA Cars Buyers DB'!L:L)</f>
        <v>No</v>
      </c>
    </row>
    <row r="918" spans="1:13">
      <c r="A918" s="6">
        <v>87149</v>
      </c>
      <c r="B918" s="10" t="str">
        <f>IF(_xlfn.XLOOKUP($A918,'RAWDATA Cars Buyers DB'!$A:$A,'RAWDATA Cars Buyers DB'!B:B)="S","Single","Married")</f>
        <v>Married</v>
      </c>
      <c r="C918" s="10" t="str">
        <f>IF(_xlfn.XLOOKUP($A918,'RAWDATA Cars Buyers DB'!$A:$A,'RAWDATA Cars Buyers DB'!C:C)="F","Female","Male")</f>
        <v>Female</v>
      </c>
      <c r="D918" s="7">
        <f>_xlfn.XLOOKUP($A918,'RAWDATA Cars Buyers DB'!$A:$A,'RAWDATA Cars Buyers DB'!D:D)</f>
        <v>114319</v>
      </c>
      <c r="E918" s="8">
        <f>_xlfn.XLOOKUP($A918,'RAWDATA Cars Buyers DB'!$A:$A,'RAWDATA Cars Buyers DB'!E:E)</f>
        <v>4</v>
      </c>
      <c r="F918" s="8" t="str">
        <f>_xlfn.XLOOKUP($A918,'RAWDATA Cars Buyers DB'!$A:$A,'RAWDATA Cars Buyers DB'!F:F)</f>
        <v>Partial College</v>
      </c>
      <c r="G918" s="8" t="str">
        <f>_xlfn.XLOOKUP($A918,'RAWDATA Cars Buyers DB'!$A:$A,'RAWDATA Cars Buyers DB'!G:G)</f>
        <v>Professional</v>
      </c>
      <c r="H918" s="8" t="str">
        <f>_xlfn.XLOOKUP($A918,'RAWDATA Cars Buyers DB'!$A:$A,'RAWDATA Cars Buyers DB'!H:H)</f>
        <v>No</v>
      </c>
      <c r="I918" s="8" t="str">
        <f>_xlfn.XLOOKUP($A918,'RAWDATA Cars Buyers DB'!$A:$A,'RAWDATA Cars Buyers DB'!I:I)</f>
        <v>2–4 Kilometre</v>
      </c>
      <c r="J918" s="8" t="str">
        <f>_xlfn.XLOOKUP($A918,'RAWDATA Cars Buyers DB'!$A:$A,'RAWDATA Cars Buyers DB'!J:J)</f>
        <v>Saarland</v>
      </c>
      <c r="K918" s="8">
        <f>_xlfn.XLOOKUP($A918,'RAWDATA Cars Buyers DB'!$A:$A,'RAWDATA Cars Buyers DB'!K:K)</f>
        <v>51</v>
      </c>
      <c r="L918" s="10" t="str">
        <f>IF(_xlfn.XLOOKUP($A918,'RAWDATA Cars Buyers DB'!$A:$A,'RAWDATA Cars Buyers DB'!K:K)&gt;54,"Old ",IF(_xlfn.XLOOKUP($A918,'RAWDATA Cars Buyers DB'!$A:$A,'RAWDATA Cars Buyers DB'!K:K)&gt;=31,"Middle Age ",IF(_xlfn.XLOOKUP($A918,'RAWDATA Cars Buyers DB'!$A:$A,'RAWDATA Cars Buyers DB'!K:K)&lt;31,"Adolescent","Invalid")))</f>
        <v xml:space="preserve">Middle Age </v>
      </c>
      <c r="M918" s="8" t="str">
        <f>_xlfn.XLOOKUP($A918,'RAWDATA Cars Buyers DB'!$A:$A,'RAWDATA Cars Buyers DB'!L:L)</f>
        <v>Yes</v>
      </c>
    </row>
    <row r="919" spans="1:13">
      <c r="A919" s="6">
        <v>66138</v>
      </c>
      <c r="B919" s="10" t="str">
        <f>IF(_xlfn.XLOOKUP($A919,'RAWDATA Cars Buyers DB'!$A:$A,'RAWDATA Cars Buyers DB'!B:B)="S","Single","Married")</f>
        <v>Married</v>
      </c>
      <c r="C919" s="10" t="str">
        <f>IF(_xlfn.XLOOKUP($A919,'RAWDATA Cars Buyers DB'!$A:$A,'RAWDATA Cars Buyers DB'!C:C)="F","Female","Male")</f>
        <v>Female</v>
      </c>
      <c r="D919" s="7">
        <f>_xlfn.XLOOKUP($A919,'RAWDATA Cars Buyers DB'!$A:$A,'RAWDATA Cars Buyers DB'!D:D)</f>
        <v>102534</v>
      </c>
      <c r="E919" s="8">
        <f>_xlfn.XLOOKUP($A919,'RAWDATA Cars Buyers DB'!$A:$A,'RAWDATA Cars Buyers DB'!E:E)</f>
        <v>0</v>
      </c>
      <c r="F919" s="8" t="str">
        <f>_xlfn.XLOOKUP($A919,'RAWDATA Cars Buyers DB'!$A:$A,'RAWDATA Cars Buyers DB'!F:F)</f>
        <v>High School</v>
      </c>
      <c r="G919" s="8" t="str">
        <f>_xlfn.XLOOKUP($A919,'RAWDATA Cars Buyers DB'!$A:$A,'RAWDATA Cars Buyers DB'!G:G)</f>
        <v>Management</v>
      </c>
      <c r="H919" s="8" t="str">
        <f>_xlfn.XLOOKUP($A919,'RAWDATA Cars Buyers DB'!$A:$A,'RAWDATA Cars Buyers DB'!H:H)</f>
        <v>Yes</v>
      </c>
      <c r="I919" s="8" t="str">
        <f>_xlfn.XLOOKUP($A919,'RAWDATA Cars Buyers DB'!$A:$A,'RAWDATA Cars Buyers DB'!I:I)</f>
        <v>4–6 Kilometre</v>
      </c>
      <c r="J919" s="8" t="str">
        <f>_xlfn.XLOOKUP($A919,'RAWDATA Cars Buyers DB'!$A:$A,'RAWDATA Cars Buyers DB'!J:J)</f>
        <v>Berlin</v>
      </c>
      <c r="K919" s="8">
        <f>_xlfn.XLOOKUP($A919,'RAWDATA Cars Buyers DB'!$A:$A,'RAWDATA Cars Buyers DB'!K:K)</f>
        <v>41</v>
      </c>
      <c r="L919" s="10" t="str">
        <f>IF(_xlfn.XLOOKUP($A919,'RAWDATA Cars Buyers DB'!$A:$A,'RAWDATA Cars Buyers DB'!K:K)&gt;54,"Old ",IF(_xlfn.XLOOKUP($A919,'RAWDATA Cars Buyers DB'!$A:$A,'RAWDATA Cars Buyers DB'!K:K)&gt;=31,"Middle Age ",IF(_xlfn.XLOOKUP($A919,'RAWDATA Cars Buyers DB'!$A:$A,'RAWDATA Cars Buyers DB'!K:K)&lt;31,"Adolescent","Invalid")))</f>
        <v xml:space="preserve">Middle Age </v>
      </c>
      <c r="M919" s="8" t="str">
        <f>_xlfn.XLOOKUP($A919,'RAWDATA Cars Buyers DB'!$A:$A,'RAWDATA Cars Buyers DB'!L:L)</f>
        <v>Yes</v>
      </c>
    </row>
    <row r="920" spans="1:13">
      <c r="A920" s="6">
        <v>86125</v>
      </c>
      <c r="B920" s="10" t="str">
        <f>IF(_xlfn.XLOOKUP($A920,'RAWDATA Cars Buyers DB'!$A:$A,'RAWDATA Cars Buyers DB'!B:B)="S","Single","Married")</f>
        <v>Married</v>
      </c>
      <c r="C920" s="10" t="str">
        <f>IF(_xlfn.XLOOKUP($A920,'RAWDATA Cars Buyers DB'!$A:$A,'RAWDATA Cars Buyers DB'!C:C)="F","Female","Male")</f>
        <v>Female</v>
      </c>
      <c r="D920" s="7">
        <f>_xlfn.XLOOKUP($A920,'RAWDATA Cars Buyers DB'!$A:$A,'RAWDATA Cars Buyers DB'!D:D)</f>
        <v>33869</v>
      </c>
      <c r="E920" s="8">
        <f>_xlfn.XLOOKUP($A920,'RAWDATA Cars Buyers DB'!$A:$A,'RAWDATA Cars Buyers DB'!E:E)</f>
        <v>1</v>
      </c>
      <c r="F920" s="8" t="str">
        <f>_xlfn.XLOOKUP($A920,'RAWDATA Cars Buyers DB'!$A:$A,'RAWDATA Cars Buyers DB'!F:F)</f>
        <v>Bachelors</v>
      </c>
      <c r="G920" s="8" t="str">
        <f>_xlfn.XLOOKUP($A920,'RAWDATA Cars Buyers DB'!$A:$A,'RAWDATA Cars Buyers DB'!G:G)</f>
        <v>Skilled Manual</v>
      </c>
      <c r="H920" s="8" t="str">
        <f>_xlfn.XLOOKUP($A920,'RAWDATA Cars Buyers DB'!$A:$A,'RAWDATA Cars Buyers DB'!H:H)</f>
        <v>Yes</v>
      </c>
      <c r="I920" s="8" t="str">
        <f>_xlfn.XLOOKUP($A920,'RAWDATA Cars Buyers DB'!$A:$A,'RAWDATA Cars Buyers DB'!I:I)</f>
        <v>2–4 Kilometre</v>
      </c>
      <c r="J920" s="8" t="str">
        <f>_xlfn.XLOOKUP($A920,'RAWDATA Cars Buyers DB'!$A:$A,'RAWDATA Cars Buyers DB'!J:J)</f>
        <v>Saxony</v>
      </c>
      <c r="K920" s="8">
        <f>_xlfn.XLOOKUP($A920,'RAWDATA Cars Buyers DB'!$A:$A,'RAWDATA Cars Buyers DB'!K:K)</f>
        <v>32</v>
      </c>
      <c r="L920" s="10" t="str">
        <f>IF(_xlfn.XLOOKUP($A920,'RAWDATA Cars Buyers DB'!$A:$A,'RAWDATA Cars Buyers DB'!K:K)&gt;54,"Old ",IF(_xlfn.XLOOKUP($A920,'RAWDATA Cars Buyers DB'!$A:$A,'RAWDATA Cars Buyers DB'!K:K)&gt;=31,"Middle Age ",IF(_xlfn.XLOOKUP($A920,'RAWDATA Cars Buyers DB'!$A:$A,'RAWDATA Cars Buyers DB'!K:K)&lt;31,"Adolescent","Invalid")))</f>
        <v xml:space="preserve">Middle Age </v>
      </c>
      <c r="M920" s="8" t="str">
        <f>_xlfn.XLOOKUP($A920,'RAWDATA Cars Buyers DB'!$A:$A,'RAWDATA Cars Buyers DB'!L:L)</f>
        <v>Yes</v>
      </c>
    </row>
    <row r="921" spans="1:13">
      <c r="A921" s="6">
        <v>23918</v>
      </c>
      <c r="B921" s="10" t="str">
        <f>IF(_xlfn.XLOOKUP($A921,'RAWDATA Cars Buyers DB'!$A:$A,'RAWDATA Cars Buyers DB'!B:B)="S","Single","Married")</f>
        <v>Single</v>
      </c>
      <c r="C921" s="10" t="str">
        <f>IF(_xlfn.XLOOKUP($A921,'RAWDATA Cars Buyers DB'!$A:$A,'RAWDATA Cars Buyers DB'!C:C)="F","Female","Male")</f>
        <v>Female</v>
      </c>
      <c r="D921" s="7">
        <f>_xlfn.XLOOKUP($A921,'RAWDATA Cars Buyers DB'!$A:$A,'RAWDATA Cars Buyers DB'!D:D)</f>
        <v>80315</v>
      </c>
      <c r="E921" s="8">
        <f>_xlfn.XLOOKUP($A921,'RAWDATA Cars Buyers DB'!$A:$A,'RAWDATA Cars Buyers DB'!E:E)</f>
        <v>2</v>
      </c>
      <c r="F921" s="8" t="str">
        <f>_xlfn.XLOOKUP($A921,'RAWDATA Cars Buyers DB'!$A:$A,'RAWDATA Cars Buyers DB'!F:F)</f>
        <v>Graduate Degree</v>
      </c>
      <c r="G921" s="8" t="str">
        <f>_xlfn.XLOOKUP($A921,'RAWDATA Cars Buyers DB'!$A:$A,'RAWDATA Cars Buyers DB'!G:G)</f>
        <v>Management</v>
      </c>
      <c r="H921" s="8" t="str">
        <f>_xlfn.XLOOKUP($A921,'RAWDATA Cars Buyers DB'!$A:$A,'RAWDATA Cars Buyers DB'!H:H)</f>
        <v>Yes</v>
      </c>
      <c r="I921" s="8" t="str">
        <f>_xlfn.XLOOKUP($A921,'RAWDATA Cars Buyers DB'!$A:$A,'RAWDATA Cars Buyers DB'!I:I)</f>
        <v>1–2 Kilometre</v>
      </c>
      <c r="J921" s="8" t="str">
        <f>_xlfn.XLOOKUP($A921,'RAWDATA Cars Buyers DB'!$A:$A,'RAWDATA Cars Buyers DB'!J:J)</f>
        <v>Bremen</v>
      </c>
      <c r="K921" s="8">
        <f>_xlfn.XLOOKUP($A921,'RAWDATA Cars Buyers DB'!$A:$A,'RAWDATA Cars Buyers DB'!K:K)</f>
        <v>66</v>
      </c>
      <c r="L921" s="10" t="str">
        <f>IF(_xlfn.XLOOKUP($A921,'RAWDATA Cars Buyers DB'!$A:$A,'RAWDATA Cars Buyers DB'!K:K)&gt;54,"Old ",IF(_xlfn.XLOOKUP($A921,'RAWDATA Cars Buyers DB'!$A:$A,'RAWDATA Cars Buyers DB'!K:K)&gt;=31,"Middle Age ",IF(_xlfn.XLOOKUP($A921,'RAWDATA Cars Buyers DB'!$A:$A,'RAWDATA Cars Buyers DB'!K:K)&lt;31,"Adolescent","Invalid")))</f>
        <v xml:space="preserve">Old </v>
      </c>
      <c r="M921" s="8" t="str">
        <f>_xlfn.XLOOKUP($A921,'RAWDATA Cars Buyers DB'!$A:$A,'RAWDATA Cars Buyers DB'!L:L)</f>
        <v>No</v>
      </c>
    </row>
    <row r="922" spans="1:13">
      <c r="A922" s="6">
        <v>95655</v>
      </c>
      <c r="B922" s="10" t="str">
        <f>IF(_xlfn.XLOOKUP($A922,'RAWDATA Cars Buyers DB'!$A:$A,'RAWDATA Cars Buyers DB'!B:B)="S","Single","Married")</f>
        <v>Single</v>
      </c>
      <c r="C922" s="10" t="str">
        <f>IF(_xlfn.XLOOKUP($A922,'RAWDATA Cars Buyers DB'!$A:$A,'RAWDATA Cars Buyers DB'!C:C)="F","Female","Male")</f>
        <v>Male</v>
      </c>
      <c r="D922" s="7">
        <f>_xlfn.XLOOKUP($A922,'RAWDATA Cars Buyers DB'!$A:$A,'RAWDATA Cars Buyers DB'!D:D)</f>
        <v>113688</v>
      </c>
      <c r="E922" s="8">
        <f>_xlfn.XLOOKUP($A922,'RAWDATA Cars Buyers DB'!$A:$A,'RAWDATA Cars Buyers DB'!E:E)</f>
        <v>3</v>
      </c>
      <c r="F922" s="8" t="str">
        <f>_xlfn.XLOOKUP($A922,'RAWDATA Cars Buyers DB'!$A:$A,'RAWDATA Cars Buyers DB'!F:F)</f>
        <v>Graduate Degree</v>
      </c>
      <c r="G922" s="8" t="str">
        <f>_xlfn.XLOOKUP($A922,'RAWDATA Cars Buyers DB'!$A:$A,'RAWDATA Cars Buyers DB'!G:G)</f>
        <v>Management</v>
      </c>
      <c r="H922" s="8" t="str">
        <f>_xlfn.XLOOKUP($A922,'RAWDATA Cars Buyers DB'!$A:$A,'RAWDATA Cars Buyers DB'!H:H)</f>
        <v>Yes</v>
      </c>
      <c r="I922" s="8" t="str">
        <f>_xlfn.XLOOKUP($A922,'RAWDATA Cars Buyers DB'!$A:$A,'RAWDATA Cars Buyers DB'!I:I)</f>
        <v>0–1 Kilometre</v>
      </c>
      <c r="J922" s="8" t="str">
        <f>_xlfn.XLOOKUP($A922,'RAWDATA Cars Buyers DB'!$A:$A,'RAWDATA Cars Buyers DB'!J:J)</f>
        <v>Bremen</v>
      </c>
      <c r="K922" s="8">
        <f>_xlfn.XLOOKUP($A922,'RAWDATA Cars Buyers DB'!$A:$A,'RAWDATA Cars Buyers DB'!K:K)</f>
        <v>42</v>
      </c>
      <c r="L922" s="10" t="str">
        <f>IF(_xlfn.XLOOKUP($A922,'RAWDATA Cars Buyers DB'!$A:$A,'RAWDATA Cars Buyers DB'!K:K)&gt;54,"Old ",IF(_xlfn.XLOOKUP($A922,'RAWDATA Cars Buyers DB'!$A:$A,'RAWDATA Cars Buyers DB'!K:K)&gt;=31,"Middle Age ",IF(_xlfn.XLOOKUP($A922,'RAWDATA Cars Buyers DB'!$A:$A,'RAWDATA Cars Buyers DB'!K:K)&lt;31,"Adolescent","Invalid")))</f>
        <v xml:space="preserve">Middle Age </v>
      </c>
      <c r="M922" s="8" t="str">
        <f>_xlfn.XLOOKUP($A922,'RAWDATA Cars Buyers DB'!$A:$A,'RAWDATA Cars Buyers DB'!L:L)</f>
        <v>Yes</v>
      </c>
    </row>
    <row r="923" spans="1:13">
      <c r="A923" s="6">
        <v>37446</v>
      </c>
      <c r="B923" s="10" t="str">
        <f>IF(_xlfn.XLOOKUP($A923,'RAWDATA Cars Buyers DB'!$A:$A,'RAWDATA Cars Buyers DB'!B:B)="S","Single","Married")</f>
        <v>Married</v>
      </c>
      <c r="C923" s="10" t="str">
        <f>IF(_xlfn.XLOOKUP($A923,'RAWDATA Cars Buyers DB'!$A:$A,'RAWDATA Cars Buyers DB'!C:C)="F","Female","Male")</f>
        <v>Male</v>
      </c>
      <c r="D923" s="7">
        <f>_xlfn.XLOOKUP($A923,'RAWDATA Cars Buyers DB'!$A:$A,'RAWDATA Cars Buyers DB'!D:D)</f>
        <v>40954</v>
      </c>
      <c r="E923" s="8">
        <f>_xlfn.XLOOKUP($A923,'RAWDATA Cars Buyers DB'!$A:$A,'RAWDATA Cars Buyers DB'!E:E)</f>
        <v>0</v>
      </c>
      <c r="F923" s="8" t="str">
        <f>_xlfn.XLOOKUP($A923,'RAWDATA Cars Buyers DB'!$A:$A,'RAWDATA Cars Buyers DB'!F:F)</f>
        <v>Graduate Degree</v>
      </c>
      <c r="G923" s="8" t="str">
        <f>_xlfn.XLOOKUP($A923,'RAWDATA Cars Buyers DB'!$A:$A,'RAWDATA Cars Buyers DB'!G:G)</f>
        <v>Management</v>
      </c>
      <c r="H923" s="8" t="str">
        <f>_xlfn.XLOOKUP($A923,'RAWDATA Cars Buyers DB'!$A:$A,'RAWDATA Cars Buyers DB'!H:H)</f>
        <v>No</v>
      </c>
      <c r="I923" s="8" t="str">
        <f>_xlfn.XLOOKUP($A923,'RAWDATA Cars Buyers DB'!$A:$A,'RAWDATA Cars Buyers DB'!I:I)</f>
        <v>6+ Kilometre</v>
      </c>
      <c r="J923" s="8" t="str">
        <f>_xlfn.XLOOKUP($A923,'RAWDATA Cars Buyers DB'!$A:$A,'RAWDATA Cars Buyers DB'!J:J)</f>
        <v>Bremen</v>
      </c>
      <c r="K923" s="8">
        <f>_xlfn.XLOOKUP($A923,'RAWDATA Cars Buyers DB'!$A:$A,'RAWDATA Cars Buyers DB'!K:K)</f>
        <v>48</v>
      </c>
      <c r="L923" s="10" t="str">
        <f>IF(_xlfn.XLOOKUP($A923,'RAWDATA Cars Buyers DB'!$A:$A,'RAWDATA Cars Buyers DB'!K:K)&gt;54,"Old ",IF(_xlfn.XLOOKUP($A923,'RAWDATA Cars Buyers DB'!$A:$A,'RAWDATA Cars Buyers DB'!K:K)&gt;=31,"Middle Age ",IF(_xlfn.XLOOKUP($A923,'RAWDATA Cars Buyers DB'!$A:$A,'RAWDATA Cars Buyers DB'!K:K)&lt;31,"Adolescent","Invalid")))</f>
        <v xml:space="preserve">Middle Age </v>
      </c>
      <c r="M923" s="8" t="str">
        <f>_xlfn.XLOOKUP($A923,'RAWDATA Cars Buyers DB'!$A:$A,'RAWDATA Cars Buyers DB'!L:L)</f>
        <v>No</v>
      </c>
    </row>
    <row r="924" spans="1:13">
      <c r="A924" s="6">
        <v>23046</v>
      </c>
      <c r="B924" s="10" t="str">
        <f>IF(_xlfn.XLOOKUP($A924,'RAWDATA Cars Buyers DB'!$A:$A,'RAWDATA Cars Buyers DB'!B:B)="S","Single","Married")</f>
        <v>Single</v>
      </c>
      <c r="C924" s="10" t="str">
        <f>IF(_xlfn.XLOOKUP($A924,'RAWDATA Cars Buyers DB'!$A:$A,'RAWDATA Cars Buyers DB'!C:C)="F","Female","Male")</f>
        <v>Female</v>
      </c>
      <c r="D924" s="7">
        <f>_xlfn.XLOOKUP($A924,'RAWDATA Cars Buyers DB'!$A:$A,'RAWDATA Cars Buyers DB'!D:D)</f>
        <v>51555</v>
      </c>
      <c r="E924" s="8">
        <f>_xlfn.XLOOKUP($A924,'RAWDATA Cars Buyers DB'!$A:$A,'RAWDATA Cars Buyers DB'!E:E)</f>
        <v>1</v>
      </c>
      <c r="F924" s="8" t="str">
        <f>_xlfn.XLOOKUP($A924,'RAWDATA Cars Buyers DB'!$A:$A,'RAWDATA Cars Buyers DB'!F:F)</f>
        <v>Partial College</v>
      </c>
      <c r="G924" s="8" t="str">
        <f>_xlfn.XLOOKUP($A924,'RAWDATA Cars Buyers DB'!$A:$A,'RAWDATA Cars Buyers DB'!G:G)</f>
        <v>Professional</v>
      </c>
      <c r="H924" s="8" t="str">
        <f>_xlfn.XLOOKUP($A924,'RAWDATA Cars Buyers DB'!$A:$A,'RAWDATA Cars Buyers DB'!H:H)</f>
        <v>No</v>
      </c>
      <c r="I924" s="8" t="str">
        <f>_xlfn.XLOOKUP($A924,'RAWDATA Cars Buyers DB'!$A:$A,'RAWDATA Cars Buyers DB'!I:I)</f>
        <v>1–2 Kilometre</v>
      </c>
      <c r="J924" s="8" t="str">
        <f>_xlfn.XLOOKUP($A924,'RAWDATA Cars Buyers DB'!$A:$A,'RAWDATA Cars Buyers DB'!J:J)</f>
        <v>Baden-Württemberg</v>
      </c>
      <c r="K924" s="8">
        <f>_xlfn.XLOOKUP($A924,'RAWDATA Cars Buyers DB'!$A:$A,'RAWDATA Cars Buyers DB'!K:K)</f>
        <v>41</v>
      </c>
      <c r="L924" s="10" t="str">
        <f>IF(_xlfn.XLOOKUP($A924,'RAWDATA Cars Buyers DB'!$A:$A,'RAWDATA Cars Buyers DB'!K:K)&gt;54,"Old ",IF(_xlfn.XLOOKUP($A924,'RAWDATA Cars Buyers DB'!$A:$A,'RAWDATA Cars Buyers DB'!K:K)&gt;=31,"Middle Age ",IF(_xlfn.XLOOKUP($A924,'RAWDATA Cars Buyers DB'!$A:$A,'RAWDATA Cars Buyers DB'!K:K)&lt;31,"Adolescent","Invalid")))</f>
        <v xml:space="preserve">Middle Age </v>
      </c>
      <c r="M924" s="8" t="str">
        <f>_xlfn.XLOOKUP($A924,'RAWDATA Cars Buyers DB'!$A:$A,'RAWDATA Cars Buyers DB'!L:L)</f>
        <v>Yes</v>
      </c>
    </row>
    <row r="925" spans="1:13">
      <c r="A925" s="6">
        <v>34818</v>
      </c>
      <c r="B925" s="10" t="str">
        <f>IF(_xlfn.XLOOKUP($A925,'RAWDATA Cars Buyers DB'!$A:$A,'RAWDATA Cars Buyers DB'!B:B)="S","Single","Married")</f>
        <v>Married</v>
      </c>
      <c r="C925" s="10" t="str">
        <f>IF(_xlfn.XLOOKUP($A925,'RAWDATA Cars Buyers DB'!$A:$A,'RAWDATA Cars Buyers DB'!C:C)="F","Female","Male")</f>
        <v>Female</v>
      </c>
      <c r="D925" s="7">
        <f>_xlfn.XLOOKUP($A925,'RAWDATA Cars Buyers DB'!$A:$A,'RAWDATA Cars Buyers DB'!D:D)</f>
        <v>83353</v>
      </c>
      <c r="E925" s="8">
        <f>_xlfn.XLOOKUP($A925,'RAWDATA Cars Buyers DB'!$A:$A,'RAWDATA Cars Buyers DB'!E:E)</f>
        <v>4</v>
      </c>
      <c r="F925" s="8" t="str">
        <f>_xlfn.XLOOKUP($A925,'RAWDATA Cars Buyers DB'!$A:$A,'RAWDATA Cars Buyers DB'!F:F)</f>
        <v>Bachelors</v>
      </c>
      <c r="G925" s="8" t="str">
        <f>_xlfn.XLOOKUP($A925,'RAWDATA Cars Buyers DB'!$A:$A,'RAWDATA Cars Buyers DB'!G:G)</f>
        <v>Skilled Manual</v>
      </c>
      <c r="H925" s="8" t="str">
        <f>_xlfn.XLOOKUP($A925,'RAWDATA Cars Buyers DB'!$A:$A,'RAWDATA Cars Buyers DB'!H:H)</f>
        <v>Yes</v>
      </c>
      <c r="I925" s="8" t="str">
        <f>_xlfn.XLOOKUP($A925,'RAWDATA Cars Buyers DB'!$A:$A,'RAWDATA Cars Buyers DB'!I:I)</f>
        <v>0–1 Kilometre</v>
      </c>
      <c r="J925" s="8" t="str">
        <f>_xlfn.XLOOKUP($A925,'RAWDATA Cars Buyers DB'!$A:$A,'RAWDATA Cars Buyers DB'!J:J)</f>
        <v>Thuringia</v>
      </c>
      <c r="K925" s="8">
        <f>_xlfn.XLOOKUP($A925,'RAWDATA Cars Buyers DB'!$A:$A,'RAWDATA Cars Buyers DB'!K:K)</f>
        <v>20</v>
      </c>
      <c r="L925" s="10" t="str">
        <f>IF(_xlfn.XLOOKUP($A925,'RAWDATA Cars Buyers DB'!$A:$A,'RAWDATA Cars Buyers DB'!K:K)&gt;54,"Old ",IF(_xlfn.XLOOKUP($A925,'RAWDATA Cars Buyers DB'!$A:$A,'RAWDATA Cars Buyers DB'!K:K)&gt;=31,"Middle Age ",IF(_xlfn.XLOOKUP($A925,'RAWDATA Cars Buyers DB'!$A:$A,'RAWDATA Cars Buyers DB'!K:K)&lt;31,"Adolescent","Invalid")))</f>
        <v>Adolescent</v>
      </c>
      <c r="M925" s="8" t="str">
        <f>_xlfn.XLOOKUP($A925,'RAWDATA Cars Buyers DB'!$A:$A,'RAWDATA Cars Buyers DB'!L:L)</f>
        <v>No</v>
      </c>
    </row>
    <row r="926" spans="1:13">
      <c r="A926" s="6">
        <v>14324</v>
      </c>
      <c r="B926" s="10" t="str">
        <f>IF(_xlfn.XLOOKUP($A926,'RAWDATA Cars Buyers DB'!$A:$A,'RAWDATA Cars Buyers DB'!B:B)="S","Single","Married")</f>
        <v>Married</v>
      </c>
      <c r="C926" s="10" t="str">
        <f>IF(_xlfn.XLOOKUP($A926,'RAWDATA Cars Buyers DB'!$A:$A,'RAWDATA Cars Buyers DB'!C:C)="F","Female","Male")</f>
        <v>Male</v>
      </c>
      <c r="D926" s="7">
        <f>_xlfn.XLOOKUP($A926,'RAWDATA Cars Buyers DB'!$A:$A,'RAWDATA Cars Buyers DB'!D:D)</f>
        <v>102190</v>
      </c>
      <c r="E926" s="8">
        <f>_xlfn.XLOOKUP($A926,'RAWDATA Cars Buyers DB'!$A:$A,'RAWDATA Cars Buyers DB'!E:E)</f>
        <v>0</v>
      </c>
      <c r="F926" s="8" t="str">
        <f>_xlfn.XLOOKUP($A926,'RAWDATA Cars Buyers DB'!$A:$A,'RAWDATA Cars Buyers DB'!F:F)</f>
        <v>Partial College</v>
      </c>
      <c r="G926" s="8" t="str">
        <f>_xlfn.XLOOKUP($A926,'RAWDATA Cars Buyers DB'!$A:$A,'RAWDATA Cars Buyers DB'!G:G)</f>
        <v>Clerical</v>
      </c>
      <c r="H926" s="8" t="str">
        <f>_xlfn.XLOOKUP($A926,'RAWDATA Cars Buyers DB'!$A:$A,'RAWDATA Cars Buyers DB'!H:H)</f>
        <v>No</v>
      </c>
      <c r="I926" s="8" t="str">
        <f>_xlfn.XLOOKUP($A926,'RAWDATA Cars Buyers DB'!$A:$A,'RAWDATA Cars Buyers DB'!I:I)</f>
        <v>1–2 Kilometre</v>
      </c>
      <c r="J926" s="8" t="str">
        <f>_xlfn.XLOOKUP($A926,'RAWDATA Cars Buyers DB'!$A:$A,'RAWDATA Cars Buyers DB'!J:J)</f>
        <v>Thuringia</v>
      </c>
      <c r="K926" s="8">
        <f>_xlfn.XLOOKUP($A926,'RAWDATA Cars Buyers DB'!$A:$A,'RAWDATA Cars Buyers DB'!K:K)</f>
        <v>48</v>
      </c>
      <c r="L926" s="10" t="str">
        <f>IF(_xlfn.XLOOKUP($A926,'RAWDATA Cars Buyers DB'!$A:$A,'RAWDATA Cars Buyers DB'!K:K)&gt;54,"Old ",IF(_xlfn.XLOOKUP($A926,'RAWDATA Cars Buyers DB'!$A:$A,'RAWDATA Cars Buyers DB'!K:K)&gt;=31,"Middle Age ",IF(_xlfn.XLOOKUP($A926,'RAWDATA Cars Buyers DB'!$A:$A,'RAWDATA Cars Buyers DB'!K:K)&lt;31,"Adolescent","Invalid")))</f>
        <v xml:space="preserve">Middle Age </v>
      </c>
      <c r="M926" s="8" t="str">
        <f>_xlfn.XLOOKUP($A926,'RAWDATA Cars Buyers DB'!$A:$A,'RAWDATA Cars Buyers DB'!L:L)</f>
        <v>Yes</v>
      </c>
    </row>
    <row r="927" spans="1:13">
      <c r="A927" s="6">
        <v>86323</v>
      </c>
      <c r="B927" s="10" t="str">
        <f>IF(_xlfn.XLOOKUP($A927,'RAWDATA Cars Buyers DB'!$A:$A,'RAWDATA Cars Buyers DB'!B:B)="S","Single","Married")</f>
        <v>Single</v>
      </c>
      <c r="C927" s="10" t="str">
        <f>IF(_xlfn.XLOOKUP($A927,'RAWDATA Cars Buyers DB'!$A:$A,'RAWDATA Cars Buyers DB'!C:C)="F","Female","Male")</f>
        <v>Female</v>
      </c>
      <c r="D927" s="7">
        <f>_xlfn.XLOOKUP($A927,'RAWDATA Cars Buyers DB'!$A:$A,'RAWDATA Cars Buyers DB'!D:D)</f>
        <v>65026</v>
      </c>
      <c r="E927" s="8">
        <f>_xlfn.XLOOKUP($A927,'RAWDATA Cars Buyers DB'!$A:$A,'RAWDATA Cars Buyers DB'!E:E)</f>
        <v>0</v>
      </c>
      <c r="F927" s="8" t="str">
        <f>_xlfn.XLOOKUP($A927,'RAWDATA Cars Buyers DB'!$A:$A,'RAWDATA Cars Buyers DB'!F:F)</f>
        <v>Bachelors</v>
      </c>
      <c r="G927" s="8" t="str">
        <f>_xlfn.XLOOKUP($A927,'RAWDATA Cars Buyers DB'!$A:$A,'RAWDATA Cars Buyers DB'!G:G)</f>
        <v>Professional</v>
      </c>
      <c r="H927" s="8" t="str">
        <f>_xlfn.XLOOKUP($A927,'RAWDATA Cars Buyers DB'!$A:$A,'RAWDATA Cars Buyers DB'!H:H)</f>
        <v>No</v>
      </c>
      <c r="I927" s="8" t="str">
        <f>_xlfn.XLOOKUP($A927,'RAWDATA Cars Buyers DB'!$A:$A,'RAWDATA Cars Buyers DB'!I:I)</f>
        <v>4–6 Kilometre</v>
      </c>
      <c r="J927" s="8" t="str">
        <f>_xlfn.XLOOKUP($A927,'RAWDATA Cars Buyers DB'!$A:$A,'RAWDATA Cars Buyers DB'!J:J)</f>
        <v>Hesse</v>
      </c>
      <c r="K927" s="8">
        <f>_xlfn.XLOOKUP($A927,'RAWDATA Cars Buyers DB'!$A:$A,'RAWDATA Cars Buyers DB'!K:K)</f>
        <v>67</v>
      </c>
      <c r="L927" s="10" t="str">
        <f>IF(_xlfn.XLOOKUP($A927,'RAWDATA Cars Buyers DB'!$A:$A,'RAWDATA Cars Buyers DB'!K:K)&gt;54,"Old ",IF(_xlfn.XLOOKUP($A927,'RAWDATA Cars Buyers DB'!$A:$A,'RAWDATA Cars Buyers DB'!K:K)&gt;=31,"Middle Age ",IF(_xlfn.XLOOKUP($A927,'RAWDATA Cars Buyers DB'!$A:$A,'RAWDATA Cars Buyers DB'!K:K)&lt;31,"Adolescent","Invalid")))</f>
        <v xml:space="preserve">Old </v>
      </c>
      <c r="M927" s="8" t="str">
        <f>_xlfn.XLOOKUP($A927,'RAWDATA Cars Buyers DB'!$A:$A,'RAWDATA Cars Buyers DB'!L:L)</f>
        <v>Yes</v>
      </c>
    </row>
    <row r="928" spans="1:13">
      <c r="A928" s="6">
        <v>19111</v>
      </c>
      <c r="B928" s="10" t="str">
        <f>IF(_xlfn.XLOOKUP($A928,'RAWDATA Cars Buyers DB'!$A:$A,'RAWDATA Cars Buyers DB'!B:B)="S","Single","Married")</f>
        <v>Married</v>
      </c>
      <c r="C928" s="10" t="str">
        <f>IF(_xlfn.XLOOKUP($A928,'RAWDATA Cars Buyers DB'!$A:$A,'RAWDATA Cars Buyers DB'!C:C)="F","Female","Male")</f>
        <v>Male</v>
      </c>
      <c r="D928" s="7">
        <f>_xlfn.XLOOKUP($A928,'RAWDATA Cars Buyers DB'!$A:$A,'RAWDATA Cars Buyers DB'!D:D)</f>
        <v>66976</v>
      </c>
      <c r="E928" s="8">
        <f>_xlfn.XLOOKUP($A928,'RAWDATA Cars Buyers DB'!$A:$A,'RAWDATA Cars Buyers DB'!E:E)</f>
        <v>3</v>
      </c>
      <c r="F928" s="8" t="str">
        <f>_xlfn.XLOOKUP($A928,'RAWDATA Cars Buyers DB'!$A:$A,'RAWDATA Cars Buyers DB'!F:F)</f>
        <v>High School</v>
      </c>
      <c r="G928" s="8" t="str">
        <f>_xlfn.XLOOKUP($A928,'RAWDATA Cars Buyers DB'!$A:$A,'RAWDATA Cars Buyers DB'!G:G)</f>
        <v>Clerical</v>
      </c>
      <c r="H928" s="8" t="str">
        <f>_xlfn.XLOOKUP($A928,'RAWDATA Cars Buyers DB'!$A:$A,'RAWDATA Cars Buyers DB'!H:H)</f>
        <v>Yes</v>
      </c>
      <c r="I928" s="8" t="str">
        <f>_xlfn.XLOOKUP($A928,'RAWDATA Cars Buyers DB'!$A:$A,'RAWDATA Cars Buyers DB'!I:I)</f>
        <v>2–4 Kilometre</v>
      </c>
      <c r="J928" s="8" t="str">
        <f>_xlfn.XLOOKUP($A928,'RAWDATA Cars Buyers DB'!$A:$A,'RAWDATA Cars Buyers DB'!J:J)</f>
        <v>Saxony-Anhalt</v>
      </c>
      <c r="K928" s="8">
        <f>_xlfn.XLOOKUP($A928,'RAWDATA Cars Buyers DB'!$A:$A,'RAWDATA Cars Buyers DB'!K:K)</f>
        <v>24</v>
      </c>
      <c r="L928" s="10" t="str">
        <f>IF(_xlfn.XLOOKUP($A928,'RAWDATA Cars Buyers DB'!$A:$A,'RAWDATA Cars Buyers DB'!K:K)&gt;54,"Old ",IF(_xlfn.XLOOKUP($A928,'RAWDATA Cars Buyers DB'!$A:$A,'RAWDATA Cars Buyers DB'!K:K)&gt;=31,"Middle Age ",IF(_xlfn.XLOOKUP($A928,'RAWDATA Cars Buyers DB'!$A:$A,'RAWDATA Cars Buyers DB'!K:K)&lt;31,"Adolescent","Invalid")))</f>
        <v>Adolescent</v>
      </c>
      <c r="M928" s="8" t="str">
        <f>_xlfn.XLOOKUP($A928,'RAWDATA Cars Buyers DB'!$A:$A,'RAWDATA Cars Buyers DB'!L:L)</f>
        <v>No</v>
      </c>
    </row>
    <row r="929" spans="1:13">
      <c r="A929" s="6">
        <v>48110</v>
      </c>
      <c r="B929" s="10" t="str">
        <f>IF(_xlfn.XLOOKUP($A929,'RAWDATA Cars Buyers DB'!$A:$A,'RAWDATA Cars Buyers DB'!B:B)="S","Single","Married")</f>
        <v>Married</v>
      </c>
      <c r="C929" s="10" t="str">
        <f>IF(_xlfn.XLOOKUP($A929,'RAWDATA Cars Buyers DB'!$A:$A,'RAWDATA Cars Buyers DB'!C:C)="F","Female","Male")</f>
        <v>Male</v>
      </c>
      <c r="D929" s="7">
        <f>_xlfn.XLOOKUP($A929,'RAWDATA Cars Buyers DB'!$A:$A,'RAWDATA Cars Buyers DB'!D:D)</f>
        <v>100578</v>
      </c>
      <c r="E929" s="8">
        <f>_xlfn.XLOOKUP($A929,'RAWDATA Cars Buyers DB'!$A:$A,'RAWDATA Cars Buyers DB'!E:E)</f>
        <v>1</v>
      </c>
      <c r="F929" s="8" t="str">
        <f>_xlfn.XLOOKUP($A929,'RAWDATA Cars Buyers DB'!$A:$A,'RAWDATA Cars Buyers DB'!F:F)</f>
        <v>Partial College</v>
      </c>
      <c r="G929" s="8" t="str">
        <f>_xlfn.XLOOKUP($A929,'RAWDATA Cars Buyers DB'!$A:$A,'RAWDATA Cars Buyers DB'!G:G)</f>
        <v>Clerical</v>
      </c>
      <c r="H929" s="8" t="str">
        <f>_xlfn.XLOOKUP($A929,'RAWDATA Cars Buyers DB'!$A:$A,'RAWDATA Cars Buyers DB'!H:H)</f>
        <v>No</v>
      </c>
      <c r="I929" s="8" t="str">
        <f>_xlfn.XLOOKUP($A929,'RAWDATA Cars Buyers DB'!$A:$A,'RAWDATA Cars Buyers DB'!I:I)</f>
        <v>1–2 Kilometre</v>
      </c>
      <c r="J929" s="8" t="str">
        <f>_xlfn.XLOOKUP($A929,'RAWDATA Cars Buyers DB'!$A:$A,'RAWDATA Cars Buyers DB'!J:J)</f>
        <v>Hamburg</v>
      </c>
      <c r="K929" s="8">
        <f>_xlfn.XLOOKUP($A929,'RAWDATA Cars Buyers DB'!$A:$A,'RAWDATA Cars Buyers DB'!K:K)</f>
        <v>54</v>
      </c>
      <c r="L929" s="10" t="str">
        <f>IF(_xlfn.XLOOKUP($A929,'RAWDATA Cars Buyers DB'!$A:$A,'RAWDATA Cars Buyers DB'!K:K)&gt;54,"Old ",IF(_xlfn.XLOOKUP($A929,'RAWDATA Cars Buyers DB'!$A:$A,'RAWDATA Cars Buyers DB'!K:K)&gt;=31,"Middle Age ",IF(_xlfn.XLOOKUP($A929,'RAWDATA Cars Buyers DB'!$A:$A,'RAWDATA Cars Buyers DB'!K:K)&lt;31,"Adolescent","Invalid")))</f>
        <v xml:space="preserve">Middle Age </v>
      </c>
      <c r="M929" s="8" t="str">
        <f>_xlfn.XLOOKUP($A929,'RAWDATA Cars Buyers DB'!$A:$A,'RAWDATA Cars Buyers DB'!L:L)</f>
        <v>Yes</v>
      </c>
    </row>
    <row r="930" spans="1:13">
      <c r="A930" s="6">
        <v>26389</v>
      </c>
      <c r="B930" s="10" t="str">
        <f>IF(_xlfn.XLOOKUP($A930,'RAWDATA Cars Buyers DB'!$A:$A,'RAWDATA Cars Buyers DB'!B:B)="S","Single","Married")</f>
        <v>Married</v>
      </c>
      <c r="C930" s="10" t="str">
        <f>IF(_xlfn.XLOOKUP($A930,'RAWDATA Cars Buyers DB'!$A:$A,'RAWDATA Cars Buyers DB'!C:C)="F","Female","Male")</f>
        <v>Male</v>
      </c>
      <c r="D930" s="7">
        <f>_xlfn.XLOOKUP($A930,'RAWDATA Cars Buyers DB'!$A:$A,'RAWDATA Cars Buyers DB'!D:D)</f>
        <v>111502</v>
      </c>
      <c r="E930" s="8">
        <f>_xlfn.XLOOKUP($A930,'RAWDATA Cars Buyers DB'!$A:$A,'RAWDATA Cars Buyers DB'!E:E)</f>
        <v>2</v>
      </c>
      <c r="F930" s="8" t="str">
        <f>_xlfn.XLOOKUP($A930,'RAWDATA Cars Buyers DB'!$A:$A,'RAWDATA Cars Buyers DB'!F:F)</f>
        <v>Partial College</v>
      </c>
      <c r="G930" s="8" t="str">
        <f>_xlfn.XLOOKUP($A930,'RAWDATA Cars Buyers DB'!$A:$A,'RAWDATA Cars Buyers DB'!G:G)</f>
        <v>Professional</v>
      </c>
      <c r="H930" s="8" t="str">
        <f>_xlfn.XLOOKUP($A930,'RAWDATA Cars Buyers DB'!$A:$A,'RAWDATA Cars Buyers DB'!H:H)</f>
        <v>No</v>
      </c>
      <c r="I930" s="8" t="str">
        <f>_xlfn.XLOOKUP($A930,'RAWDATA Cars Buyers DB'!$A:$A,'RAWDATA Cars Buyers DB'!I:I)</f>
        <v>0–1 Kilometre</v>
      </c>
      <c r="J930" s="8" t="str">
        <f>_xlfn.XLOOKUP($A930,'RAWDATA Cars Buyers DB'!$A:$A,'RAWDATA Cars Buyers DB'!J:J)</f>
        <v>Mecklenburg-Vorpommern</v>
      </c>
      <c r="K930" s="8">
        <f>_xlfn.XLOOKUP($A930,'RAWDATA Cars Buyers DB'!$A:$A,'RAWDATA Cars Buyers DB'!K:K)</f>
        <v>29</v>
      </c>
      <c r="L930" s="10" t="str">
        <f>IF(_xlfn.XLOOKUP($A930,'RAWDATA Cars Buyers DB'!$A:$A,'RAWDATA Cars Buyers DB'!K:K)&gt;54,"Old ",IF(_xlfn.XLOOKUP($A930,'RAWDATA Cars Buyers DB'!$A:$A,'RAWDATA Cars Buyers DB'!K:K)&gt;=31,"Middle Age ",IF(_xlfn.XLOOKUP($A930,'RAWDATA Cars Buyers DB'!$A:$A,'RAWDATA Cars Buyers DB'!K:K)&lt;31,"Adolescent","Invalid")))</f>
        <v>Adolescent</v>
      </c>
      <c r="M930" s="8" t="str">
        <f>_xlfn.XLOOKUP($A930,'RAWDATA Cars Buyers DB'!$A:$A,'RAWDATA Cars Buyers DB'!L:L)</f>
        <v>Yes</v>
      </c>
    </row>
    <row r="931" spans="1:13">
      <c r="A931" s="6">
        <v>51427</v>
      </c>
      <c r="B931" s="10" t="str">
        <f>IF(_xlfn.XLOOKUP($A931,'RAWDATA Cars Buyers DB'!$A:$A,'RAWDATA Cars Buyers DB'!B:B)="S","Single","Married")</f>
        <v>Married</v>
      </c>
      <c r="C931" s="10" t="str">
        <f>IF(_xlfn.XLOOKUP($A931,'RAWDATA Cars Buyers DB'!$A:$A,'RAWDATA Cars Buyers DB'!C:C)="F","Female","Male")</f>
        <v>Female</v>
      </c>
      <c r="D931" s="7">
        <f>_xlfn.XLOOKUP($A931,'RAWDATA Cars Buyers DB'!$A:$A,'RAWDATA Cars Buyers DB'!D:D)</f>
        <v>65095</v>
      </c>
      <c r="E931" s="8">
        <f>_xlfn.XLOOKUP($A931,'RAWDATA Cars Buyers DB'!$A:$A,'RAWDATA Cars Buyers DB'!E:E)</f>
        <v>4</v>
      </c>
      <c r="F931" s="8" t="str">
        <f>_xlfn.XLOOKUP($A931,'RAWDATA Cars Buyers DB'!$A:$A,'RAWDATA Cars Buyers DB'!F:F)</f>
        <v>High School</v>
      </c>
      <c r="G931" s="8" t="str">
        <f>_xlfn.XLOOKUP($A931,'RAWDATA Cars Buyers DB'!$A:$A,'RAWDATA Cars Buyers DB'!G:G)</f>
        <v>Professional</v>
      </c>
      <c r="H931" s="8" t="str">
        <f>_xlfn.XLOOKUP($A931,'RAWDATA Cars Buyers DB'!$A:$A,'RAWDATA Cars Buyers DB'!H:H)</f>
        <v>Yes</v>
      </c>
      <c r="I931" s="8" t="str">
        <f>_xlfn.XLOOKUP($A931,'RAWDATA Cars Buyers DB'!$A:$A,'RAWDATA Cars Buyers DB'!I:I)</f>
        <v>4–6 Kilometre</v>
      </c>
      <c r="J931" s="8" t="str">
        <f>_xlfn.XLOOKUP($A931,'RAWDATA Cars Buyers DB'!$A:$A,'RAWDATA Cars Buyers DB'!J:J)</f>
        <v>North Rhine-Westphalia</v>
      </c>
      <c r="K931" s="8">
        <f>_xlfn.XLOOKUP($A931,'RAWDATA Cars Buyers DB'!$A:$A,'RAWDATA Cars Buyers DB'!K:K)</f>
        <v>38</v>
      </c>
      <c r="L931" s="10" t="str">
        <f>IF(_xlfn.XLOOKUP($A931,'RAWDATA Cars Buyers DB'!$A:$A,'RAWDATA Cars Buyers DB'!K:K)&gt;54,"Old ",IF(_xlfn.XLOOKUP($A931,'RAWDATA Cars Buyers DB'!$A:$A,'RAWDATA Cars Buyers DB'!K:K)&gt;=31,"Middle Age ",IF(_xlfn.XLOOKUP($A931,'RAWDATA Cars Buyers DB'!$A:$A,'RAWDATA Cars Buyers DB'!K:K)&lt;31,"Adolescent","Invalid")))</f>
        <v xml:space="preserve">Middle Age </v>
      </c>
      <c r="M931" s="8" t="str">
        <f>_xlfn.XLOOKUP($A931,'RAWDATA Cars Buyers DB'!$A:$A,'RAWDATA Cars Buyers DB'!L:L)</f>
        <v>Yes</v>
      </c>
    </row>
    <row r="932" spans="1:13">
      <c r="A932" s="6">
        <v>89579</v>
      </c>
      <c r="B932" s="10" t="str">
        <f>IF(_xlfn.XLOOKUP($A932,'RAWDATA Cars Buyers DB'!$A:$A,'RAWDATA Cars Buyers DB'!B:B)="S","Single","Married")</f>
        <v>Single</v>
      </c>
      <c r="C932" s="10" t="str">
        <f>IF(_xlfn.XLOOKUP($A932,'RAWDATA Cars Buyers DB'!$A:$A,'RAWDATA Cars Buyers DB'!C:C)="F","Female","Male")</f>
        <v>Male</v>
      </c>
      <c r="D932" s="7">
        <f>_xlfn.XLOOKUP($A932,'RAWDATA Cars Buyers DB'!$A:$A,'RAWDATA Cars Buyers DB'!D:D)</f>
        <v>34270</v>
      </c>
      <c r="E932" s="8">
        <f>_xlfn.XLOOKUP($A932,'RAWDATA Cars Buyers DB'!$A:$A,'RAWDATA Cars Buyers DB'!E:E)</f>
        <v>1</v>
      </c>
      <c r="F932" s="8" t="str">
        <f>_xlfn.XLOOKUP($A932,'RAWDATA Cars Buyers DB'!$A:$A,'RAWDATA Cars Buyers DB'!F:F)</f>
        <v>Bachelors</v>
      </c>
      <c r="G932" s="8" t="str">
        <f>_xlfn.XLOOKUP($A932,'RAWDATA Cars Buyers DB'!$A:$A,'RAWDATA Cars Buyers DB'!G:G)</f>
        <v>Skilled Manual</v>
      </c>
      <c r="H932" s="8" t="str">
        <f>_xlfn.XLOOKUP($A932,'RAWDATA Cars Buyers DB'!$A:$A,'RAWDATA Cars Buyers DB'!H:H)</f>
        <v>No</v>
      </c>
      <c r="I932" s="8" t="str">
        <f>_xlfn.XLOOKUP($A932,'RAWDATA Cars Buyers DB'!$A:$A,'RAWDATA Cars Buyers DB'!I:I)</f>
        <v>6+ Kilometre</v>
      </c>
      <c r="J932" s="8" t="str">
        <f>_xlfn.XLOOKUP($A932,'RAWDATA Cars Buyers DB'!$A:$A,'RAWDATA Cars Buyers DB'!J:J)</f>
        <v>Saarland</v>
      </c>
      <c r="K932" s="8">
        <f>_xlfn.XLOOKUP($A932,'RAWDATA Cars Buyers DB'!$A:$A,'RAWDATA Cars Buyers DB'!K:K)</f>
        <v>56</v>
      </c>
      <c r="L932" s="10" t="str">
        <f>IF(_xlfn.XLOOKUP($A932,'RAWDATA Cars Buyers DB'!$A:$A,'RAWDATA Cars Buyers DB'!K:K)&gt;54,"Old ",IF(_xlfn.XLOOKUP($A932,'RAWDATA Cars Buyers DB'!$A:$A,'RAWDATA Cars Buyers DB'!K:K)&gt;=31,"Middle Age ",IF(_xlfn.XLOOKUP($A932,'RAWDATA Cars Buyers DB'!$A:$A,'RAWDATA Cars Buyers DB'!K:K)&lt;31,"Adolescent","Invalid")))</f>
        <v xml:space="preserve">Old </v>
      </c>
      <c r="M932" s="8" t="str">
        <f>_xlfn.XLOOKUP($A932,'RAWDATA Cars Buyers DB'!$A:$A,'RAWDATA Cars Buyers DB'!L:L)</f>
        <v>No</v>
      </c>
    </row>
    <row r="933" spans="1:13">
      <c r="A933" s="6">
        <v>38746</v>
      </c>
      <c r="B933" s="10" t="str">
        <f>IF(_xlfn.XLOOKUP($A933,'RAWDATA Cars Buyers DB'!$A:$A,'RAWDATA Cars Buyers DB'!B:B)="S","Single","Married")</f>
        <v>Single</v>
      </c>
      <c r="C933" s="10" t="str">
        <f>IF(_xlfn.XLOOKUP($A933,'RAWDATA Cars Buyers DB'!$A:$A,'RAWDATA Cars Buyers DB'!C:C)="F","Female","Male")</f>
        <v>Female</v>
      </c>
      <c r="D933" s="7">
        <f>_xlfn.XLOOKUP($A933,'RAWDATA Cars Buyers DB'!$A:$A,'RAWDATA Cars Buyers DB'!D:D)</f>
        <v>50908</v>
      </c>
      <c r="E933" s="8">
        <f>_xlfn.XLOOKUP($A933,'RAWDATA Cars Buyers DB'!$A:$A,'RAWDATA Cars Buyers DB'!E:E)</f>
        <v>4</v>
      </c>
      <c r="F933" s="8" t="str">
        <f>_xlfn.XLOOKUP($A933,'RAWDATA Cars Buyers DB'!$A:$A,'RAWDATA Cars Buyers DB'!F:F)</f>
        <v>Graduate Degree</v>
      </c>
      <c r="G933" s="8" t="str">
        <f>_xlfn.XLOOKUP($A933,'RAWDATA Cars Buyers DB'!$A:$A,'RAWDATA Cars Buyers DB'!G:G)</f>
        <v>Skilled Manual</v>
      </c>
      <c r="H933" s="8" t="str">
        <f>_xlfn.XLOOKUP($A933,'RAWDATA Cars Buyers DB'!$A:$A,'RAWDATA Cars Buyers DB'!H:H)</f>
        <v>No</v>
      </c>
      <c r="I933" s="8" t="str">
        <f>_xlfn.XLOOKUP($A933,'RAWDATA Cars Buyers DB'!$A:$A,'RAWDATA Cars Buyers DB'!I:I)</f>
        <v>4–6 Kilometre</v>
      </c>
      <c r="J933" s="8" t="str">
        <f>_xlfn.XLOOKUP($A933,'RAWDATA Cars Buyers DB'!$A:$A,'RAWDATA Cars Buyers DB'!J:J)</f>
        <v>Bremen</v>
      </c>
      <c r="K933" s="8">
        <f>_xlfn.XLOOKUP($A933,'RAWDATA Cars Buyers DB'!$A:$A,'RAWDATA Cars Buyers DB'!K:K)</f>
        <v>26</v>
      </c>
      <c r="L933" s="10" t="str">
        <f>IF(_xlfn.XLOOKUP($A933,'RAWDATA Cars Buyers DB'!$A:$A,'RAWDATA Cars Buyers DB'!K:K)&gt;54,"Old ",IF(_xlfn.XLOOKUP($A933,'RAWDATA Cars Buyers DB'!$A:$A,'RAWDATA Cars Buyers DB'!K:K)&gt;=31,"Middle Age ",IF(_xlfn.XLOOKUP($A933,'RAWDATA Cars Buyers DB'!$A:$A,'RAWDATA Cars Buyers DB'!K:K)&lt;31,"Adolescent","Invalid")))</f>
        <v>Adolescent</v>
      </c>
      <c r="M933" s="8" t="str">
        <f>_xlfn.XLOOKUP($A933,'RAWDATA Cars Buyers DB'!$A:$A,'RAWDATA Cars Buyers DB'!L:L)</f>
        <v>No</v>
      </c>
    </row>
    <row r="934" spans="1:13">
      <c r="A934" s="6">
        <v>97886</v>
      </c>
      <c r="B934" s="10" t="str">
        <f>IF(_xlfn.XLOOKUP($A934,'RAWDATA Cars Buyers DB'!$A:$A,'RAWDATA Cars Buyers DB'!B:B)="S","Single","Married")</f>
        <v>Single</v>
      </c>
      <c r="C934" s="10" t="str">
        <f>IF(_xlfn.XLOOKUP($A934,'RAWDATA Cars Buyers DB'!$A:$A,'RAWDATA Cars Buyers DB'!C:C)="F","Female","Male")</f>
        <v>Male</v>
      </c>
      <c r="D934" s="7">
        <f>_xlfn.XLOOKUP($A934,'RAWDATA Cars Buyers DB'!$A:$A,'RAWDATA Cars Buyers DB'!D:D)</f>
        <v>35523</v>
      </c>
      <c r="E934" s="8">
        <f>_xlfn.XLOOKUP($A934,'RAWDATA Cars Buyers DB'!$A:$A,'RAWDATA Cars Buyers DB'!E:E)</f>
        <v>0</v>
      </c>
      <c r="F934" s="8" t="str">
        <f>_xlfn.XLOOKUP($A934,'RAWDATA Cars Buyers DB'!$A:$A,'RAWDATA Cars Buyers DB'!F:F)</f>
        <v>High School</v>
      </c>
      <c r="G934" s="8" t="str">
        <f>_xlfn.XLOOKUP($A934,'RAWDATA Cars Buyers DB'!$A:$A,'RAWDATA Cars Buyers DB'!G:G)</f>
        <v>Management</v>
      </c>
      <c r="H934" s="8" t="str">
        <f>_xlfn.XLOOKUP($A934,'RAWDATA Cars Buyers DB'!$A:$A,'RAWDATA Cars Buyers DB'!H:H)</f>
        <v>No</v>
      </c>
      <c r="I934" s="8" t="str">
        <f>_xlfn.XLOOKUP($A934,'RAWDATA Cars Buyers DB'!$A:$A,'RAWDATA Cars Buyers DB'!I:I)</f>
        <v>2–4 Kilometre</v>
      </c>
      <c r="J934" s="8" t="str">
        <f>_xlfn.XLOOKUP($A934,'RAWDATA Cars Buyers DB'!$A:$A,'RAWDATA Cars Buyers DB'!J:J)</f>
        <v>Saxony</v>
      </c>
      <c r="K934" s="8">
        <f>_xlfn.XLOOKUP($A934,'RAWDATA Cars Buyers DB'!$A:$A,'RAWDATA Cars Buyers DB'!K:K)</f>
        <v>65</v>
      </c>
      <c r="L934" s="10" t="str">
        <f>IF(_xlfn.XLOOKUP($A934,'RAWDATA Cars Buyers DB'!$A:$A,'RAWDATA Cars Buyers DB'!K:K)&gt;54,"Old ",IF(_xlfn.XLOOKUP($A934,'RAWDATA Cars Buyers DB'!$A:$A,'RAWDATA Cars Buyers DB'!K:K)&gt;=31,"Middle Age ",IF(_xlfn.XLOOKUP($A934,'RAWDATA Cars Buyers DB'!$A:$A,'RAWDATA Cars Buyers DB'!K:K)&lt;31,"Adolescent","Invalid")))</f>
        <v xml:space="preserve">Old </v>
      </c>
      <c r="M934" s="8" t="str">
        <f>_xlfn.XLOOKUP($A934,'RAWDATA Cars Buyers DB'!$A:$A,'RAWDATA Cars Buyers DB'!L:L)</f>
        <v>No</v>
      </c>
    </row>
    <row r="935" spans="1:13">
      <c r="A935" s="6">
        <v>10117</v>
      </c>
      <c r="B935" s="10" t="str">
        <f>IF(_xlfn.XLOOKUP($A935,'RAWDATA Cars Buyers DB'!$A:$A,'RAWDATA Cars Buyers DB'!B:B)="S","Single","Married")</f>
        <v>Single</v>
      </c>
      <c r="C935" s="10" t="str">
        <f>IF(_xlfn.XLOOKUP($A935,'RAWDATA Cars Buyers DB'!$A:$A,'RAWDATA Cars Buyers DB'!C:C)="F","Female","Male")</f>
        <v>Female</v>
      </c>
      <c r="D935" s="7">
        <f>_xlfn.XLOOKUP($A935,'RAWDATA Cars Buyers DB'!$A:$A,'RAWDATA Cars Buyers DB'!D:D)</f>
        <v>82433</v>
      </c>
      <c r="E935" s="8">
        <f>_xlfn.XLOOKUP($A935,'RAWDATA Cars Buyers DB'!$A:$A,'RAWDATA Cars Buyers DB'!E:E)</f>
        <v>3</v>
      </c>
      <c r="F935" s="8" t="str">
        <f>_xlfn.XLOOKUP($A935,'RAWDATA Cars Buyers DB'!$A:$A,'RAWDATA Cars Buyers DB'!F:F)</f>
        <v>Graduate Degree</v>
      </c>
      <c r="G935" s="8" t="str">
        <f>_xlfn.XLOOKUP($A935,'RAWDATA Cars Buyers DB'!$A:$A,'RAWDATA Cars Buyers DB'!G:G)</f>
        <v>Clerical</v>
      </c>
      <c r="H935" s="8" t="str">
        <f>_xlfn.XLOOKUP($A935,'RAWDATA Cars Buyers DB'!$A:$A,'RAWDATA Cars Buyers DB'!H:H)</f>
        <v>Yes</v>
      </c>
      <c r="I935" s="8" t="str">
        <f>_xlfn.XLOOKUP($A935,'RAWDATA Cars Buyers DB'!$A:$A,'RAWDATA Cars Buyers DB'!I:I)</f>
        <v>4–6 Kilometre</v>
      </c>
      <c r="J935" s="8" t="str">
        <f>_xlfn.XLOOKUP($A935,'RAWDATA Cars Buyers DB'!$A:$A,'RAWDATA Cars Buyers DB'!J:J)</f>
        <v>Lower Saxony</v>
      </c>
      <c r="K935" s="8">
        <f>_xlfn.XLOOKUP($A935,'RAWDATA Cars Buyers DB'!$A:$A,'RAWDATA Cars Buyers DB'!K:K)</f>
        <v>54</v>
      </c>
      <c r="L935" s="10" t="str">
        <f>IF(_xlfn.XLOOKUP($A935,'RAWDATA Cars Buyers DB'!$A:$A,'RAWDATA Cars Buyers DB'!K:K)&gt;54,"Old ",IF(_xlfn.XLOOKUP($A935,'RAWDATA Cars Buyers DB'!$A:$A,'RAWDATA Cars Buyers DB'!K:K)&gt;=31,"Middle Age ",IF(_xlfn.XLOOKUP($A935,'RAWDATA Cars Buyers DB'!$A:$A,'RAWDATA Cars Buyers DB'!K:K)&lt;31,"Adolescent","Invalid")))</f>
        <v xml:space="preserve">Middle Age </v>
      </c>
      <c r="M935" s="8" t="str">
        <f>_xlfn.XLOOKUP($A935,'RAWDATA Cars Buyers DB'!$A:$A,'RAWDATA Cars Buyers DB'!L:L)</f>
        <v>No</v>
      </c>
    </row>
    <row r="936" spans="1:13">
      <c r="A936" s="6">
        <v>94471</v>
      </c>
      <c r="B936" s="10" t="str">
        <f>IF(_xlfn.XLOOKUP($A936,'RAWDATA Cars Buyers DB'!$A:$A,'RAWDATA Cars Buyers DB'!B:B)="S","Single","Married")</f>
        <v>Married</v>
      </c>
      <c r="C936" s="10" t="str">
        <f>IF(_xlfn.XLOOKUP($A936,'RAWDATA Cars Buyers DB'!$A:$A,'RAWDATA Cars Buyers DB'!C:C)="F","Female","Male")</f>
        <v>Female</v>
      </c>
      <c r="D936" s="7">
        <f>_xlfn.XLOOKUP($A936,'RAWDATA Cars Buyers DB'!$A:$A,'RAWDATA Cars Buyers DB'!D:D)</f>
        <v>67068</v>
      </c>
      <c r="E936" s="8">
        <f>_xlfn.XLOOKUP($A936,'RAWDATA Cars Buyers DB'!$A:$A,'RAWDATA Cars Buyers DB'!E:E)</f>
        <v>3</v>
      </c>
      <c r="F936" s="8" t="str">
        <f>_xlfn.XLOOKUP($A936,'RAWDATA Cars Buyers DB'!$A:$A,'RAWDATA Cars Buyers DB'!F:F)</f>
        <v>Graduate Degree</v>
      </c>
      <c r="G936" s="8" t="str">
        <f>_xlfn.XLOOKUP($A936,'RAWDATA Cars Buyers DB'!$A:$A,'RAWDATA Cars Buyers DB'!G:G)</f>
        <v>Skilled Manual</v>
      </c>
      <c r="H936" s="8" t="str">
        <f>_xlfn.XLOOKUP($A936,'RAWDATA Cars Buyers DB'!$A:$A,'RAWDATA Cars Buyers DB'!H:H)</f>
        <v>Yes</v>
      </c>
      <c r="I936" s="8" t="str">
        <f>_xlfn.XLOOKUP($A936,'RAWDATA Cars Buyers DB'!$A:$A,'RAWDATA Cars Buyers DB'!I:I)</f>
        <v>6+ Kilometre</v>
      </c>
      <c r="J936" s="8" t="str">
        <f>_xlfn.XLOOKUP($A936,'RAWDATA Cars Buyers DB'!$A:$A,'RAWDATA Cars Buyers DB'!J:J)</f>
        <v>Berlin</v>
      </c>
      <c r="K936" s="8">
        <f>_xlfn.XLOOKUP($A936,'RAWDATA Cars Buyers DB'!$A:$A,'RAWDATA Cars Buyers DB'!K:K)</f>
        <v>64</v>
      </c>
      <c r="L936" s="10" t="str">
        <f>IF(_xlfn.XLOOKUP($A936,'RAWDATA Cars Buyers DB'!$A:$A,'RAWDATA Cars Buyers DB'!K:K)&gt;54,"Old ",IF(_xlfn.XLOOKUP($A936,'RAWDATA Cars Buyers DB'!$A:$A,'RAWDATA Cars Buyers DB'!K:K)&gt;=31,"Middle Age ",IF(_xlfn.XLOOKUP($A936,'RAWDATA Cars Buyers DB'!$A:$A,'RAWDATA Cars Buyers DB'!K:K)&lt;31,"Adolescent","Invalid")))</f>
        <v xml:space="preserve">Old </v>
      </c>
      <c r="M936" s="8" t="str">
        <f>_xlfn.XLOOKUP($A936,'RAWDATA Cars Buyers DB'!$A:$A,'RAWDATA Cars Buyers DB'!L:L)</f>
        <v>Yes</v>
      </c>
    </row>
    <row r="937" spans="1:13">
      <c r="A937" s="6">
        <v>23234</v>
      </c>
      <c r="B937" s="10" t="str">
        <f>IF(_xlfn.XLOOKUP($A937,'RAWDATA Cars Buyers DB'!$A:$A,'RAWDATA Cars Buyers DB'!B:B)="S","Single","Married")</f>
        <v>Married</v>
      </c>
      <c r="C937" s="10" t="str">
        <f>IF(_xlfn.XLOOKUP($A937,'RAWDATA Cars Buyers DB'!$A:$A,'RAWDATA Cars Buyers DB'!C:C)="F","Female","Male")</f>
        <v>Female</v>
      </c>
      <c r="D937" s="7">
        <f>_xlfn.XLOOKUP($A937,'RAWDATA Cars Buyers DB'!$A:$A,'RAWDATA Cars Buyers DB'!D:D)</f>
        <v>39991</v>
      </c>
      <c r="E937" s="8">
        <f>_xlfn.XLOOKUP($A937,'RAWDATA Cars Buyers DB'!$A:$A,'RAWDATA Cars Buyers DB'!E:E)</f>
        <v>5</v>
      </c>
      <c r="F937" s="8" t="str">
        <f>_xlfn.XLOOKUP($A937,'RAWDATA Cars Buyers DB'!$A:$A,'RAWDATA Cars Buyers DB'!F:F)</f>
        <v>High School</v>
      </c>
      <c r="G937" s="8" t="str">
        <f>_xlfn.XLOOKUP($A937,'RAWDATA Cars Buyers DB'!$A:$A,'RAWDATA Cars Buyers DB'!G:G)</f>
        <v>Management</v>
      </c>
      <c r="H937" s="8" t="str">
        <f>_xlfn.XLOOKUP($A937,'RAWDATA Cars Buyers DB'!$A:$A,'RAWDATA Cars Buyers DB'!H:H)</f>
        <v>No</v>
      </c>
      <c r="I937" s="8" t="str">
        <f>_xlfn.XLOOKUP($A937,'RAWDATA Cars Buyers DB'!$A:$A,'RAWDATA Cars Buyers DB'!I:I)</f>
        <v>0–1 Kilometre</v>
      </c>
      <c r="J937" s="8" t="str">
        <f>_xlfn.XLOOKUP($A937,'RAWDATA Cars Buyers DB'!$A:$A,'RAWDATA Cars Buyers DB'!J:J)</f>
        <v>North Rhine-Westphalia</v>
      </c>
      <c r="K937" s="8">
        <f>_xlfn.XLOOKUP($A937,'RAWDATA Cars Buyers DB'!$A:$A,'RAWDATA Cars Buyers DB'!K:K)</f>
        <v>32</v>
      </c>
      <c r="L937" s="10" t="str">
        <f>IF(_xlfn.XLOOKUP($A937,'RAWDATA Cars Buyers DB'!$A:$A,'RAWDATA Cars Buyers DB'!K:K)&gt;54,"Old ",IF(_xlfn.XLOOKUP($A937,'RAWDATA Cars Buyers DB'!$A:$A,'RAWDATA Cars Buyers DB'!K:K)&gt;=31,"Middle Age ",IF(_xlfn.XLOOKUP($A937,'RAWDATA Cars Buyers DB'!$A:$A,'RAWDATA Cars Buyers DB'!K:K)&lt;31,"Adolescent","Invalid")))</f>
        <v xml:space="preserve">Middle Age </v>
      </c>
      <c r="M937" s="8" t="str">
        <f>_xlfn.XLOOKUP($A937,'RAWDATA Cars Buyers DB'!$A:$A,'RAWDATA Cars Buyers DB'!L:L)</f>
        <v>No</v>
      </c>
    </row>
    <row r="938" spans="1:13">
      <c r="A938" s="6">
        <v>63441</v>
      </c>
      <c r="B938" s="10" t="str">
        <f>IF(_xlfn.XLOOKUP($A938,'RAWDATA Cars Buyers DB'!$A:$A,'RAWDATA Cars Buyers DB'!B:B)="S","Single","Married")</f>
        <v>Single</v>
      </c>
      <c r="C938" s="10" t="str">
        <f>IF(_xlfn.XLOOKUP($A938,'RAWDATA Cars Buyers DB'!$A:$A,'RAWDATA Cars Buyers DB'!C:C)="F","Female","Male")</f>
        <v>Male</v>
      </c>
      <c r="D938" s="7">
        <f>_xlfn.XLOOKUP($A938,'RAWDATA Cars Buyers DB'!$A:$A,'RAWDATA Cars Buyers DB'!D:D)</f>
        <v>30775</v>
      </c>
      <c r="E938" s="8">
        <f>_xlfn.XLOOKUP($A938,'RAWDATA Cars Buyers DB'!$A:$A,'RAWDATA Cars Buyers DB'!E:E)</f>
        <v>2</v>
      </c>
      <c r="F938" s="8" t="str">
        <f>_xlfn.XLOOKUP($A938,'RAWDATA Cars Buyers DB'!$A:$A,'RAWDATA Cars Buyers DB'!F:F)</f>
        <v>Bachelors</v>
      </c>
      <c r="G938" s="8" t="str">
        <f>_xlfn.XLOOKUP($A938,'RAWDATA Cars Buyers DB'!$A:$A,'RAWDATA Cars Buyers DB'!G:G)</f>
        <v>Skilled Manual</v>
      </c>
      <c r="H938" s="8" t="str">
        <f>_xlfn.XLOOKUP($A938,'RAWDATA Cars Buyers DB'!$A:$A,'RAWDATA Cars Buyers DB'!H:H)</f>
        <v>No</v>
      </c>
      <c r="I938" s="8" t="str">
        <f>_xlfn.XLOOKUP($A938,'RAWDATA Cars Buyers DB'!$A:$A,'RAWDATA Cars Buyers DB'!I:I)</f>
        <v>1–2 Kilometre</v>
      </c>
      <c r="J938" s="8" t="str">
        <f>_xlfn.XLOOKUP($A938,'RAWDATA Cars Buyers DB'!$A:$A,'RAWDATA Cars Buyers DB'!J:J)</f>
        <v>Saxony-Anhalt</v>
      </c>
      <c r="K938" s="8">
        <f>_xlfn.XLOOKUP($A938,'RAWDATA Cars Buyers DB'!$A:$A,'RAWDATA Cars Buyers DB'!K:K)</f>
        <v>29</v>
      </c>
      <c r="L938" s="10" t="str">
        <f>IF(_xlfn.XLOOKUP($A938,'RAWDATA Cars Buyers DB'!$A:$A,'RAWDATA Cars Buyers DB'!K:K)&gt;54,"Old ",IF(_xlfn.XLOOKUP($A938,'RAWDATA Cars Buyers DB'!$A:$A,'RAWDATA Cars Buyers DB'!K:K)&gt;=31,"Middle Age ",IF(_xlfn.XLOOKUP($A938,'RAWDATA Cars Buyers DB'!$A:$A,'RAWDATA Cars Buyers DB'!K:K)&lt;31,"Adolescent","Invalid")))</f>
        <v>Adolescent</v>
      </c>
      <c r="M938" s="8" t="str">
        <f>_xlfn.XLOOKUP($A938,'RAWDATA Cars Buyers DB'!$A:$A,'RAWDATA Cars Buyers DB'!L:L)</f>
        <v>No</v>
      </c>
    </row>
    <row r="939" spans="1:13">
      <c r="A939" s="6">
        <v>10846</v>
      </c>
      <c r="B939" s="10" t="str">
        <f>IF(_xlfn.XLOOKUP($A939,'RAWDATA Cars Buyers DB'!$A:$A,'RAWDATA Cars Buyers DB'!B:B)="S","Single","Married")</f>
        <v>Married</v>
      </c>
      <c r="C939" s="10" t="str">
        <f>IF(_xlfn.XLOOKUP($A939,'RAWDATA Cars Buyers DB'!$A:$A,'RAWDATA Cars Buyers DB'!C:C)="F","Female","Male")</f>
        <v>Male</v>
      </c>
      <c r="D939" s="7">
        <f>_xlfn.XLOOKUP($A939,'RAWDATA Cars Buyers DB'!$A:$A,'RAWDATA Cars Buyers DB'!D:D)</f>
        <v>97801</v>
      </c>
      <c r="E939" s="8">
        <f>_xlfn.XLOOKUP($A939,'RAWDATA Cars Buyers DB'!$A:$A,'RAWDATA Cars Buyers DB'!E:E)</f>
        <v>3</v>
      </c>
      <c r="F939" s="8" t="str">
        <f>_xlfn.XLOOKUP($A939,'RAWDATA Cars Buyers DB'!$A:$A,'RAWDATA Cars Buyers DB'!F:F)</f>
        <v>Graduate Degree</v>
      </c>
      <c r="G939" s="8" t="str">
        <f>_xlfn.XLOOKUP($A939,'RAWDATA Cars Buyers DB'!$A:$A,'RAWDATA Cars Buyers DB'!G:G)</f>
        <v>Professional</v>
      </c>
      <c r="H939" s="8" t="str">
        <f>_xlfn.XLOOKUP($A939,'RAWDATA Cars Buyers DB'!$A:$A,'RAWDATA Cars Buyers DB'!H:H)</f>
        <v>No</v>
      </c>
      <c r="I939" s="8" t="str">
        <f>_xlfn.XLOOKUP($A939,'RAWDATA Cars Buyers DB'!$A:$A,'RAWDATA Cars Buyers DB'!I:I)</f>
        <v>2–4 Kilometre</v>
      </c>
      <c r="J939" s="8" t="str">
        <f>_xlfn.XLOOKUP($A939,'RAWDATA Cars Buyers DB'!$A:$A,'RAWDATA Cars Buyers DB'!J:J)</f>
        <v>Schleswig-Holstein</v>
      </c>
      <c r="K939" s="8">
        <f>_xlfn.XLOOKUP($A939,'RAWDATA Cars Buyers DB'!$A:$A,'RAWDATA Cars Buyers DB'!K:K)</f>
        <v>21</v>
      </c>
      <c r="L939" s="10" t="str">
        <f>IF(_xlfn.XLOOKUP($A939,'RAWDATA Cars Buyers DB'!$A:$A,'RAWDATA Cars Buyers DB'!K:K)&gt;54,"Old ",IF(_xlfn.XLOOKUP($A939,'RAWDATA Cars Buyers DB'!$A:$A,'RAWDATA Cars Buyers DB'!K:K)&gt;=31,"Middle Age ",IF(_xlfn.XLOOKUP($A939,'RAWDATA Cars Buyers DB'!$A:$A,'RAWDATA Cars Buyers DB'!K:K)&lt;31,"Adolescent","Invalid")))</f>
        <v>Adolescent</v>
      </c>
      <c r="M939" s="8" t="str">
        <f>_xlfn.XLOOKUP($A939,'RAWDATA Cars Buyers DB'!$A:$A,'RAWDATA Cars Buyers DB'!L:L)</f>
        <v>Yes</v>
      </c>
    </row>
    <row r="940" spans="1:13">
      <c r="A940" s="6">
        <v>20954</v>
      </c>
      <c r="B940" s="10" t="str">
        <f>IF(_xlfn.XLOOKUP($A940,'RAWDATA Cars Buyers DB'!$A:$A,'RAWDATA Cars Buyers DB'!B:B)="S","Single","Married")</f>
        <v>Single</v>
      </c>
      <c r="C940" s="10" t="str">
        <f>IF(_xlfn.XLOOKUP($A940,'RAWDATA Cars Buyers DB'!$A:$A,'RAWDATA Cars Buyers DB'!C:C)="F","Female","Male")</f>
        <v>Female</v>
      </c>
      <c r="D940" s="7">
        <f>_xlfn.XLOOKUP($A940,'RAWDATA Cars Buyers DB'!$A:$A,'RAWDATA Cars Buyers DB'!D:D)</f>
        <v>104995</v>
      </c>
      <c r="E940" s="8">
        <f>_xlfn.XLOOKUP($A940,'RAWDATA Cars Buyers DB'!$A:$A,'RAWDATA Cars Buyers DB'!E:E)</f>
        <v>0</v>
      </c>
      <c r="F940" s="8" t="str">
        <f>_xlfn.XLOOKUP($A940,'RAWDATA Cars Buyers DB'!$A:$A,'RAWDATA Cars Buyers DB'!F:F)</f>
        <v>High School</v>
      </c>
      <c r="G940" s="8" t="str">
        <f>_xlfn.XLOOKUP($A940,'RAWDATA Cars Buyers DB'!$A:$A,'RAWDATA Cars Buyers DB'!G:G)</f>
        <v>Skilled Manual</v>
      </c>
      <c r="H940" s="8" t="str">
        <f>_xlfn.XLOOKUP($A940,'RAWDATA Cars Buyers DB'!$A:$A,'RAWDATA Cars Buyers DB'!H:H)</f>
        <v>Yes</v>
      </c>
      <c r="I940" s="8" t="str">
        <f>_xlfn.XLOOKUP($A940,'RAWDATA Cars Buyers DB'!$A:$A,'RAWDATA Cars Buyers DB'!I:I)</f>
        <v>6+ Kilometre</v>
      </c>
      <c r="J940" s="8" t="str">
        <f>_xlfn.XLOOKUP($A940,'RAWDATA Cars Buyers DB'!$A:$A,'RAWDATA Cars Buyers DB'!J:J)</f>
        <v>Schleswig-Holstein</v>
      </c>
      <c r="K940" s="8">
        <f>_xlfn.XLOOKUP($A940,'RAWDATA Cars Buyers DB'!$A:$A,'RAWDATA Cars Buyers DB'!K:K)</f>
        <v>25</v>
      </c>
      <c r="L940" s="10" t="str">
        <f>IF(_xlfn.XLOOKUP($A940,'RAWDATA Cars Buyers DB'!$A:$A,'RAWDATA Cars Buyers DB'!K:K)&gt;54,"Old ",IF(_xlfn.XLOOKUP($A940,'RAWDATA Cars Buyers DB'!$A:$A,'RAWDATA Cars Buyers DB'!K:K)&gt;=31,"Middle Age ",IF(_xlfn.XLOOKUP($A940,'RAWDATA Cars Buyers DB'!$A:$A,'RAWDATA Cars Buyers DB'!K:K)&lt;31,"Adolescent","Invalid")))</f>
        <v>Adolescent</v>
      </c>
      <c r="M940" s="8" t="str">
        <f>_xlfn.XLOOKUP($A940,'RAWDATA Cars Buyers DB'!$A:$A,'RAWDATA Cars Buyers DB'!L:L)</f>
        <v>Yes</v>
      </c>
    </row>
    <row r="941" spans="1:13">
      <c r="A941" s="6">
        <v>89239</v>
      </c>
      <c r="B941" s="10" t="str">
        <f>IF(_xlfn.XLOOKUP($A941,'RAWDATA Cars Buyers DB'!$A:$A,'RAWDATA Cars Buyers DB'!B:B)="S","Single","Married")</f>
        <v>Single</v>
      </c>
      <c r="C941" s="10" t="str">
        <f>IF(_xlfn.XLOOKUP($A941,'RAWDATA Cars Buyers DB'!$A:$A,'RAWDATA Cars Buyers DB'!C:C)="F","Female","Male")</f>
        <v>Female</v>
      </c>
      <c r="D941" s="7">
        <f>_xlfn.XLOOKUP($A941,'RAWDATA Cars Buyers DB'!$A:$A,'RAWDATA Cars Buyers DB'!D:D)</f>
        <v>81250</v>
      </c>
      <c r="E941" s="8">
        <f>_xlfn.XLOOKUP($A941,'RAWDATA Cars Buyers DB'!$A:$A,'RAWDATA Cars Buyers DB'!E:E)</f>
        <v>2</v>
      </c>
      <c r="F941" s="8" t="str">
        <f>_xlfn.XLOOKUP($A941,'RAWDATA Cars Buyers DB'!$A:$A,'RAWDATA Cars Buyers DB'!F:F)</f>
        <v>Partial College</v>
      </c>
      <c r="G941" s="8" t="str">
        <f>_xlfn.XLOOKUP($A941,'RAWDATA Cars Buyers DB'!$A:$A,'RAWDATA Cars Buyers DB'!G:G)</f>
        <v>Clerical</v>
      </c>
      <c r="H941" s="8" t="str">
        <f>_xlfn.XLOOKUP($A941,'RAWDATA Cars Buyers DB'!$A:$A,'RAWDATA Cars Buyers DB'!H:H)</f>
        <v>Yes</v>
      </c>
      <c r="I941" s="8" t="str">
        <f>_xlfn.XLOOKUP($A941,'RAWDATA Cars Buyers DB'!$A:$A,'RAWDATA Cars Buyers DB'!I:I)</f>
        <v>2–4 Kilometre</v>
      </c>
      <c r="J941" s="8" t="str">
        <f>_xlfn.XLOOKUP($A941,'RAWDATA Cars Buyers DB'!$A:$A,'RAWDATA Cars Buyers DB'!J:J)</f>
        <v>Berlin</v>
      </c>
      <c r="K941" s="8">
        <f>_xlfn.XLOOKUP($A941,'RAWDATA Cars Buyers DB'!$A:$A,'RAWDATA Cars Buyers DB'!K:K)</f>
        <v>27</v>
      </c>
      <c r="L941" s="10" t="str">
        <f>IF(_xlfn.XLOOKUP($A941,'RAWDATA Cars Buyers DB'!$A:$A,'RAWDATA Cars Buyers DB'!K:K)&gt;54,"Old ",IF(_xlfn.XLOOKUP($A941,'RAWDATA Cars Buyers DB'!$A:$A,'RAWDATA Cars Buyers DB'!K:K)&gt;=31,"Middle Age ",IF(_xlfn.XLOOKUP($A941,'RAWDATA Cars Buyers DB'!$A:$A,'RAWDATA Cars Buyers DB'!K:K)&lt;31,"Adolescent","Invalid")))</f>
        <v>Adolescent</v>
      </c>
      <c r="M941" s="8" t="str">
        <f>_xlfn.XLOOKUP($A941,'RAWDATA Cars Buyers DB'!$A:$A,'RAWDATA Cars Buyers DB'!L:L)</f>
        <v>Yes</v>
      </c>
    </row>
    <row r="942" spans="1:13">
      <c r="A942" s="6">
        <v>56514</v>
      </c>
      <c r="B942" s="10" t="str">
        <f>IF(_xlfn.XLOOKUP($A942,'RAWDATA Cars Buyers DB'!$A:$A,'RAWDATA Cars Buyers DB'!B:B)="S","Single","Married")</f>
        <v>Married</v>
      </c>
      <c r="C942" s="10" t="str">
        <f>IF(_xlfn.XLOOKUP($A942,'RAWDATA Cars Buyers DB'!$A:$A,'RAWDATA Cars Buyers DB'!C:C)="F","Female","Male")</f>
        <v>Female</v>
      </c>
      <c r="D942" s="7">
        <f>_xlfn.XLOOKUP($A942,'RAWDATA Cars Buyers DB'!$A:$A,'RAWDATA Cars Buyers DB'!D:D)</f>
        <v>36673</v>
      </c>
      <c r="E942" s="8">
        <f>_xlfn.XLOOKUP($A942,'RAWDATA Cars Buyers DB'!$A:$A,'RAWDATA Cars Buyers DB'!E:E)</f>
        <v>1</v>
      </c>
      <c r="F942" s="8" t="str">
        <f>_xlfn.XLOOKUP($A942,'RAWDATA Cars Buyers DB'!$A:$A,'RAWDATA Cars Buyers DB'!F:F)</f>
        <v>Partial College</v>
      </c>
      <c r="G942" s="8" t="str">
        <f>_xlfn.XLOOKUP($A942,'RAWDATA Cars Buyers DB'!$A:$A,'RAWDATA Cars Buyers DB'!G:G)</f>
        <v>Skilled Manual</v>
      </c>
      <c r="H942" s="8" t="str">
        <f>_xlfn.XLOOKUP($A942,'RAWDATA Cars Buyers DB'!$A:$A,'RAWDATA Cars Buyers DB'!H:H)</f>
        <v>Yes</v>
      </c>
      <c r="I942" s="8" t="str">
        <f>_xlfn.XLOOKUP($A942,'RAWDATA Cars Buyers DB'!$A:$A,'RAWDATA Cars Buyers DB'!I:I)</f>
        <v>4–6 Kilometre</v>
      </c>
      <c r="J942" s="8" t="str">
        <f>_xlfn.XLOOKUP($A942,'RAWDATA Cars Buyers DB'!$A:$A,'RAWDATA Cars Buyers DB'!J:J)</f>
        <v>Bavaria</v>
      </c>
      <c r="K942" s="8">
        <f>_xlfn.XLOOKUP($A942,'RAWDATA Cars Buyers DB'!$A:$A,'RAWDATA Cars Buyers DB'!K:K)</f>
        <v>55</v>
      </c>
      <c r="L942" s="10" t="str">
        <f>IF(_xlfn.XLOOKUP($A942,'RAWDATA Cars Buyers DB'!$A:$A,'RAWDATA Cars Buyers DB'!K:K)&gt;54,"Old ",IF(_xlfn.XLOOKUP($A942,'RAWDATA Cars Buyers DB'!$A:$A,'RAWDATA Cars Buyers DB'!K:K)&gt;=31,"Middle Age ",IF(_xlfn.XLOOKUP($A942,'RAWDATA Cars Buyers DB'!$A:$A,'RAWDATA Cars Buyers DB'!K:K)&lt;31,"Adolescent","Invalid")))</f>
        <v xml:space="preserve">Old </v>
      </c>
      <c r="M942" s="8" t="str">
        <f>_xlfn.XLOOKUP($A942,'RAWDATA Cars Buyers DB'!$A:$A,'RAWDATA Cars Buyers DB'!L:L)</f>
        <v>No</v>
      </c>
    </row>
    <row r="943" spans="1:13">
      <c r="A943" s="6">
        <v>98236</v>
      </c>
      <c r="B943" s="10" t="str">
        <f>IF(_xlfn.XLOOKUP($A943,'RAWDATA Cars Buyers DB'!$A:$A,'RAWDATA Cars Buyers DB'!B:B)="S","Single","Married")</f>
        <v>Single</v>
      </c>
      <c r="C943" s="10" t="str">
        <f>IF(_xlfn.XLOOKUP($A943,'RAWDATA Cars Buyers DB'!$A:$A,'RAWDATA Cars Buyers DB'!C:C)="F","Female","Male")</f>
        <v>Male</v>
      </c>
      <c r="D943" s="7">
        <f>_xlfn.XLOOKUP($A943,'RAWDATA Cars Buyers DB'!$A:$A,'RAWDATA Cars Buyers DB'!D:D)</f>
        <v>47056</v>
      </c>
      <c r="E943" s="8">
        <f>_xlfn.XLOOKUP($A943,'RAWDATA Cars Buyers DB'!$A:$A,'RAWDATA Cars Buyers DB'!E:E)</f>
        <v>3</v>
      </c>
      <c r="F943" s="8" t="str">
        <f>_xlfn.XLOOKUP($A943,'RAWDATA Cars Buyers DB'!$A:$A,'RAWDATA Cars Buyers DB'!F:F)</f>
        <v>Partial College</v>
      </c>
      <c r="G943" s="8" t="str">
        <f>_xlfn.XLOOKUP($A943,'RAWDATA Cars Buyers DB'!$A:$A,'RAWDATA Cars Buyers DB'!G:G)</f>
        <v>Clerical</v>
      </c>
      <c r="H943" s="8" t="str">
        <f>_xlfn.XLOOKUP($A943,'RAWDATA Cars Buyers DB'!$A:$A,'RAWDATA Cars Buyers DB'!H:H)</f>
        <v>No</v>
      </c>
      <c r="I943" s="8" t="str">
        <f>_xlfn.XLOOKUP($A943,'RAWDATA Cars Buyers DB'!$A:$A,'RAWDATA Cars Buyers DB'!I:I)</f>
        <v>2–4 Kilometre</v>
      </c>
      <c r="J943" s="8" t="str">
        <f>_xlfn.XLOOKUP($A943,'RAWDATA Cars Buyers DB'!$A:$A,'RAWDATA Cars Buyers DB'!J:J)</f>
        <v>Saarland</v>
      </c>
      <c r="K943" s="8">
        <f>_xlfn.XLOOKUP($A943,'RAWDATA Cars Buyers DB'!$A:$A,'RAWDATA Cars Buyers DB'!K:K)</f>
        <v>44</v>
      </c>
      <c r="L943" s="10" t="str">
        <f>IF(_xlfn.XLOOKUP($A943,'RAWDATA Cars Buyers DB'!$A:$A,'RAWDATA Cars Buyers DB'!K:K)&gt;54,"Old ",IF(_xlfn.XLOOKUP($A943,'RAWDATA Cars Buyers DB'!$A:$A,'RAWDATA Cars Buyers DB'!K:K)&gt;=31,"Middle Age ",IF(_xlfn.XLOOKUP($A943,'RAWDATA Cars Buyers DB'!$A:$A,'RAWDATA Cars Buyers DB'!K:K)&lt;31,"Adolescent","Invalid")))</f>
        <v xml:space="preserve">Middle Age </v>
      </c>
      <c r="M943" s="8" t="str">
        <f>_xlfn.XLOOKUP($A943,'RAWDATA Cars Buyers DB'!$A:$A,'RAWDATA Cars Buyers DB'!L:L)</f>
        <v>Yes</v>
      </c>
    </row>
    <row r="944" spans="1:13">
      <c r="A944" s="6">
        <v>16469</v>
      </c>
      <c r="B944" s="10" t="str">
        <f>IF(_xlfn.XLOOKUP($A944,'RAWDATA Cars Buyers DB'!$A:$A,'RAWDATA Cars Buyers DB'!B:B)="S","Single","Married")</f>
        <v>Single</v>
      </c>
      <c r="C944" s="10" t="str">
        <f>IF(_xlfn.XLOOKUP($A944,'RAWDATA Cars Buyers DB'!$A:$A,'RAWDATA Cars Buyers DB'!C:C)="F","Female","Male")</f>
        <v>Male</v>
      </c>
      <c r="D944" s="7">
        <f>_xlfn.XLOOKUP($A944,'RAWDATA Cars Buyers DB'!$A:$A,'RAWDATA Cars Buyers DB'!D:D)</f>
        <v>26614</v>
      </c>
      <c r="E944" s="8">
        <f>_xlfn.XLOOKUP($A944,'RAWDATA Cars Buyers DB'!$A:$A,'RAWDATA Cars Buyers DB'!E:E)</f>
        <v>2</v>
      </c>
      <c r="F944" s="8" t="str">
        <f>_xlfn.XLOOKUP($A944,'RAWDATA Cars Buyers DB'!$A:$A,'RAWDATA Cars Buyers DB'!F:F)</f>
        <v>High School</v>
      </c>
      <c r="G944" s="8" t="str">
        <f>_xlfn.XLOOKUP($A944,'RAWDATA Cars Buyers DB'!$A:$A,'RAWDATA Cars Buyers DB'!G:G)</f>
        <v>Professional</v>
      </c>
      <c r="H944" s="8" t="str">
        <f>_xlfn.XLOOKUP($A944,'RAWDATA Cars Buyers DB'!$A:$A,'RAWDATA Cars Buyers DB'!H:H)</f>
        <v>No</v>
      </c>
      <c r="I944" s="8" t="str">
        <f>_xlfn.XLOOKUP($A944,'RAWDATA Cars Buyers DB'!$A:$A,'RAWDATA Cars Buyers DB'!I:I)</f>
        <v>6+ Kilometre</v>
      </c>
      <c r="J944" s="8" t="str">
        <f>_xlfn.XLOOKUP($A944,'RAWDATA Cars Buyers DB'!$A:$A,'RAWDATA Cars Buyers DB'!J:J)</f>
        <v>Baden-Württemberg</v>
      </c>
      <c r="K944" s="8">
        <f>_xlfn.XLOOKUP($A944,'RAWDATA Cars Buyers DB'!$A:$A,'RAWDATA Cars Buyers DB'!K:K)</f>
        <v>63</v>
      </c>
      <c r="L944" s="10" t="str">
        <f>IF(_xlfn.XLOOKUP($A944,'RAWDATA Cars Buyers DB'!$A:$A,'RAWDATA Cars Buyers DB'!K:K)&gt;54,"Old ",IF(_xlfn.XLOOKUP($A944,'RAWDATA Cars Buyers DB'!$A:$A,'RAWDATA Cars Buyers DB'!K:K)&gt;=31,"Middle Age ",IF(_xlfn.XLOOKUP($A944,'RAWDATA Cars Buyers DB'!$A:$A,'RAWDATA Cars Buyers DB'!K:K)&lt;31,"Adolescent","Invalid")))</f>
        <v xml:space="preserve">Old </v>
      </c>
      <c r="M944" s="8" t="str">
        <f>_xlfn.XLOOKUP($A944,'RAWDATA Cars Buyers DB'!$A:$A,'RAWDATA Cars Buyers DB'!L:L)</f>
        <v>No</v>
      </c>
    </row>
    <row r="945" spans="1:13">
      <c r="A945" s="6">
        <v>40105</v>
      </c>
      <c r="B945" s="10" t="str">
        <f>IF(_xlfn.XLOOKUP($A945,'RAWDATA Cars Buyers DB'!$A:$A,'RAWDATA Cars Buyers DB'!B:B)="S","Single","Married")</f>
        <v>Single</v>
      </c>
      <c r="C945" s="10" t="str">
        <f>IF(_xlfn.XLOOKUP($A945,'RAWDATA Cars Buyers DB'!$A:$A,'RAWDATA Cars Buyers DB'!C:C)="F","Female","Male")</f>
        <v>Male</v>
      </c>
      <c r="D945" s="7">
        <f>_xlfn.XLOOKUP($A945,'RAWDATA Cars Buyers DB'!$A:$A,'RAWDATA Cars Buyers DB'!D:D)</f>
        <v>27415</v>
      </c>
      <c r="E945" s="8">
        <f>_xlfn.XLOOKUP($A945,'RAWDATA Cars Buyers DB'!$A:$A,'RAWDATA Cars Buyers DB'!E:E)</f>
        <v>0</v>
      </c>
      <c r="F945" s="8" t="str">
        <f>_xlfn.XLOOKUP($A945,'RAWDATA Cars Buyers DB'!$A:$A,'RAWDATA Cars Buyers DB'!F:F)</f>
        <v>Partial College</v>
      </c>
      <c r="G945" s="8" t="str">
        <f>_xlfn.XLOOKUP($A945,'RAWDATA Cars Buyers DB'!$A:$A,'RAWDATA Cars Buyers DB'!G:G)</f>
        <v>Clerical</v>
      </c>
      <c r="H945" s="8" t="str">
        <f>_xlfn.XLOOKUP($A945,'RAWDATA Cars Buyers DB'!$A:$A,'RAWDATA Cars Buyers DB'!H:H)</f>
        <v>No</v>
      </c>
      <c r="I945" s="8" t="str">
        <f>_xlfn.XLOOKUP($A945,'RAWDATA Cars Buyers DB'!$A:$A,'RAWDATA Cars Buyers DB'!I:I)</f>
        <v>1–2 Kilometre</v>
      </c>
      <c r="J945" s="8" t="str">
        <f>_xlfn.XLOOKUP($A945,'RAWDATA Cars Buyers DB'!$A:$A,'RAWDATA Cars Buyers DB'!J:J)</f>
        <v>Schleswig-Holstein</v>
      </c>
      <c r="K945" s="8">
        <f>_xlfn.XLOOKUP($A945,'RAWDATA Cars Buyers DB'!$A:$A,'RAWDATA Cars Buyers DB'!K:K)</f>
        <v>66</v>
      </c>
      <c r="L945" s="10" t="str">
        <f>IF(_xlfn.XLOOKUP($A945,'RAWDATA Cars Buyers DB'!$A:$A,'RAWDATA Cars Buyers DB'!K:K)&gt;54,"Old ",IF(_xlfn.XLOOKUP($A945,'RAWDATA Cars Buyers DB'!$A:$A,'RAWDATA Cars Buyers DB'!K:K)&gt;=31,"Middle Age ",IF(_xlfn.XLOOKUP($A945,'RAWDATA Cars Buyers DB'!$A:$A,'RAWDATA Cars Buyers DB'!K:K)&lt;31,"Adolescent","Invalid")))</f>
        <v xml:space="preserve">Old </v>
      </c>
      <c r="M945" s="8" t="str">
        <f>_xlfn.XLOOKUP($A945,'RAWDATA Cars Buyers DB'!$A:$A,'RAWDATA Cars Buyers DB'!L:L)</f>
        <v>Yes</v>
      </c>
    </row>
    <row r="946" spans="1:13">
      <c r="A946" s="6">
        <v>52101</v>
      </c>
      <c r="B946" s="10" t="str">
        <f>IF(_xlfn.XLOOKUP($A946,'RAWDATA Cars Buyers DB'!$A:$A,'RAWDATA Cars Buyers DB'!B:B)="S","Single","Married")</f>
        <v>Married</v>
      </c>
      <c r="C946" s="10" t="str">
        <f>IF(_xlfn.XLOOKUP($A946,'RAWDATA Cars Buyers DB'!$A:$A,'RAWDATA Cars Buyers DB'!C:C)="F","Female","Male")</f>
        <v>Male</v>
      </c>
      <c r="D946" s="7">
        <f>_xlfn.XLOOKUP($A946,'RAWDATA Cars Buyers DB'!$A:$A,'RAWDATA Cars Buyers DB'!D:D)</f>
        <v>108691</v>
      </c>
      <c r="E946" s="8">
        <f>_xlfn.XLOOKUP($A946,'RAWDATA Cars Buyers DB'!$A:$A,'RAWDATA Cars Buyers DB'!E:E)</f>
        <v>5</v>
      </c>
      <c r="F946" s="8" t="str">
        <f>_xlfn.XLOOKUP($A946,'RAWDATA Cars Buyers DB'!$A:$A,'RAWDATA Cars Buyers DB'!F:F)</f>
        <v>Graduate Degree</v>
      </c>
      <c r="G946" s="8" t="str">
        <f>_xlfn.XLOOKUP($A946,'RAWDATA Cars Buyers DB'!$A:$A,'RAWDATA Cars Buyers DB'!G:G)</f>
        <v>Skilled Manual</v>
      </c>
      <c r="H946" s="8" t="str">
        <f>_xlfn.XLOOKUP($A946,'RAWDATA Cars Buyers DB'!$A:$A,'RAWDATA Cars Buyers DB'!H:H)</f>
        <v>No</v>
      </c>
      <c r="I946" s="8" t="str">
        <f>_xlfn.XLOOKUP($A946,'RAWDATA Cars Buyers DB'!$A:$A,'RAWDATA Cars Buyers DB'!I:I)</f>
        <v>1–2 Kilometre</v>
      </c>
      <c r="J946" s="8" t="str">
        <f>_xlfn.XLOOKUP($A946,'RAWDATA Cars Buyers DB'!$A:$A,'RAWDATA Cars Buyers DB'!J:J)</f>
        <v>Mecklenburg-Vorpommern</v>
      </c>
      <c r="K946" s="8">
        <f>_xlfn.XLOOKUP($A946,'RAWDATA Cars Buyers DB'!$A:$A,'RAWDATA Cars Buyers DB'!K:K)</f>
        <v>59</v>
      </c>
      <c r="L946" s="10" t="str">
        <f>IF(_xlfn.XLOOKUP($A946,'RAWDATA Cars Buyers DB'!$A:$A,'RAWDATA Cars Buyers DB'!K:K)&gt;54,"Old ",IF(_xlfn.XLOOKUP($A946,'RAWDATA Cars Buyers DB'!$A:$A,'RAWDATA Cars Buyers DB'!K:K)&gt;=31,"Middle Age ",IF(_xlfn.XLOOKUP($A946,'RAWDATA Cars Buyers DB'!$A:$A,'RAWDATA Cars Buyers DB'!K:K)&lt;31,"Adolescent","Invalid")))</f>
        <v xml:space="preserve">Old </v>
      </c>
      <c r="M946" s="8" t="str">
        <f>_xlfn.XLOOKUP($A946,'RAWDATA Cars Buyers DB'!$A:$A,'RAWDATA Cars Buyers DB'!L:L)</f>
        <v>Yes</v>
      </c>
    </row>
    <row r="947" spans="1:13">
      <c r="A947" s="6">
        <v>74323</v>
      </c>
      <c r="B947" s="10" t="str">
        <f>IF(_xlfn.XLOOKUP($A947,'RAWDATA Cars Buyers DB'!$A:$A,'RAWDATA Cars Buyers DB'!B:B)="S","Single","Married")</f>
        <v>Married</v>
      </c>
      <c r="C947" s="10" t="str">
        <f>IF(_xlfn.XLOOKUP($A947,'RAWDATA Cars Buyers DB'!$A:$A,'RAWDATA Cars Buyers DB'!C:C)="F","Female","Male")</f>
        <v>Female</v>
      </c>
      <c r="D947" s="7">
        <f>_xlfn.XLOOKUP($A947,'RAWDATA Cars Buyers DB'!$A:$A,'RAWDATA Cars Buyers DB'!D:D)</f>
        <v>63884</v>
      </c>
      <c r="E947" s="8">
        <f>_xlfn.XLOOKUP($A947,'RAWDATA Cars Buyers DB'!$A:$A,'RAWDATA Cars Buyers DB'!E:E)</f>
        <v>4</v>
      </c>
      <c r="F947" s="8" t="str">
        <f>_xlfn.XLOOKUP($A947,'RAWDATA Cars Buyers DB'!$A:$A,'RAWDATA Cars Buyers DB'!F:F)</f>
        <v>Partial College</v>
      </c>
      <c r="G947" s="8" t="str">
        <f>_xlfn.XLOOKUP($A947,'RAWDATA Cars Buyers DB'!$A:$A,'RAWDATA Cars Buyers DB'!G:G)</f>
        <v>Management</v>
      </c>
      <c r="H947" s="8" t="str">
        <f>_xlfn.XLOOKUP($A947,'RAWDATA Cars Buyers DB'!$A:$A,'RAWDATA Cars Buyers DB'!H:H)</f>
        <v>No</v>
      </c>
      <c r="I947" s="8" t="str">
        <f>_xlfn.XLOOKUP($A947,'RAWDATA Cars Buyers DB'!$A:$A,'RAWDATA Cars Buyers DB'!I:I)</f>
        <v>2–4 Kilometre</v>
      </c>
      <c r="J947" s="8" t="str">
        <f>_xlfn.XLOOKUP($A947,'RAWDATA Cars Buyers DB'!$A:$A,'RAWDATA Cars Buyers DB'!J:J)</f>
        <v>Saxony</v>
      </c>
      <c r="K947" s="8">
        <f>_xlfn.XLOOKUP($A947,'RAWDATA Cars Buyers DB'!$A:$A,'RAWDATA Cars Buyers DB'!K:K)</f>
        <v>26</v>
      </c>
      <c r="L947" s="10" t="str">
        <f>IF(_xlfn.XLOOKUP($A947,'RAWDATA Cars Buyers DB'!$A:$A,'RAWDATA Cars Buyers DB'!K:K)&gt;54,"Old ",IF(_xlfn.XLOOKUP($A947,'RAWDATA Cars Buyers DB'!$A:$A,'RAWDATA Cars Buyers DB'!K:K)&gt;=31,"Middle Age ",IF(_xlfn.XLOOKUP($A947,'RAWDATA Cars Buyers DB'!$A:$A,'RAWDATA Cars Buyers DB'!K:K)&lt;31,"Adolescent","Invalid")))</f>
        <v>Adolescent</v>
      </c>
      <c r="M947" s="8" t="str">
        <f>_xlfn.XLOOKUP($A947,'RAWDATA Cars Buyers DB'!$A:$A,'RAWDATA Cars Buyers DB'!L:L)</f>
        <v>Yes</v>
      </c>
    </row>
    <row r="948" spans="1:13">
      <c r="A948" s="6">
        <v>68067</v>
      </c>
      <c r="B948" s="10" t="str">
        <f>IF(_xlfn.XLOOKUP($A948,'RAWDATA Cars Buyers DB'!$A:$A,'RAWDATA Cars Buyers DB'!B:B)="S","Single","Married")</f>
        <v>Married</v>
      </c>
      <c r="C948" s="10" t="str">
        <f>IF(_xlfn.XLOOKUP($A948,'RAWDATA Cars Buyers DB'!$A:$A,'RAWDATA Cars Buyers DB'!C:C)="F","Female","Male")</f>
        <v>Female</v>
      </c>
      <c r="D948" s="7">
        <f>_xlfn.XLOOKUP($A948,'RAWDATA Cars Buyers DB'!$A:$A,'RAWDATA Cars Buyers DB'!D:D)</f>
        <v>36964</v>
      </c>
      <c r="E948" s="8">
        <f>_xlfn.XLOOKUP($A948,'RAWDATA Cars Buyers DB'!$A:$A,'RAWDATA Cars Buyers DB'!E:E)</f>
        <v>4</v>
      </c>
      <c r="F948" s="8" t="str">
        <f>_xlfn.XLOOKUP($A948,'RAWDATA Cars Buyers DB'!$A:$A,'RAWDATA Cars Buyers DB'!F:F)</f>
        <v>Partial College</v>
      </c>
      <c r="G948" s="8" t="str">
        <f>_xlfn.XLOOKUP($A948,'RAWDATA Cars Buyers DB'!$A:$A,'RAWDATA Cars Buyers DB'!G:G)</f>
        <v>Professional</v>
      </c>
      <c r="H948" s="8" t="str">
        <f>_xlfn.XLOOKUP($A948,'RAWDATA Cars Buyers DB'!$A:$A,'RAWDATA Cars Buyers DB'!H:H)</f>
        <v>Yes</v>
      </c>
      <c r="I948" s="8" t="str">
        <f>_xlfn.XLOOKUP($A948,'RAWDATA Cars Buyers DB'!$A:$A,'RAWDATA Cars Buyers DB'!I:I)</f>
        <v>0–1 Kilometre</v>
      </c>
      <c r="J948" s="8" t="str">
        <f>_xlfn.XLOOKUP($A948,'RAWDATA Cars Buyers DB'!$A:$A,'RAWDATA Cars Buyers DB'!J:J)</f>
        <v>North Rhine-Westphalia</v>
      </c>
      <c r="K948" s="8">
        <f>_xlfn.XLOOKUP($A948,'RAWDATA Cars Buyers DB'!$A:$A,'RAWDATA Cars Buyers DB'!K:K)</f>
        <v>65</v>
      </c>
      <c r="L948" s="10" t="str">
        <f>IF(_xlfn.XLOOKUP($A948,'RAWDATA Cars Buyers DB'!$A:$A,'RAWDATA Cars Buyers DB'!K:K)&gt;54,"Old ",IF(_xlfn.XLOOKUP($A948,'RAWDATA Cars Buyers DB'!$A:$A,'RAWDATA Cars Buyers DB'!K:K)&gt;=31,"Middle Age ",IF(_xlfn.XLOOKUP($A948,'RAWDATA Cars Buyers DB'!$A:$A,'RAWDATA Cars Buyers DB'!K:K)&lt;31,"Adolescent","Invalid")))</f>
        <v xml:space="preserve">Old </v>
      </c>
      <c r="M948" s="8" t="str">
        <f>_xlfn.XLOOKUP($A948,'RAWDATA Cars Buyers DB'!$A:$A,'RAWDATA Cars Buyers DB'!L:L)</f>
        <v>Yes</v>
      </c>
    </row>
    <row r="949" spans="1:13">
      <c r="A949" s="6">
        <v>59376</v>
      </c>
      <c r="B949" s="10" t="str">
        <f>IF(_xlfn.XLOOKUP($A949,'RAWDATA Cars Buyers DB'!$A:$A,'RAWDATA Cars Buyers DB'!B:B)="S","Single","Married")</f>
        <v>Married</v>
      </c>
      <c r="C949" s="10" t="str">
        <f>IF(_xlfn.XLOOKUP($A949,'RAWDATA Cars Buyers DB'!$A:$A,'RAWDATA Cars Buyers DB'!C:C)="F","Female","Male")</f>
        <v>Male</v>
      </c>
      <c r="D949" s="7">
        <f>_xlfn.XLOOKUP($A949,'RAWDATA Cars Buyers DB'!$A:$A,'RAWDATA Cars Buyers DB'!D:D)</f>
        <v>57726</v>
      </c>
      <c r="E949" s="8">
        <f>_xlfn.XLOOKUP($A949,'RAWDATA Cars Buyers DB'!$A:$A,'RAWDATA Cars Buyers DB'!E:E)</f>
        <v>0</v>
      </c>
      <c r="F949" s="8" t="str">
        <f>_xlfn.XLOOKUP($A949,'RAWDATA Cars Buyers DB'!$A:$A,'RAWDATA Cars Buyers DB'!F:F)</f>
        <v>Graduate Degree</v>
      </c>
      <c r="G949" s="8" t="str">
        <f>_xlfn.XLOOKUP($A949,'RAWDATA Cars Buyers DB'!$A:$A,'RAWDATA Cars Buyers DB'!G:G)</f>
        <v>Skilled Manual</v>
      </c>
      <c r="H949" s="8" t="str">
        <f>_xlfn.XLOOKUP($A949,'RAWDATA Cars Buyers DB'!$A:$A,'RAWDATA Cars Buyers DB'!H:H)</f>
        <v>No</v>
      </c>
      <c r="I949" s="8" t="str">
        <f>_xlfn.XLOOKUP($A949,'RAWDATA Cars Buyers DB'!$A:$A,'RAWDATA Cars Buyers DB'!I:I)</f>
        <v>2–4 Kilometre</v>
      </c>
      <c r="J949" s="8" t="str">
        <f>_xlfn.XLOOKUP($A949,'RAWDATA Cars Buyers DB'!$A:$A,'RAWDATA Cars Buyers DB'!J:J)</f>
        <v>North Rhine-Westphalia</v>
      </c>
      <c r="K949" s="8">
        <f>_xlfn.XLOOKUP($A949,'RAWDATA Cars Buyers DB'!$A:$A,'RAWDATA Cars Buyers DB'!K:K)</f>
        <v>42</v>
      </c>
      <c r="L949" s="10" t="str">
        <f>IF(_xlfn.XLOOKUP($A949,'RAWDATA Cars Buyers DB'!$A:$A,'RAWDATA Cars Buyers DB'!K:K)&gt;54,"Old ",IF(_xlfn.XLOOKUP($A949,'RAWDATA Cars Buyers DB'!$A:$A,'RAWDATA Cars Buyers DB'!K:K)&gt;=31,"Middle Age ",IF(_xlfn.XLOOKUP($A949,'RAWDATA Cars Buyers DB'!$A:$A,'RAWDATA Cars Buyers DB'!K:K)&lt;31,"Adolescent","Invalid")))</f>
        <v xml:space="preserve">Middle Age </v>
      </c>
      <c r="M949" s="8" t="str">
        <f>_xlfn.XLOOKUP($A949,'RAWDATA Cars Buyers DB'!$A:$A,'RAWDATA Cars Buyers DB'!L:L)</f>
        <v>Yes</v>
      </c>
    </row>
    <row r="950" spans="1:13">
      <c r="A950" s="6">
        <v>55587</v>
      </c>
      <c r="B950" s="10" t="str">
        <f>IF(_xlfn.XLOOKUP($A950,'RAWDATA Cars Buyers DB'!$A:$A,'RAWDATA Cars Buyers DB'!B:B)="S","Single","Married")</f>
        <v>Married</v>
      </c>
      <c r="C950" s="10" t="str">
        <f>IF(_xlfn.XLOOKUP($A950,'RAWDATA Cars Buyers DB'!$A:$A,'RAWDATA Cars Buyers DB'!C:C)="F","Female","Male")</f>
        <v>Male</v>
      </c>
      <c r="D950" s="7">
        <f>_xlfn.XLOOKUP($A950,'RAWDATA Cars Buyers DB'!$A:$A,'RAWDATA Cars Buyers DB'!D:D)</f>
        <v>57044</v>
      </c>
      <c r="E950" s="8">
        <f>_xlfn.XLOOKUP($A950,'RAWDATA Cars Buyers DB'!$A:$A,'RAWDATA Cars Buyers DB'!E:E)</f>
        <v>0</v>
      </c>
      <c r="F950" s="8" t="str">
        <f>_xlfn.XLOOKUP($A950,'RAWDATA Cars Buyers DB'!$A:$A,'RAWDATA Cars Buyers DB'!F:F)</f>
        <v>Partial College</v>
      </c>
      <c r="G950" s="8" t="str">
        <f>_xlfn.XLOOKUP($A950,'RAWDATA Cars Buyers DB'!$A:$A,'RAWDATA Cars Buyers DB'!G:G)</f>
        <v>Professional</v>
      </c>
      <c r="H950" s="8" t="str">
        <f>_xlfn.XLOOKUP($A950,'RAWDATA Cars Buyers DB'!$A:$A,'RAWDATA Cars Buyers DB'!H:H)</f>
        <v>No</v>
      </c>
      <c r="I950" s="8" t="str">
        <f>_xlfn.XLOOKUP($A950,'RAWDATA Cars Buyers DB'!$A:$A,'RAWDATA Cars Buyers DB'!I:I)</f>
        <v>4–6 Kilometre</v>
      </c>
      <c r="J950" s="8" t="str">
        <f>_xlfn.XLOOKUP($A950,'RAWDATA Cars Buyers DB'!$A:$A,'RAWDATA Cars Buyers DB'!J:J)</f>
        <v>Brandenburg</v>
      </c>
      <c r="K950" s="8">
        <f>_xlfn.XLOOKUP($A950,'RAWDATA Cars Buyers DB'!$A:$A,'RAWDATA Cars Buyers DB'!K:K)</f>
        <v>38</v>
      </c>
      <c r="L950" s="10" t="str">
        <f>IF(_xlfn.XLOOKUP($A950,'RAWDATA Cars Buyers DB'!$A:$A,'RAWDATA Cars Buyers DB'!K:K)&gt;54,"Old ",IF(_xlfn.XLOOKUP($A950,'RAWDATA Cars Buyers DB'!$A:$A,'RAWDATA Cars Buyers DB'!K:K)&gt;=31,"Middle Age ",IF(_xlfn.XLOOKUP($A950,'RAWDATA Cars Buyers DB'!$A:$A,'RAWDATA Cars Buyers DB'!K:K)&lt;31,"Adolescent","Invalid")))</f>
        <v xml:space="preserve">Middle Age </v>
      </c>
      <c r="M950" s="8" t="str">
        <f>_xlfn.XLOOKUP($A950,'RAWDATA Cars Buyers DB'!$A:$A,'RAWDATA Cars Buyers DB'!L:L)</f>
        <v>Yes</v>
      </c>
    </row>
    <row r="951" spans="1:13">
      <c r="A951" s="6">
        <v>46976</v>
      </c>
      <c r="B951" s="10" t="str">
        <f>IF(_xlfn.XLOOKUP($A951,'RAWDATA Cars Buyers DB'!$A:$A,'RAWDATA Cars Buyers DB'!B:B)="S","Single","Married")</f>
        <v>Single</v>
      </c>
      <c r="C951" s="10" t="str">
        <f>IF(_xlfn.XLOOKUP($A951,'RAWDATA Cars Buyers DB'!$A:$A,'RAWDATA Cars Buyers DB'!C:C)="F","Female","Male")</f>
        <v>Female</v>
      </c>
      <c r="D951" s="7">
        <f>_xlfn.XLOOKUP($A951,'RAWDATA Cars Buyers DB'!$A:$A,'RAWDATA Cars Buyers DB'!D:D)</f>
        <v>77149</v>
      </c>
      <c r="E951" s="8">
        <f>_xlfn.XLOOKUP($A951,'RAWDATA Cars Buyers DB'!$A:$A,'RAWDATA Cars Buyers DB'!E:E)</f>
        <v>4</v>
      </c>
      <c r="F951" s="8" t="str">
        <f>_xlfn.XLOOKUP($A951,'RAWDATA Cars Buyers DB'!$A:$A,'RAWDATA Cars Buyers DB'!F:F)</f>
        <v>Graduate Degree</v>
      </c>
      <c r="G951" s="8" t="str">
        <f>_xlfn.XLOOKUP($A951,'RAWDATA Cars Buyers DB'!$A:$A,'RAWDATA Cars Buyers DB'!G:G)</f>
        <v>Professional</v>
      </c>
      <c r="H951" s="8" t="str">
        <f>_xlfn.XLOOKUP($A951,'RAWDATA Cars Buyers DB'!$A:$A,'RAWDATA Cars Buyers DB'!H:H)</f>
        <v>No</v>
      </c>
      <c r="I951" s="8" t="str">
        <f>_xlfn.XLOOKUP($A951,'RAWDATA Cars Buyers DB'!$A:$A,'RAWDATA Cars Buyers DB'!I:I)</f>
        <v>1–2 Kilometre</v>
      </c>
      <c r="J951" s="8" t="str">
        <f>_xlfn.XLOOKUP($A951,'RAWDATA Cars Buyers DB'!$A:$A,'RAWDATA Cars Buyers DB'!J:J)</f>
        <v>Saxony</v>
      </c>
      <c r="K951" s="8">
        <f>_xlfn.XLOOKUP($A951,'RAWDATA Cars Buyers DB'!$A:$A,'RAWDATA Cars Buyers DB'!K:K)</f>
        <v>65</v>
      </c>
      <c r="L951" s="10" t="str">
        <f>IF(_xlfn.XLOOKUP($A951,'RAWDATA Cars Buyers DB'!$A:$A,'RAWDATA Cars Buyers DB'!K:K)&gt;54,"Old ",IF(_xlfn.XLOOKUP($A951,'RAWDATA Cars Buyers DB'!$A:$A,'RAWDATA Cars Buyers DB'!K:K)&gt;=31,"Middle Age ",IF(_xlfn.XLOOKUP($A951,'RAWDATA Cars Buyers DB'!$A:$A,'RAWDATA Cars Buyers DB'!K:K)&lt;31,"Adolescent","Invalid")))</f>
        <v xml:space="preserve">Old </v>
      </c>
      <c r="M951" s="8" t="str">
        <f>_xlfn.XLOOKUP($A951,'RAWDATA Cars Buyers DB'!$A:$A,'RAWDATA Cars Buyers DB'!L:L)</f>
        <v>Yes</v>
      </c>
    </row>
    <row r="952" spans="1:13">
      <c r="A952" s="6">
        <v>77584</v>
      </c>
      <c r="B952" s="10" t="str">
        <f>IF(_xlfn.XLOOKUP($A952,'RAWDATA Cars Buyers DB'!$A:$A,'RAWDATA Cars Buyers DB'!B:B)="S","Single","Married")</f>
        <v>Married</v>
      </c>
      <c r="C952" s="10" t="str">
        <f>IF(_xlfn.XLOOKUP($A952,'RAWDATA Cars Buyers DB'!$A:$A,'RAWDATA Cars Buyers DB'!C:C)="F","Female","Male")</f>
        <v>Male</v>
      </c>
      <c r="D952" s="7">
        <f>_xlfn.XLOOKUP($A952,'RAWDATA Cars Buyers DB'!$A:$A,'RAWDATA Cars Buyers DB'!D:D)</f>
        <v>57544</v>
      </c>
      <c r="E952" s="8">
        <f>_xlfn.XLOOKUP($A952,'RAWDATA Cars Buyers DB'!$A:$A,'RAWDATA Cars Buyers DB'!E:E)</f>
        <v>5</v>
      </c>
      <c r="F952" s="8" t="str">
        <f>_xlfn.XLOOKUP($A952,'RAWDATA Cars Buyers DB'!$A:$A,'RAWDATA Cars Buyers DB'!F:F)</f>
        <v>Partial College</v>
      </c>
      <c r="G952" s="8" t="str">
        <f>_xlfn.XLOOKUP($A952,'RAWDATA Cars Buyers DB'!$A:$A,'RAWDATA Cars Buyers DB'!G:G)</f>
        <v>Skilled Manual</v>
      </c>
      <c r="H952" s="8" t="str">
        <f>_xlfn.XLOOKUP($A952,'RAWDATA Cars Buyers DB'!$A:$A,'RAWDATA Cars Buyers DB'!H:H)</f>
        <v>Yes</v>
      </c>
      <c r="I952" s="8" t="str">
        <f>_xlfn.XLOOKUP($A952,'RAWDATA Cars Buyers DB'!$A:$A,'RAWDATA Cars Buyers DB'!I:I)</f>
        <v>1–2 Kilometre</v>
      </c>
      <c r="J952" s="8" t="str">
        <f>_xlfn.XLOOKUP($A952,'RAWDATA Cars Buyers DB'!$A:$A,'RAWDATA Cars Buyers DB'!J:J)</f>
        <v>Schleswig-Holstein</v>
      </c>
      <c r="K952" s="8">
        <f>_xlfn.XLOOKUP($A952,'RAWDATA Cars Buyers DB'!$A:$A,'RAWDATA Cars Buyers DB'!K:K)</f>
        <v>41</v>
      </c>
      <c r="L952" s="10" t="str">
        <f>IF(_xlfn.XLOOKUP($A952,'RAWDATA Cars Buyers DB'!$A:$A,'RAWDATA Cars Buyers DB'!K:K)&gt;54,"Old ",IF(_xlfn.XLOOKUP($A952,'RAWDATA Cars Buyers DB'!$A:$A,'RAWDATA Cars Buyers DB'!K:K)&gt;=31,"Middle Age ",IF(_xlfn.XLOOKUP($A952,'RAWDATA Cars Buyers DB'!$A:$A,'RAWDATA Cars Buyers DB'!K:K)&lt;31,"Adolescent","Invalid")))</f>
        <v xml:space="preserve">Middle Age </v>
      </c>
      <c r="M952" s="8" t="str">
        <f>_xlfn.XLOOKUP($A952,'RAWDATA Cars Buyers DB'!$A:$A,'RAWDATA Cars Buyers DB'!L:L)</f>
        <v>Yes</v>
      </c>
    </row>
    <row r="953" spans="1:13">
      <c r="A953" s="6">
        <v>88477</v>
      </c>
      <c r="B953" s="10" t="str">
        <f>IF(_xlfn.XLOOKUP($A953,'RAWDATA Cars Buyers DB'!$A:$A,'RAWDATA Cars Buyers DB'!B:B)="S","Single","Married")</f>
        <v>Single</v>
      </c>
      <c r="C953" s="10" t="str">
        <f>IF(_xlfn.XLOOKUP($A953,'RAWDATA Cars Buyers DB'!$A:$A,'RAWDATA Cars Buyers DB'!C:C)="F","Female","Male")</f>
        <v>Male</v>
      </c>
      <c r="D953" s="7">
        <f>_xlfn.XLOOKUP($A953,'RAWDATA Cars Buyers DB'!$A:$A,'RAWDATA Cars Buyers DB'!D:D)</f>
        <v>69976</v>
      </c>
      <c r="E953" s="8">
        <f>_xlfn.XLOOKUP($A953,'RAWDATA Cars Buyers DB'!$A:$A,'RAWDATA Cars Buyers DB'!E:E)</f>
        <v>2</v>
      </c>
      <c r="F953" s="8" t="str">
        <f>_xlfn.XLOOKUP($A953,'RAWDATA Cars Buyers DB'!$A:$A,'RAWDATA Cars Buyers DB'!F:F)</f>
        <v>Graduate Degree</v>
      </c>
      <c r="G953" s="8" t="str">
        <f>_xlfn.XLOOKUP($A953,'RAWDATA Cars Buyers DB'!$A:$A,'RAWDATA Cars Buyers DB'!G:G)</f>
        <v>Skilled Manual</v>
      </c>
      <c r="H953" s="8" t="str">
        <f>_xlfn.XLOOKUP($A953,'RAWDATA Cars Buyers DB'!$A:$A,'RAWDATA Cars Buyers DB'!H:H)</f>
        <v>No</v>
      </c>
      <c r="I953" s="8" t="str">
        <f>_xlfn.XLOOKUP($A953,'RAWDATA Cars Buyers DB'!$A:$A,'RAWDATA Cars Buyers DB'!I:I)</f>
        <v>1–2 Kilometre</v>
      </c>
      <c r="J953" s="8" t="str">
        <f>_xlfn.XLOOKUP($A953,'RAWDATA Cars Buyers DB'!$A:$A,'RAWDATA Cars Buyers DB'!J:J)</f>
        <v>Hesse</v>
      </c>
      <c r="K953" s="8">
        <f>_xlfn.XLOOKUP($A953,'RAWDATA Cars Buyers DB'!$A:$A,'RAWDATA Cars Buyers DB'!K:K)</f>
        <v>32</v>
      </c>
      <c r="L953" s="10" t="str">
        <f>IF(_xlfn.XLOOKUP($A953,'RAWDATA Cars Buyers DB'!$A:$A,'RAWDATA Cars Buyers DB'!K:K)&gt;54,"Old ",IF(_xlfn.XLOOKUP($A953,'RAWDATA Cars Buyers DB'!$A:$A,'RAWDATA Cars Buyers DB'!K:K)&gt;=31,"Middle Age ",IF(_xlfn.XLOOKUP($A953,'RAWDATA Cars Buyers DB'!$A:$A,'RAWDATA Cars Buyers DB'!K:K)&lt;31,"Adolescent","Invalid")))</f>
        <v xml:space="preserve">Middle Age </v>
      </c>
      <c r="M953" s="8" t="str">
        <f>_xlfn.XLOOKUP($A953,'RAWDATA Cars Buyers DB'!$A:$A,'RAWDATA Cars Buyers DB'!L:L)</f>
        <v>Yes</v>
      </c>
    </row>
    <row r="954" spans="1:13">
      <c r="A954" s="6">
        <v>52533</v>
      </c>
      <c r="B954" s="10" t="str">
        <f>IF(_xlfn.XLOOKUP($A954,'RAWDATA Cars Buyers DB'!$A:$A,'RAWDATA Cars Buyers DB'!B:B)="S","Single","Married")</f>
        <v>Single</v>
      </c>
      <c r="C954" s="10" t="str">
        <f>IF(_xlfn.XLOOKUP($A954,'RAWDATA Cars Buyers DB'!$A:$A,'RAWDATA Cars Buyers DB'!C:C)="F","Female","Male")</f>
        <v>Male</v>
      </c>
      <c r="D954" s="7">
        <f>_xlfn.XLOOKUP($A954,'RAWDATA Cars Buyers DB'!$A:$A,'RAWDATA Cars Buyers DB'!D:D)</f>
        <v>52252</v>
      </c>
      <c r="E954" s="8">
        <f>_xlfn.XLOOKUP($A954,'RAWDATA Cars Buyers DB'!$A:$A,'RAWDATA Cars Buyers DB'!E:E)</f>
        <v>4</v>
      </c>
      <c r="F954" s="8" t="str">
        <f>_xlfn.XLOOKUP($A954,'RAWDATA Cars Buyers DB'!$A:$A,'RAWDATA Cars Buyers DB'!F:F)</f>
        <v>Partial College</v>
      </c>
      <c r="G954" s="8" t="str">
        <f>_xlfn.XLOOKUP($A954,'RAWDATA Cars Buyers DB'!$A:$A,'RAWDATA Cars Buyers DB'!G:G)</f>
        <v>Management</v>
      </c>
      <c r="H954" s="8" t="str">
        <f>_xlfn.XLOOKUP($A954,'RAWDATA Cars Buyers DB'!$A:$A,'RAWDATA Cars Buyers DB'!H:H)</f>
        <v>Yes</v>
      </c>
      <c r="I954" s="8" t="str">
        <f>_xlfn.XLOOKUP($A954,'RAWDATA Cars Buyers DB'!$A:$A,'RAWDATA Cars Buyers DB'!I:I)</f>
        <v>0–1 Kilometre</v>
      </c>
      <c r="J954" s="8" t="str">
        <f>_xlfn.XLOOKUP($A954,'RAWDATA Cars Buyers DB'!$A:$A,'RAWDATA Cars Buyers DB'!J:J)</f>
        <v>Saxony-Anhalt</v>
      </c>
      <c r="K954" s="8">
        <f>_xlfn.XLOOKUP($A954,'RAWDATA Cars Buyers DB'!$A:$A,'RAWDATA Cars Buyers DB'!K:K)</f>
        <v>40</v>
      </c>
      <c r="L954" s="10" t="str">
        <f>IF(_xlfn.XLOOKUP($A954,'RAWDATA Cars Buyers DB'!$A:$A,'RAWDATA Cars Buyers DB'!K:K)&gt;54,"Old ",IF(_xlfn.XLOOKUP($A954,'RAWDATA Cars Buyers DB'!$A:$A,'RAWDATA Cars Buyers DB'!K:K)&gt;=31,"Middle Age ",IF(_xlfn.XLOOKUP($A954,'RAWDATA Cars Buyers DB'!$A:$A,'RAWDATA Cars Buyers DB'!K:K)&lt;31,"Adolescent","Invalid")))</f>
        <v xml:space="preserve">Middle Age </v>
      </c>
      <c r="M954" s="8" t="str">
        <f>_xlfn.XLOOKUP($A954,'RAWDATA Cars Buyers DB'!$A:$A,'RAWDATA Cars Buyers DB'!L:L)</f>
        <v>No</v>
      </c>
    </row>
    <row r="955" spans="1:13">
      <c r="A955" s="6">
        <v>11828</v>
      </c>
      <c r="B955" s="10" t="str">
        <f>IF(_xlfn.XLOOKUP($A955,'RAWDATA Cars Buyers DB'!$A:$A,'RAWDATA Cars Buyers DB'!B:B)="S","Single","Married")</f>
        <v>Single</v>
      </c>
      <c r="C955" s="10" t="str">
        <f>IF(_xlfn.XLOOKUP($A955,'RAWDATA Cars Buyers DB'!$A:$A,'RAWDATA Cars Buyers DB'!C:C)="F","Female","Male")</f>
        <v>Male</v>
      </c>
      <c r="D955" s="7">
        <f>_xlfn.XLOOKUP($A955,'RAWDATA Cars Buyers DB'!$A:$A,'RAWDATA Cars Buyers DB'!D:D)</f>
        <v>23832</v>
      </c>
      <c r="E955" s="8">
        <f>_xlfn.XLOOKUP($A955,'RAWDATA Cars Buyers DB'!$A:$A,'RAWDATA Cars Buyers DB'!E:E)</f>
        <v>0</v>
      </c>
      <c r="F955" s="8" t="str">
        <f>_xlfn.XLOOKUP($A955,'RAWDATA Cars Buyers DB'!$A:$A,'RAWDATA Cars Buyers DB'!F:F)</f>
        <v>Graduate Degree</v>
      </c>
      <c r="G955" s="8" t="str">
        <f>_xlfn.XLOOKUP($A955,'RAWDATA Cars Buyers DB'!$A:$A,'RAWDATA Cars Buyers DB'!G:G)</f>
        <v>Professional</v>
      </c>
      <c r="H955" s="8" t="str">
        <f>_xlfn.XLOOKUP($A955,'RAWDATA Cars Buyers DB'!$A:$A,'RAWDATA Cars Buyers DB'!H:H)</f>
        <v>Yes</v>
      </c>
      <c r="I955" s="8" t="str">
        <f>_xlfn.XLOOKUP($A955,'RAWDATA Cars Buyers DB'!$A:$A,'RAWDATA Cars Buyers DB'!I:I)</f>
        <v>0–1 Kilometre</v>
      </c>
      <c r="J955" s="8" t="str">
        <f>_xlfn.XLOOKUP($A955,'RAWDATA Cars Buyers DB'!$A:$A,'RAWDATA Cars Buyers DB'!J:J)</f>
        <v>Rhineland-Palatinate</v>
      </c>
      <c r="K955" s="8">
        <f>_xlfn.XLOOKUP($A955,'RAWDATA Cars Buyers DB'!$A:$A,'RAWDATA Cars Buyers DB'!K:K)</f>
        <v>20</v>
      </c>
      <c r="L955" s="10" t="str">
        <f>IF(_xlfn.XLOOKUP($A955,'RAWDATA Cars Buyers DB'!$A:$A,'RAWDATA Cars Buyers DB'!K:K)&gt;54,"Old ",IF(_xlfn.XLOOKUP($A955,'RAWDATA Cars Buyers DB'!$A:$A,'RAWDATA Cars Buyers DB'!K:K)&gt;=31,"Middle Age ",IF(_xlfn.XLOOKUP($A955,'RAWDATA Cars Buyers DB'!$A:$A,'RAWDATA Cars Buyers DB'!K:K)&lt;31,"Adolescent","Invalid")))</f>
        <v>Adolescent</v>
      </c>
      <c r="M955" s="8" t="str">
        <f>_xlfn.XLOOKUP($A955,'RAWDATA Cars Buyers DB'!$A:$A,'RAWDATA Cars Buyers DB'!L:L)</f>
        <v>No</v>
      </c>
    </row>
    <row r="956" spans="1:13">
      <c r="A956" s="6">
        <v>11917</v>
      </c>
      <c r="B956" s="10" t="str">
        <f>IF(_xlfn.XLOOKUP($A956,'RAWDATA Cars Buyers DB'!$A:$A,'RAWDATA Cars Buyers DB'!B:B)="S","Single","Married")</f>
        <v>Married</v>
      </c>
      <c r="C956" s="10" t="str">
        <f>IF(_xlfn.XLOOKUP($A956,'RAWDATA Cars Buyers DB'!$A:$A,'RAWDATA Cars Buyers DB'!C:C)="F","Female","Male")</f>
        <v>Male</v>
      </c>
      <c r="D956" s="7">
        <f>_xlfn.XLOOKUP($A956,'RAWDATA Cars Buyers DB'!$A:$A,'RAWDATA Cars Buyers DB'!D:D)</f>
        <v>110811</v>
      </c>
      <c r="E956" s="8">
        <f>_xlfn.XLOOKUP($A956,'RAWDATA Cars Buyers DB'!$A:$A,'RAWDATA Cars Buyers DB'!E:E)</f>
        <v>3</v>
      </c>
      <c r="F956" s="8" t="str">
        <f>_xlfn.XLOOKUP($A956,'RAWDATA Cars Buyers DB'!$A:$A,'RAWDATA Cars Buyers DB'!F:F)</f>
        <v>High School</v>
      </c>
      <c r="G956" s="8" t="str">
        <f>_xlfn.XLOOKUP($A956,'RAWDATA Cars Buyers DB'!$A:$A,'RAWDATA Cars Buyers DB'!G:G)</f>
        <v>Professional</v>
      </c>
      <c r="H956" s="8" t="str">
        <f>_xlfn.XLOOKUP($A956,'RAWDATA Cars Buyers DB'!$A:$A,'RAWDATA Cars Buyers DB'!H:H)</f>
        <v>Yes</v>
      </c>
      <c r="I956" s="8" t="str">
        <f>_xlfn.XLOOKUP($A956,'RAWDATA Cars Buyers DB'!$A:$A,'RAWDATA Cars Buyers DB'!I:I)</f>
        <v>6+ Kilometre</v>
      </c>
      <c r="J956" s="8" t="str">
        <f>_xlfn.XLOOKUP($A956,'RAWDATA Cars Buyers DB'!$A:$A,'RAWDATA Cars Buyers DB'!J:J)</f>
        <v>Saxony</v>
      </c>
      <c r="K956" s="8">
        <f>_xlfn.XLOOKUP($A956,'RAWDATA Cars Buyers DB'!$A:$A,'RAWDATA Cars Buyers DB'!K:K)</f>
        <v>38</v>
      </c>
      <c r="L956" s="10" t="str">
        <f>IF(_xlfn.XLOOKUP($A956,'RAWDATA Cars Buyers DB'!$A:$A,'RAWDATA Cars Buyers DB'!K:K)&gt;54,"Old ",IF(_xlfn.XLOOKUP($A956,'RAWDATA Cars Buyers DB'!$A:$A,'RAWDATA Cars Buyers DB'!K:K)&gt;=31,"Middle Age ",IF(_xlfn.XLOOKUP($A956,'RAWDATA Cars Buyers DB'!$A:$A,'RAWDATA Cars Buyers DB'!K:K)&lt;31,"Adolescent","Invalid")))</f>
        <v xml:space="preserve">Middle Age </v>
      </c>
      <c r="M956" s="8" t="str">
        <f>_xlfn.XLOOKUP($A956,'RAWDATA Cars Buyers DB'!$A:$A,'RAWDATA Cars Buyers DB'!L:L)</f>
        <v>No</v>
      </c>
    </row>
    <row r="957" spans="1:13">
      <c r="A957" s="6">
        <v>30618</v>
      </c>
      <c r="B957" s="10" t="str">
        <f>IF(_xlfn.XLOOKUP($A957,'RAWDATA Cars Buyers DB'!$A:$A,'RAWDATA Cars Buyers DB'!B:B)="S","Single","Married")</f>
        <v>Single</v>
      </c>
      <c r="C957" s="10" t="str">
        <f>IF(_xlfn.XLOOKUP($A957,'RAWDATA Cars Buyers DB'!$A:$A,'RAWDATA Cars Buyers DB'!C:C)="F","Female","Male")</f>
        <v>Male</v>
      </c>
      <c r="D957" s="7">
        <f>_xlfn.XLOOKUP($A957,'RAWDATA Cars Buyers DB'!$A:$A,'RAWDATA Cars Buyers DB'!D:D)</f>
        <v>100437</v>
      </c>
      <c r="E957" s="8">
        <f>_xlfn.XLOOKUP($A957,'RAWDATA Cars Buyers DB'!$A:$A,'RAWDATA Cars Buyers DB'!E:E)</f>
        <v>1</v>
      </c>
      <c r="F957" s="8" t="str">
        <f>_xlfn.XLOOKUP($A957,'RAWDATA Cars Buyers DB'!$A:$A,'RAWDATA Cars Buyers DB'!F:F)</f>
        <v>Graduate Degree</v>
      </c>
      <c r="G957" s="8" t="str">
        <f>_xlfn.XLOOKUP($A957,'RAWDATA Cars Buyers DB'!$A:$A,'RAWDATA Cars Buyers DB'!G:G)</f>
        <v>Skilled Manual</v>
      </c>
      <c r="H957" s="8" t="str">
        <f>_xlfn.XLOOKUP($A957,'RAWDATA Cars Buyers DB'!$A:$A,'RAWDATA Cars Buyers DB'!H:H)</f>
        <v>Yes</v>
      </c>
      <c r="I957" s="8" t="str">
        <f>_xlfn.XLOOKUP($A957,'RAWDATA Cars Buyers DB'!$A:$A,'RAWDATA Cars Buyers DB'!I:I)</f>
        <v>2–4 Kilometre</v>
      </c>
      <c r="J957" s="8" t="str">
        <f>_xlfn.XLOOKUP($A957,'RAWDATA Cars Buyers DB'!$A:$A,'RAWDATA Cars Buyers DB'!J:J)</f>
        <v>Schleswig-Holstein</v>
      </c>
      <c r="K957" s="8">
        <f>_xlfn.XLOOKUP($A957,'RAWDATA Cars Buyers DB'!$A:$A,'RAWDATA Cars Buyers DB'!K:K)</f>
        <v>52</v>
      </c>
      <c r="L957" s="10" t="str">
        <f>IF(_xlfn.XLOOKUP($A957,'RAWDATA Cars Buyers DB'!$A:$A,'RAWDATA Cars Buyers DB'!K:K)&gt;54,"Old ",IF(_xlfn.XLOOKUP($A957,'RAWDATA Cars Buyers DB'!$A:$A,'RAWDATA Cars Buyers DB'!K:K)&gt;=31,"Middle Age ",IF(_xlfn.XLOOKUP($A957,'RAWDATA Cars Buyers DB'!$A:$A,'RAWDATA Cars Buyers DB'!K:K)&lt;31,"Adolescent","Invalid")))</f>
        <v xml:space="preserve">Middle Age </v>
      </c>
      <c r="M957" s="8" t="str">
        <f>_xlfn.XLOOKUP($A957,'RAWDATA Cars Buyers DB'!$A:$A,'RAWDATA Cars Buyers DB'!L:L)</f>
        <v>Yes</v>
      </c>
    </row>
    <row r="958" spans="1:13">
      <c r="A958" s="6">
        <v>42254</v>
      </c>
      <c r="B958" s="10" t="str">
        <f>IF(_xlfn.XLOOKUP($A958,'RAWDATA Cars Buyers DB'!$A:$A,'RAWDATA Cars Buyers DB'!B:B)="S","Single","Married")</f>
        <v>Married</v>
      </c>
      <c r="C958" s="10" t="str">
        <f>IF(_xlfn.XLOOKUP($A958,'RAWDATA Cars Buyers DB'!$A:$A,'RAWDATA Cars Buyers DB'!C:C)="F","Female","Male")</f>
        <v>Female</v>
      </c>
      <c r="D958" s="7">
        <f>_xlfn.XLOOKUP($A958,'RAWDATA Cars Buyers DB'!$A:$A,'RAWDATA Cars Buyers DB'!D:D)</f>
        <v>54148</v>
      </c>
      <c r="E958" s="8">
        <f>_xlfn.XLOOKUP($A958,'RAWDATA Cars Buyers DB'!$A:$A,'RAWDATA Cars Buyers DB'!E:E)</f>
        <v>5</v>
      </c>
      <c r="F958" s="8" t="str">
        <f>_xlfn.XLOOKUP($A958,'RAWDATA Cars Buyers DB'!$A:$A,'RAWDATA Cars Buyers DB'!F:F)</f>
        <v>Partial College</v>
      </c>
      <c r="G958" s="8" t="str">
        <f>_xlfn.XLOOKUP($A958,'RAWDATA Cars Buyers DB'!$A:$A,'RAWDATA Cars Buyers DB'!G:G)</f>
        <v>Clerical</v>
      </c>
      <c r="H958" s="8" t="str">
        <f>_xlfn.XLOOKUP($A958,'RAWDATA Cars Buyers DB'!$A:$A,'RAWDATA Cars Buyers DB'!H:H)</f>
        <v>Yes</v>
      </c>
      <c r="I958" s="8" t="str">
        <f>_xlfn.XLOOKUP($A958,'RAWDATA Cars Buyers DB'!$A:$A,'RAWDATA Cars Buyers DB'!I:I)</f>
        <v>2–4 Kilometre</v>
      </c>
      <c r="J958" s="8" t="str">
        <f>_xlfn.XLOOKUP($A958,'RAWDATA Cars Buyers DB'!$A:$A,'RAWDATA Cars Buyers DB'!J:J)</f>
        <v>Saarland</v>
      </c>
      <c r="K958" s="8">
        <f>_xlfn.XLOOKUP($A958,'RAWDATA Cars Buyers DB'!$A:$A,'RAWDATA Cars Buyers DB'!K:K)</f>
        <v>23</v>
      </c>
      <c r="L958" s="10" t="str">
        <f>IF(_xlfn.XLOOKUP($A958,'RAWDATA Cars Buyers DB'!$A:$A,'RAWDATA Cars Buyers DB'!K:K)&gt;54,"Old ",IF(_xlfn.XLOOKUP($A958,'RAWDATA Cars Buyers DB'!$A:$A,'RAWDATA Cars Buyers DB'!K:K)&gt;=31,"Middle Age ",IF(_xlfn.XLOOKUP($A958,'RAWDATA Cars Buyers DB'!$A:$A,'RAWDATA Cars Buyers DB'!K:K)&lt;31,"Adolescent","Invalid")))</f>
        <v>Adolescent</v>
      </c>
      <c r="M958" s="8" t="str">
        <f>_xlfn.XLOOKUP($A958,'RAWDATA Cars Buyers DB'!$A:$A,'RAWDATA Cars Buyers DB'!L:L)</f>
        <v>Yes</v>
      </c>
    </row>
    <row r="959" spans="1:13">
      <c r="A959" s="6">
        <v>57362</v>
      </c>
      <c r="B959" s="10" t="str">
        <f>IF(_xlfn.XLOOKUP($A959,'RAWDATA Cars Buyers DB'!$A:$A,'RAWDATA Cars Buyers DB'!B:B)="S","Single","Married")</f>
        <v>Married</v>
      </c>
      <c r="C959" s="10" t="str">
        <f>IF(_xlfn.XLOOKUP($A959,'RAWDATA Cars Buyers DB'!$A:$A,'RAWDATA Cars Buyers DB'!C:C)="F","Female","Male")</f>
        <v>Male</v>
      </c>
      <c r="D959" s="7">
        <f>_xlfn.XLOOKUP($A959,'RAWDATA Cars Buyers DB'!$A:$A,'RAWDATA Cars Buyers DB'!D:D)</f>
        <v>81240</v>
      </c>
      <c r="E959" s="8">
        <f>_xlfn.XLOOKUP($A959,'RAWDATA Cars Buyers DB'!$A:$A,'RAWDATA Cars Buyers DB'!E:E)</f>
        <v>5</v>
      </c>
      <c r="F959" s="8" t="str">
        <f>_xlfn.XLOOKUP($A959,'RAWDATA Cars Buyers DB'!$A:$A,'RAWDATA Cars Buyers DB'!F:F)</f>
        <v>Partial College</v>
      </c>
      <c r="G959" s="8" t="str">
        <f>_xlfn.XLOOKUP($A959,'RAWDATA Cars Buyers DB'!$A:$A,'RAWDATA Cars Buyers DB'!G:G)</f>
        <v>Skilled Manual</v>
      </c>
      <c r="H959" s="8" t="str">
        <f>_xlfn.XLOOKUP($A959,'RAWDATA Cars Buyers DB'!$A:$A,'RAWDATA Cars Buyers DB'!H:H)</f>
        <v>No</v>
      </c>
      <c r="I959" s="8" t="str">
        <f>_xlfn.XLOOKUP($A959,'RAWDATA Cars Buyers DB'!$A:$A,'RAWDATA Cars Buyers DB'!I:I)</f>
        <v>4–6 Kilometre</v>
      </c>
      <c r="J959" s="8" t="str">
        <f>_xlfn.XLOOKUP($A959,'RAWDATA Cars Buyers DB'!$A:$A,'RAWDATA Cars Buyers DB'!J:J)</f>
        <v>Thuringia</v>
      </c>
      <c r="K959" s="8">
        <f>_xlfn.XLOOKUP($A959,'RAWDATA Cars Buyers DB'!$A:$A,'RAWDATA Cars Buyers DB'!K:K)</f>
        <v>61</v>
      </c>
      <c r="L959" s="10" t="str">
        <f>IF(_xlfn.XLOOKUP($A959,'RAWDATA Cars Buyers DB'!$A:$A,'RAWDATA Cars Buyers DB'!K:K)&gt;54,"Old ",IF(_xlfn.XLOOKUP($A959,'RAWDATA Cars Buyers DB'!$A:$A,'RAWDATA Cars Buyers DB'!K:K)&gt;=31,"Middle Age ",IF(_xlfn.XLOOKUP($A959,'RAWDATA Cars Buyers DB'!$A:$A,'RAWDATA Cars Buyers DB'!K:K)&lt;31,"Adolescent","Invalid")))</f>
        <v xml:space="preserve">Old </v>
      </c>
      <c r="M959" s="8" t="str">
        <f>_xlfn.XLOOKUP($A959,'RAWDATA Cars Buyers DB'!$A:$A,'RAWDATA Cars Buyers DB'!L:L)</f>
        <v>Yes</v>
      </c>
    </row>
    <row r="960" spans="1:13">
      <c r="A960" s="6">
        <v>30128</v>
      </c>
      <c r="B960" s="10" t="str">
        <f>IF(_xlfn.XLOOKUP($A960,'RAWDATA Cars Buyers DB'!$A:$A,'RAWDATA Cars Buyers DB'!B:B)="S","Single","Married")</f>
        <v>Single</v>
      </c>
      <c r="C960" s="10" t="str">
        <f>IF(_xlfn.XLOOKUP($A960,'RAWDATA Cars Buyers DB'!$A:$A,'RAWDATA Cars Buyers DB'!C:C)="F","Female","Male")</f>
        <v>Male</v>
      </c>
      <c r="D960" s="7">
        <f>_xlfn.XLOOKUP($A960,'RAWDATA Cars Buyers DB'!$A:$A,'RAWDATA Cars Buyers DB'!D:D)</f>
        <v>108454</v>
      </c>
      <c r="E960" s="8">
        <f>_xlfn.XLOOKUP($A960,'RAWDATA Cars Buyers DB'!$A:$A,'RAWDATA Cars Buyers DB'!E:E)</f>
        <v>3</v>
      </c>
      <c r="F960" s="8" t="str">
        <f>_xlfn.XLOOKUP($A960,'RAWDATA Cars Buyers DB'!$A:$A,'RAWDATA Cars Buyers DB'!F:F)</f>
        <v>Bachelors</v>
      </c>
      <c r="G960" s="8" t="str">
        <f>_xlfn.XLOOKUP($A960,'RAWDATA Cars Buyers DB'!$A:$A,'RAWDATA Cars Buyers DB'!G:G)</f>
        <v>Professional</v>
      </c>
      <c r="H960" s="8" t="str">
        <f>_xlfn.XLOOKUP($A960,'RAWDATA Cars Buyers DB'!$A:$A,'RAWDATA Cars Buyers DB'!H:H)</f>
        <v>No</v>
      </c>
      <c r="I960" s="8" t="str">
        <f>_xlfn.XLOOKUP($A960,'RAWDATA Cars Buyers DB'!$A:$A,'RAWDATA Cars Buyers DB'!I:I)</f>
        <v>1–2 Kilometre</v>
      </c>
      <c r="J960" s="8" t="str">
        <f>_xlfn.XLOOKUP($A960,'RAWDATA Cars Buyers DB'!$A:$A,'RAWDATA Cars Buyers DB'!J:J)</f>
        <v>Rhineland-Palatinate</v>
      </c>
      <c r="K960" s="8">
        <f>_xlfn.XLOOKUP($A960,'RAWDATA Cars Buyers DB'!$A:$A,'RAWDATA Cars Buyers DB'!K:K)</f>
        <v>22</v>
      </c>
      <c r="L960" s="10" t="str">
        <f>IF(_xlfn.XLOOKUP($A960,'RAWDATA Cars Buyers DB'!$A:$A,'RAWDATA Cars Buyers DB'!K:K)&gt;54,"Old ",IF(_xlfn.XLOOKUP($A960,'RAWDATA Cars Buyers DB'!$A:$A,'RAWDATA Cars Buyers DB'!K:K)&gt;=31,"Middle Age ",IF(_xlfn.XLOOKUP($A960,'RAWDATA Cars Buyers DB'!$A:$A,'RAWDATA Cars Buyers DB'!K:K)&lt;31,"Adolescent","Invalid")))</f>
        <v>Adolescent</v>
      </c>
      <c r="M960" s="8" t="str">
        <f>_xlfn.XLOOKUP($A960,'RAWDATA Cars Buyers DB'!$A:$A,'RAWDATA Cars Buyers DB'!L:L)</f>
        <v>No</v>
      </c>
    </row>
    <row r="961" spans="1:13">
      <c r="A961" s="6">
        <v>69383</v>
      </c>
      <c r="B961" s="10" t="str">
        <f>IF(_xlfn.XLOOKUP($A961,'RAWDATA Cars Buyers DB'!$A:$A,'RAWDATA Cars Buyers DB'!B:B)="S","Single","Married")</f>
        <v>Married</v>
      </c>
      <c r="C961" s="10" t="str">
        <f>IF(_xlfn.XLOOKUP($A961,'RAWDATA Cars Buyers DB'!$A:$A,'RAWDATA Cars Buyers DB'!C:C)="F","Female","Male")</f>
        <v>Female</v>
      </c>
      <c r="D961" s="7">
        <f>_xlfn.XLOOKUP($A961,'RAWDATA Cars Buyers DB'!$A:$A,'RAWDATA Cars Buyers DB'!D:D)</f>
        <v>105076</v>
      </c>
      <c r="E961" s="8">
        <f>_xlfn.XLOOKUP($A961,'RAWDATA Cars Buyers DB'!$A:$A,'RAWDATA Cars Buyers DB'!E:E)</f>
        <v>3</v>
      </c>
      <c r="F961" s="8" t="str">
        <f>_xlfn.XLOOKUP($A961,'RAWDATA Cars Buyers DB'!$A:$A,'RAWDATA Cars Buyers DB'!F:F)</f>
        <v>Graduate Degree</v>
      </c>
      <c r="G961" s="8" t="str">
        <f>_xlfn.XLOOKUP($A961,'RAWDATA Cars Buyers DB'!$A:$A,'RAWDATA Cars Buyers DB'!G:G)</f>
        <v>Skilled Manual</v>
      </c>
      <c r="H961" s="8" t="str">
        <f>_xlfn.XLOOKUP($A961,'RAWDATA Cars Buyers DB'!$A:$A,'RAWDATA Cars Buyers DB'!H:H)</f>
        <v>Yes</v>
      </c>
      <c r="I961" s="8" t="str">
        <f>_xlfn.XLOOKUP($A961,'RAWDATA Cars Buyers DB'!$A:$A,'RAWDATA Cars Buyers DB'!I:I)</f>
        <v>0–1 Kilometre</v>
      </c>
      <c r="J961" s="8" t="str">
        <f>_xlfn.XLOOKUP($A961,'RAWDATA Cars Buyers DB'!$A:$A,'RAWDATA Cars Buyers DB'!J:J)</f>
        <v>North Rhine-Westphalia</v>
      </c>
      <c r="K961" s="8">
        <f>_xlfn.XLOOKUP($A961,'RAWDATA Cars Buyers DB'!$A:$A,'RAWDATA Cars Buyers DB'!K:K)</f>
        <v>46</v>
      </c>
      <c r="L961" s="10" t="str">
        <f>IF(_xlfn.XLOOKUP($A961,'RAWDATA Cars Buyers DB'!$A:$A,'RAWDATA Cars Buyers DB'!K:K)&gt;54,"Old ",IF(_xlfn.XLOOKUP($A961,'RAWDATA Cars Buyers DB'!$A:$A,'RAWDATA Cars Buyers DB'!K:K)&gt;=31,"Middle Age ",IF(_xlfn.XLOOKUP($A961,'RAWDATA Cars Buyers DB'!$A:$A,'RAWDATA Cars Buyers DB'!K:K)&lt;31,"Adolescent","Invalid")))</f>
        <v xml:space="preserve">Middle Age </v>
      </c>
      <c r="M961" s="8" t="str">
        <f>_xlfn.XLOOKUP($A961,'RAWDATA Cars Buyers DB'!$A:$A,'RAWDATA Cars Buyers DB'!L:L)</f>
        <v>No</v>
      </c>
    </row>
    <row r="962" spans="1:13">
      <c r="A962" s="6">
        <v>92180</v>
      </c>
      <c r="B962" s="10" t="str">
        <f>IF(_xlfn.XLOOKUP($A962,'RAWDATA Cars Buyers DB'!$A:$A,'RAWDATA Cars Buyers DB'!B:B)="S","Single","Married")</f>
        <v>Single</v>
      </c>
      <c r="C962" s="10" t="str">
        <f>IF(_xlfn.XLOOKUP($A962,'RAWDATA Cars Buyers DB'!$A:$A,'RAWDATA Cars Buyers DB'!C:C)="F","Female","Male")</f>
        <v>Female</v>
      </c>
      <c r="D962" s="7">
        <f>_xlfn.XLOOKUP($A962,'RAWDATA Cars Buyers DB'!$A:$A,'RAWDATA Cars Buyers DB'!D:D)</f>
        <v>73459</v>
      </c>
      <c r="E962" s="8">
        <f>_xlfn.XLOOKUP($A962,'RAWDATA Cars Buyers DB'!$A:$A,'RAWDATA Cars Buyers DB'!E:E)</f>
        <v>4</v>
      </c>
      <c r="F962" s="8" t="str">
        <f>_xlfn.XLOOKUP($A962,'RAWDATA Cars Buyers DB'!$A:$A,'RAWDATA Cars Buyers DB'!F:F)</f>
        <v>Graduate Degree</v>
      </c>
      <c r="G962" s="8" t="str">
        <f>_xlfn.XLOOKUP($A962,'RAWDATA Cars Buyers DB'!$A:$A,'RAWDATA Cars Buyers DB'!G:G)</f>
        <v>Clerical</v>
      </c>
      <c r="H962" s="8" t="str">
        <f>_xlfn.XLOOKUP($A962,'RAWDATA Cars Buyers DB'!$A:$A,'RAWDATA Cars Buyers DB'!H:H)</f>
        <v>Yes</v>
      </c>
      <c r="I962" s="8" t="str">
        <f>_xlfn.XLOOKUP($A962,'RAWDATA Cars Buyers DB'!$A:$A,'RAWDATA Cars Buyers DB'!I:I)</f>
        <v>4–6 Kilometre</v>
      </c>
      <c r="J962" s="8" t="str">
        <f>_xlfn.XLOOKUP($A962,'RAWDATA Cars Buyers DB'!$A:$A,'RAWDATA Cars Buyers DB'!J:J)</f>
        <v>Brandenburg</v>
      </c>
      <c r="K962" s="8">
        <f>_xlfn.XLOOKUP($A962,'RAWDATA Cars Buyers DB'!$A:$A,'RAWDATA Cars Buyers DB'!K:K)</f>
        <v>54</v>
      </c>
      <c r="L962" s="10" t="str">
        <f>IF(_xlfn.XLOOKUP($A962,'RAWDATA Cars Buyers DB'!$A:$A,'RAWDATA Cars Buyers DB'!K:K)&gt;54,"Old ",IF(_xlfn.XLOOKUP($A962,'RAWDATA Cars Buyers DB'!$A:$A,'RAWDATA Cars Buyers DB'!K:K)&gt;=31,"Middle Age ",IF(_xlfn.XLOOKUP($A962,'RAWDATA Cars Buyers DB'!$A:$A,'RAWDATA Cars Buyers DB'!K:K)&lt;31,"Adolescent","Invalid")))</f>
        <v xml:space="preserve">Middle Age </v>
      </c>
      <c r="M962" s="8" t="str">
        <f>_xlfn.XLOOKUP($A962,'RAWDATA Cars Buyers DB'!$A:$A,'RAWDATA Cars Buyers DB'!L:L)</f>
        <v>No</v>
      </c>
    </row>
    <row r="963" spans="1:13">
      <c r="A963" s="6">
        <v>97958</v>
      </c>
      <c r="B963" s="10" t="str">
        <f>IF(_xlfn.XLOOKUP($A963,'RAWDATA Cars Buyers DB'!$A:$A,'RAWDATA Cars Buyers DB'!B:B)="S","Single","Married")</f>
        <v>Married</v>
      </c>
      <c r="C963" s="10" t="str">
        <f>IF(_xlfn.XLOOKUP($A963,'RAWDATA Cars Buyers DB'!$A:$A,'RAWDATA Cars Buyers DB'!C:C)="F","Female","Male")</f>
        <v>Male</v>
      </c>
      <c r="D963" s="7">
        <f>_xlfn.XLOOKUP($A963,'RAWDATA Cars Buyers DB'!$A:$A,'RAWDATA Cars Buyers DB'!D:D)</f>
        <v>58402</v>
      </c>
      <c r="E963" s="8">
        <f>_xlfn.XLOOKUP($A963,'RAWDATA Cars Buyers DB'!$A:$A,'RAWDATA Cars Buyers DB'!E:E)</f>
        <v>2</v>
      </c>
      <c r="F963" s="8" t="str">
        <f>_xlfn.XLOOKUP($A963,'RAWDATA Cars Buyers DB'!$A:$A,'RAWDATA Cars Buyers DB'!F:F)</f>
        <v>Graduate Degree</v>
      </c>
      <c r="G963" s="8" t="str">
        <f>_xlfn.XLOOKUP($A963,'RAWDATA Cars Buyers DB'!$A:$A,'RAWDATA Cars Buyers DB'!G:G)</f>
        <v>Skilled Manual</v>
      </c>
      <c r="H963" s="8" t="str">
        <f>_xlfn.XLOOKUP($A963,'RAWDATA Cars Buyers DB'!$A:$A,'RAWDATA Cars Buyers DB'!H:H)</f>
        <v>No</v>
      </c>
      <c r="I963" s="8" t="str">
        <f>_xlfn.XLOOKUP($A963,'RAWDATA Cars Buyers DB'!$A:$A,'RAWDATA Cars Buyers DB'!I:I)</f>
        <v>0–1 Kilometre</v>
      </c>
      <c r="J963" s="8" t="str">
        <f>_xlfn.XLOOKUP($A963,'RAWDATA Cars Buyers DB'!$A:$A,'RAWDATA Cars Buyers DB'!J:J)</f>
        <v>Berlin</v>
      </c>
      <c r="K963" s="8">
        <f>_xlfn.XLOOKUP($A963,'RAWDATA Cars Buyers DB'!$A:$A,'RAWDATA Cars Buyers DB'!K:K)</f>
        <v>47</v>
      </c>
      <c r="L963" s="10" t="str">
        <f>IF(_xlfn.XLOOKUP($A963,'RAWDATA Cars Buyers DB'!$A:$A,'RAWDATA Cars Buyers DB'!K:K)&gt;54,"Old ",IF(_xlfn.XLOOKUP($A963,'RAWDATA Cars Buyers DB'!$A:$A,'RAWDATA Cars Buyers DB'!K:K)&gt;=31,"Middle Age ",IF(_xlfn.XLOOKUP($A963,'RAWDATA Cars Buyers DB'!$A:$A,'RAWDATA Cars Buyers DB'!K:K)&lt;31,"Adolescent","Invalid")))</f>
        <v xml:space="preserve">Middle Age </v>
      </c>
      <c r="M963" s="8" t="str">
        <f>_xlfn.XLOOKUP($A963,'RAWDATA Cars Buyers DB'!$A:$A,'RAWDATA Cars Buyers DB'!L:L)</f>
        <v>No</v>
      </c>
    </row>
    <row r="964" spans="1:13">
      <c r="A964" s="6">
        <v>19865</v>
      </c>
      <c r="B964" s="10" t="str">
        <f>IF(_xlfn.XLOOKUP($A964,'RAWDATA Cars Buyers DB'!$A:$A,'RAWDATA Cars Buyers DB'!B:B)="S","Single","Married")</f>
        <v>Married</v>
      </c>
      <c r="C964" s="10" t="str">
        <f>IF(_xlfn.XLOOKUP($A964,'RAWDATA Cars Buyers DB'!$A:$A,'RAWDATA Cars Buyers DB'!C:C)="F","Female","Male")</f>
        <v>Female</v>
      </c>
      <c r="D964" s="7">
        <f>_xlfn.XLOOKUP($A964,'RAWDATA Cars Buyers DB'!$A:$A,'RAWDATA Cars Buyers DB'!D:D)</f>
        <v>77727</v>
      </c>
      <c r="E964" s="8">
        <f>_xlfn.XLOOKUP($A964,'RAWDATA Cars Buyers DB'!$A:$A,'RAWDATA Cars Buyers DB'!E:E)</f>
        <v>5</v>
      </c>
      <c r="F964" s="8" t="str">
        <f>_xlfn.XLOOKUP($A964,'RAWDATA Cars Buyers DB'!$A:$A,'RAWDATA Cars Buyers DB'!F:F)</f>
        <v>High School</v>
      </c>
      <c r="G964" s="8" t="str">
        <f>_xlfn.XLOOKUP($A964,'RAWDATA Cars Buyers DB'!$A:$A,'RAWDATA Cars Buyers DB'!G:G)</f>
        <v>Management</v>
      </c>
      <c r="H964" s="8" t="str">
        <f>_xlfn.XLOOKUP($A964,'RAWDATA Cars Buyers DB'!$A:$A,'RAWDATA Cars Buyers DB'!H:H)</f>
        <v>No</v>
      </c>
      <c r="I964" s="8" t="str">
        <f>_xlfn.XLOOKUP($A964,'RAWDATA Cars Buyers DB'!$A:$A,'RAWDATA Cars Buyers DB'!I:I)</f>
        <v>2–4 Kilometre</v>
      </c>
      <c r="J964" s="8" t="str">
        <f>_xlfn.XLOOKUP($A964,'RAWDATA Cars Buyers DB'!$A:$A,'RAWDATA Cars Buyers DB'!J:J)</f>
        <v>Baden-Württemberg</v>
      </c>
      <c r="K964" s="8">
        <f>_xlfn.XLOOKUP($A964,'RAWDATA Cars Buyers DB'!$A:$A,'RAWDATA Cars Buyers DB'!K:K)</f>
        <v>25</v>
      </c>
      <c r="L964" s="10" t="str">
        <f>IF(_xlfn.XLOOKUP($A964,'RAWDATA Cars Buyers DB'!$A:$A,'RAWDATA Cars Buyers DB'!K:K)&gt;54,"Old ",IF(_xlfn.XLOOKUP($A964,'RAWDATA Cars Buyers DB'!$A:$A,'RAWDATA Cars Buyers DB'!K:K)&gt;=31,"Middle Age ",IF(_xlfn.XLOOKUP($A964,'RAWDATA Cars Buyers DB'!$A:$A,'RAWDATA Cars Buyers DB'!K:K)&lt;31,"Adolescent","Invalid")))</f>
        <v>Adolescent</v>
      </c>
      <c r="M964" s="8" t="str">
        <f>_xlfn.XLOOKUP($A964,'RAWDATA Cars Buyers DB'!$A:$A,'RAWDATA Cars Buyers DB'!L:L)</f>
        <v>Yes</v>
      </c>
    </row>
    <row r="965" spans="1:13">
      <c r="A965" s="6">
        <v>12219</v>
      </c>
      <c r="B965" s="10" t="str">
        <f>IF(_xlfn.XLOOKUP($A965,'RAWDATA Cars Buyers DB'!$A:$A,'RAWDATA Cars Buyers DB'!B:B)="S","Single","Married")</f>
        <v>Married</v>
      </c>
      <c r="C965" s="10" t="str">
        <f>IF(_xlfn.XLOOKUP($A965,'RAWDATA Cars Buyers DB'!$A:$A,'RAWDATA Cars Buyers DB'!C:C)="F","Female","Male")</f>
        <v>Male</v>
      </c>
      <c r="D965" s="7">
        <f>_xlfn.XLOOKUP($A965,'RAWDATA Cars Buyers DB'!$A:$A,'RAWDATA Cars Buyers DB'!D:D)</f>
        <v>58578</v>
      </c>
      <c r="E965" s="8">
        <f>_xlfn.XLOOKUP($A965,'RAWDATA Cars Buyers DB'!$A:$A,'RAWDATA Cars Buyers DB'!E:E)</f>
        <v>5</v>
      </c>
      <c r="F965" s="8" t="str">
        <f>_xlfn.XLOOKUP($A965,'RAWDATA Cars Buyers DB'!$A:$A,'RAWDATA Cars Buyers DB'!F:F)</f>
        <v>Graduate Degree</v>
      </c>
      <c r="G965" s="8" t="str">
        <f>_xlfn.XLOOKUP($A965,'RAWDATA Cars Buyers DB'!$A:$A,'RAWDATA Cars Buyers DB'!G:G)</f>
        <v>Professional</v>
      </c>
      <c r="H965" s="8" t="str">
        <f>_xlfn.XLOOKUP($A965,'RAWDATA Cars Buyers DB'!$A:$A,'RAWDATA Cars Buyers DB'!H:H)</f>
        <v>Yes</v>
      </c>
      <c r="I965" s="8" t="str">
        <f>_xlfn.XLOOKUP($A965,'RAWDATA Cars Buyers DB'!$A:$A,'RAWDATA Cars Buyers DB'!I:I)</f>
        <v>1–2 Kilometre</v>
      </c>
      <c r="J965" s="8" t="str">
        <f>_xlfn.XLOOKUP($A965,'RAWDATA Cars Buyers DB'!$A:$A,'RAWDATA Cars Buyers DB'!J:J)</f>
        <v>North Rhine-Westphalia</v>
      </c>
      <c r="K965" s="8">
        <f>_xlfn.XLOOKUP($A965,'RAWDATA Cars Buyers DB'!$A:$A,'RAWDATA Cars Buyers DB'!K:K)</f>
        <v>25</v>
      </c>
      <c r="L965" s="10" t="str">
        <f>IF(_xlfn.XLOOKUP($A965,'RAWDATA Cars Buyers DB'!$A:$A,'RAWDATA Cars Buyers DB'!K:K)&gt;54,"Old ",IF(_xlfn.XLOOKUP($A965,'RAWDATA Cars Buyers DB'!$A:$A,'RAWDATA Cars Buyers DB'!K:K)&gt;=31,"Middle Age ",IF(_xlfn.XLOOKUP($A965,'RAWDATA Cars Buyers DB'!$A:$A,'RAWDATA Cars Buyers DB'!K:K)&lt;31,"Adolescent","Invalid")))</f>
        <v>Adolescent</v>
      </c>
      <c r="M965" s="8" t="str">
        <f>_xlfn.XLOOKUP($A965,'RAWDATA Cars Buyers DB'!$A:$A,'RAWDATA Cars Buyers DB'!L:L)</f>
        <v>Yes</v>
      </c>
    </row>
    <row r="966" spans="1:13">
      <c r="A966" s="6">
        <v>49809</v>
      </c>
      <c r="B966" s="10" t="str">
        <f>IF(_xlfn.XLOOKUP($A966,'RAWDATA Cars Buyers DB'!$A:$A,'RAWDATA Cars Buyers DB'!B:B)="S","Single","Married")</f>
        <v>Single</v>
      </c>
      <c r="C966" s="10" t="str">
        <f>IF(_xlfn.XLOOKUP($A966,'RAWDATA Cars Buyers DB'!$A:$A,'RAWDATA Cars Buyers DB'!C:C)="F","Female","Male")</f>
        <v>Male</v>
      </c>
      <c r="D966" s="7">
        <f>_xlfn.XLOOKUP($A966,'RAWDATA Cars Buyers DB'!$A:$A,'RAWDATA Cars Buyers DB'!D:D)</f>
        <v>110453</v>
      </c>
      <c r="E966" s="8">
        <f>_xlfn.XLOOKUP($A966,'RAWDATA Cars Buyers DB'!$A:$A,'RAWDATA Cars Buyers DB'!E:E)</f>
        <v>3</v>
      </c>
      <c r="F966" s="8" t="str">
        <f>_xlfn.XLOOKUP($A966,'RAWDATA Cars Buyers DB'!$A:$A,'RAWDATA Cars Buyers DB'!F:F)</f>
        <v>High School</v>
      </c>
      <c r="G966" s="8" t="str">
        <f>_xlfn.XLOOKUP($A966,'RAWDATA Cars Buyers DB'!$A:$A,'RAWDATA Cars Buyers DB'!G:G)</f>
        <v>Skilled Manual</v>
      </c>
      <c r="H966" s="8" t="str">
        <f>_xlfn.XLOOKUP($A966,'RAWDATA Cars Buyers DB'!$A:$A,'RAWDATA Cars Buyers DB'!H:H)</f>
        <v>No</v>
      </c>
      <c r="I966" s="8" t="str">
        <f>_xlfn.XLOOKUP($A966,'RAWDATA Cars Buyers DB'!$A:$A,'RAWDATA Cars Buyers DB'!I:I)</f>
        <v>2–4 Kilometre</v>
      </c>
      <c r="J966" s="8" t="str">
        <f>_xlfn.XLOOKUP($A966,'RAWDATA Cars Buyers DB'!$A:$A,'RAWDATA Cars Buyers DB'!J:J)</f>
        <v>Bavaria</v>
      </c>
      <c r="K966" s="8">
        <f>_xlfn.XLOOKUP($A966,'RAWDATA Cars Buyers DB'!$A:$A,'RAWDATA Cars Buyers DB'!K:K)</f>
        <v>63</v>
      </c>
      <c r="L966" s="10" t="str">
        <f>IF(_xlfn.XLOOKUP($A966,'RAWDATA Cars Buyers DB'!$A:$A,'RAWDATA Cars Buyers DB'!K:K)&gt;54,"Old ",IF(_xlfn.XLOOKUP($A966,'RAWDATA Cars Buyers DB'!$A:$A,'RAWDATA Cars Buyers DB'!K:K)&gt;=31,"Middle Age ",IF(_xlfn.XLOOKUP($A966,'RAWDATA Cars Buyers DB'!$A:$A,'RAWDATA Cars Buyers DB'!K:K)&lt;31,"Adolescent","Invalid")))</f>
        <v xml:space="preserve">Old </v>
      </c>
      <c r="M966" s="8" t="str">
        <f>_xlfn.XLOOKUP($A966,'RAWDATA Cars Buyers DB'!$A:$A,'RAWDATA Cars Buyers DB'!L:L)</f>
        <v>No</v>
      </c>
    </row>
    <row r="967" spans="1:13">
      <c r="A967" s="6">
        <v>15287</v>
      </c>
      <c r="B967" s="10" t="str">
        <f>IF(_xlfn.XLOOKUP($A967,'RAWDATA Cars Buyers DB'!$A:$A,'RAWDATA Cars Buyers DB'!B:B)="S","Single","Married")</f>
        <v>Single</v>
      </c>
      <c r="C967" s="10" t="str">
        <f>IF(_xlfn.XLOOKUP($A967,'RAWDATA Cars Buyers DB'!$A:$A,'RAWDATA Cars Buyers DB'!C:C)="F","Female","Male")</f>
        <v>Male</v>
      </c>
      <c r="D967" s="7">
        <f>_xlfn.XLOOKUP($A967,'RAWDATA Cars Buyers DB'!$A:$A,'RAWDATA Cars Buyers DB'!D:D)</f>
        <v>42318</v>
      </c>
      <c r="E967" s="8">
        <f>_xlfn.XLOOKUP($A967,'RAWDATA Cars Buyers DB'!$A:$A,'RAWDATA Cars Buyers DB'!E:E)</f>
        <v>4</v>
      </c>
      <c r="F967" s="8" t="str">
        <f>_xlfn.XLOOKUP($A967,'RAWDATA Cars Buyers DB'!$A:$A,'RAWDATA Cars Buyers DB'!F:F)</f>
        <v>High School</v>
      </c>
      <c r="G967" s="8" t="str">
        <f>_xlfn.XLOOKUP($A967,'RAWDATA Cars Buyers DB'!$A:$A,'RAWDATA Cars Buyers DB'!G:G)</f>
        <v>Professional</v>
      </c>
      <c r="H967" s="8" t="str">
        <f>_xlfn.XLOOKUP($A967,'RAWDATA Cars Buyers DB'!$A:$A,'RAWDATA Cars Buyers DB'!H:H)</f>
        <v>No</v>
      </c>
      <c r="I967" s="8" t="str">
        <f>_xlfn.XLOOKUP($A967,'RAWDATA Cars Buyers DB'!$A:$A,'RAWDATA Cars Buyers DB'!I:I)</f>
        <v>4–6 Kilometre</v>
      </c>
      <c r="J967" s="8" t="str">
        <f>_xlfn.XLOOKUP($A967,'RAWDATA Cars Buyers DB'!$A:$A,'RAWDATA Cars Buyers DB'!J:J)</f>
        <v>Berlin</v>
      </c>
      <c r="K967" s="8">
        <f>_xlfn.XLOOKUP($A967,'RAWDATA Cars Buyers DB'!$A:$A,'RAWDATA Cars Buyers DB'!K:K)</f>
        <v>42</v>
      </c>
      <c r="L967" s="10" t="str">
        <f>IF(_xlfn.XLOOKUP($A967,'RAWDATA Cars Buyers DB'!$A:$A,'RAWDATA Cars Buyers DB'!K:K)&gt;54,"Old ",IF(_xlfn.XLOOKUP($A967,'RAWDATA Cars Buyers DB'!$A:$A,'RAWDATA Cars Buyers DB'!K:K)&gt;=31,"Middle Age ",IF(_xlfn.XLOOKUP($A967,'RAWDATA Cars Buyers DB'!$A:$A,'RAWDATA Cars Buyers DB'!K:K)&lt;31,"Adolescent","Invalid")))</f>
        <v xml:space="preserve">Middle Age </v>
      </c>
      <c r="M967" s="8" t="str">
        <f>_xlfn.XLOOKUP($A967,'RAWDATA Cars Buyers DB'!$A:$A,'RAWDATA Cars Buyers DB'!L:L)</f>
        <v>No</v>
      </c>
    </row>
    <row r="968" spans="1:13">
      <c r="A968" s="6">
        <v>44387</v>
      </c>
      <c r="B968" s="10" t="str">
        <f>IF(_xlfn.XLOOKUP($A968,'RAWDATA Cars Buyers DB'!$A:$A,'RAWDATA Cars Buyers DB'!B:B)="S","Single","Married")</f>
        <v>Married</v>
      </c>
      <c r="C968" s="10" t="str">
        <f>IF(_xlfn.XLOOKUP($A968,'RAWDATA Cars Buyers DB'!$A:$A,'RAWDATA Cars Buyers DB'!C:C)="F","Female","Male")</f>
        <v>Female</v>
      </c>
      <c r="D968" s="7">
        <f>_xlfn.XLOOKUP($A968,'RAWDATA Cars Buyers DB'!$A:$A,'RAWDATA Cars Buyers DB'!D:D)</f>
        <v>95715</v>
      </c>
      <c r="E968" s="8">
        <f>_xlfn.XLOOKUP($A968,'RAWDATA Cars Buyers DB'!$A:$A,'RAWDATA Cars Buyers DB'!E:E)</f>
        <v>5</v>
      </c>
      <c r="F968" s="8" t="str">
        <f>_xlfn.XLOOKUP($A968,'RAWDATA Cars Buyers DB'!$A:$A,'RAWDATA Cars Buyers DB'!F:F)</f>
        <v>Graduate Degree</v>
      </c>
      <c r="G968" s="8" t="str">
        <f>_xlfn.XLOOKUP($A968,'RAWDATA Cars Buyers DB'!$A:$A,'RAWDATA Cars Buyers DB'!G:G)</f>
        <v>Management</v>
      </c>
      <c r="H968" s="8" t="str">
        <f>_xlfn.XLOOKUP($A968,'RAWDATA Cars Buyers DB'!$A:$A,'RAWDATA Cars Buyers DB'!H:H)</f>
        <v>Yes</v>
      </c>
      <c r="I968" s="8" t="str">
        <f>_xlfn.XLOOKUP($A968,'RAWDATA Cars Buyers DB'!$A:$A,'RAWDATA Cars Buyers DB'!I:I)</f>
        <v>1–2 Kilometre</v>
      </c>
      <c r="J968" s="8" t="str">
        <f>_xlfn.XLOOKUP($A968,'RAWDATA Cars Buyers DB'!$A:$A,'RAWDATA Cars Buyers DB'!J:J)</f>
        <v>Saxony-Anhalt</v>
      </c>
      <c r="K968" s="8">
        <f>_xlfn.XLOOKUP($A968,'RAWDATA Cars Buyers DB'!$A:$A,'RAWDATA Cars Buyers DB'!K:K)</f>
        <v>52</v>
      </c>
      <c r="L968" s="10" t="str">
        <f>IF(_xlfn.XLOOKUP($A968,'RAWDATA Cars Buyers DB'!$A:$A,'RAWDATA Cars Buyers DB'!K:K)&gt;54,"Old ",IF(_xlfn.XLOOKUP($A968,'RAWDATA Cars Buyers DB'!$A:$A,'RAWDATA Cars Buyers DB'!K:K)&gt;=31,"Middle Age ",IF(_xlfn.XLOOKUP($A968,'RAWDATA Cars Buyers DB'!$A:$A,'RAWDATA Cars Buyers DB'!K:K)&lt;31,"Adolescent","Invalid")))</f>
        <v xml:space="preserve">Middle Age </v>
      </c>
      <c r="M968" s="8" t="str">
        <f>_xlfn.XLOOKUP($A968,'RAWDATA Cars Buyers DB'!$A:$A,'RAWDATA Cars Buyers DB'!L:L)</f>
        <v>Yes</v>
      </c>
    </row>
    <row r="969" spans="1:13">
      <c r="A969" s="6">
        <v>18512</v>
      </c>
      <c r="B969" s="10" t="str">
        <f>IF(_xlfn.XLOOKUP($A969,'RAWDATA Cars Buyers DB'!$A:$A,'RAWDATA Cars Buyers DB'!B:B)="S","Single","Married")</f>
        <v>Married</v>
      </c>
      <c r="C969" s="10" t="str">
        <f>IF(_xlfn.XLOOKUP($A969,'RAWDATA Cars Buyers DB'!$A:$A,'RAWDATA Cars Buyers DB'!C:C)="F","Female","Male")</f>
        <v>Female</v>
      </c>
      <c r="D969" s="7">
        <f>_xlfn.XLOOKUP($A969,'RAWDATA Cars Buyers DB'!$A:$A,'RAWDATA Cars Buyers DB'!D:D)</f>
        <v>97787</v>
      </c>
      <c r="E969" s="8">
        <f>_xlfn.XLOOKUP($A969,'RAWDATA Cars Buyers DB'!$A:$A,'RAWDATA Cars Buyers DB'!E:E)</f>
        <v>2</v>
      </c>
      <c r="F969" s="8" t="str">
        <f>_xlfn.XLOOKUP($A969,'RAWDATA Cars Buyers DB'!$A:$A,'RAWDATA Cars Buyers DB'!F:F)</f>
        <v>Graduate Degree</v>
      </c>
      <c r="G969" s="8" t="str">
        <f>_xlfn.XLOOKUP($A969,'RAWDATA Cars Buyers DB'!$A:$A,'RAWDATA Cars Buyers DB'!G:G)</f>
        <v>Professional</v>
      </c>
      <c r="H969" s="8" t="str">
        <f>_xlfn.XLOOKUP($A969,'RAWDATA Cars Buyers DB'!$A:$A,'RAWDATA Cars Buyers DB'!H:H)</f>
        <v>Yes</v>
      </c>
      <c r="I969" s="8" t="str">
        <f>_xlfn.XLOOKUP($A969,'RAWDATA Cars Buyers DB'!$A:$A,'RAWDATA Cars Buyers DB'!I:I)</f>
        <v>6+ Kilometre</v>
      </c>
      <c r="J969" s="8" t="str">
        <f>_xlfn.XLOOKUP($A969,'RAWDATA Cars Buyers DB'!$A:$A,'RAWDATA Cars Buyers DB'!J:J)</f>
        <v>Baden-Württemberg</v>
      </c>
      <c r="K969" s="8">
        <f>_xlfn.XLOOKUP($A969,'RAWDATA Cars Buyers DB'!$A:$A,'RAWDATA Cars Buyers DB'!K:K)</f>
        <v>35</v>
      </c>
      <c r="L969" s="10" t="str">
        <f>IF(_xlfn.XLOOKUP($A969,'RAWDATA Cars Buyers DB'!$A:$A,'RAWDATA Cars Buyers DB'!K:K)&gt;54,"Old ",IF(_xlfn.XLOOKUP($A969,'RAWDATA Cars Buyers DB'!$A:$A,'RAWDATA Cars Buyers DB'!K:K)&gt;=31,"Middle Age ",IF(_xlfn.XLOOKUP($A969,'RAWDATA Cars Buyers DB'!$A:$A,'RAWDATA Cars Buyers DB'!K:K)&lt;31,"Adolescent","Invalid")))</f>
        <v xml:space="preserve">Middle Age </v>
      </c>
      <c r="M969" s="8" t="str">
        <f>_xlfn.XLOOKUP($A969,'RAWDATA Cars Buyers DB'!$A:$A,'RAWDATA Cars Buyers DB'!L:L)</f>
        <v>Yes</v>
      </c>
    </row>
    <row r="970" spans="1:13">
      <c r="A970" s="6">
        <v>11342</v>
      </c>
      <c r="B970" s="10" t="str">
        <f>IF(_xlfn.XLOOKUP($A970,'RAWDATA Cars Buyers DB'!$A:$A,'RAWDATA Cars Buyers DB'!B:B)="S","Single","Married")</f>
        <v>Married</v>
      </c>
      <c r="C970" s="10" t="str">
        <f>IF(_xlfn.XLOOKUP($A970,'RAWDATA Cars Buyers DB'!$A:$A,'RAWDATA Cars Buyers DB'!C:C)="F","Female","Male")</f>
        <v>Female</v>
      </c>
      <c r="D970" s="7">
        <f>_xlfn.XLOOKUP($A970,'RAWDATA Cars Buyers DB'!$A:$A,'RAWDATA Cars Buyers DB'!D:D)</f>
        <v>105029</v>
      </c>
      <c r="E970" s="8">
        <f>_xlfn.XLOOKUP($A970,'RAWDATA Cars Buyers DB'!$A:$A,'RAWDATA Cars Buyers DB'!E:E)</f>
        <v>3</v>
      </c>
      <c r="F970" s="8" t="str">
        <f>_xlfn.XLOOKUP($A970,'RAWDATA Cars Buyers DB'!$A:$A,'RAWDATA Cars Buyers DB'!F:F)</f>
        <v>Partial College</v>
      </c>
      <c r="G970" s="8" t="str">
        <f>_xlfn.XLOOKUP($A970,'RAWDATA Cars Buyers DB'!$A:$A,'RAWDATA Cars Buyers DB'!G:G)</f>
        <v>Management</v>
      </c>
      <c r="H970" s="8" t="str">
        <f>_xlfn.XLOOKUP($A970,'RAWDATA Cars Buyers DB'!$A:$A,'RAWDATA Cars Buyers DB'!H:H)</f>
        <v>No</v>
      </c>
      <c r="I970" s="8" t="str">
        <f>_xlfn.XLOOKUP($A970,'RAWDATA Cars Buyers DB'!$A:$A,'RAWDATA Cars Buyers DB'!I:I)</f>
        <v>4–6 Kilometre</v>
      </c>
      <c r="J970" s="8" t="str">
        <f>_xlfn.XLOOKUP($A970,'RAWDATA Cars Buyers DB'!$A:$A,'RAWDATA Cars Buyers DB'!J:J)</f>
        <v>Baden-Württemberg</v>
      </c>
      <c r="K970" s="8">
        <f>_xlfn.XLOOKUP($A970,'RAWDATA Cars Buyers DB'!$A:$A,'RAWDATA Cars Buyers DB'!K:K)</f>
        <v>43</v>
      </c>
      <c r="L970" s="10" t="str">
        <f>IF(_xlfn.XLOOKUP($A970,'RAWDATA Cars Buyers DB'!$A:$A,'RAWDATA Cars Buyers DB'!K:K)&gt;54,"Old ",IF(_xlfn.XLOOKUP($A970,'RAWDATA Cars Buyers DB'!$A:$A,'RAWDATA Cars Buyers DB'!K:K)&gt;=31,"Middle Age ",IF(_xlfn.XLOOKUP($A970,'RAWDATA Cars Buyers DB'!$A:$A,'RAWDATA Cars Buyers DB'!K:K)&lt;31,"Adolescent","Invalid")))</f>
        <v xml:space="preserve">Middle Age </v>
      </c>
      <c r="M970" s="8" t="str">
        <f>_xlfn.XLOOKUP($A970,'RAWDATA Cars Buyers DB'!$A:$A,'RAWDATA Cars Buyers DB'!L:L)</f>
        <v>No</v>
      </c>
    </row>
    <row r="971" spans="1:13">
      <c r="A971" s="6">
        <v>73076</v>
      </c>
      <c r="B971" s="10" t="str">
        <f>IF(_xlfn.XLOOKUP($A971,'RAWDATA Cars Buyers DB'!$A:$A,'RAWDATA Cars Buyers DB'!B:B)="S","Single","Married")</f>
        <v>Married</v>
      </c>
      <c r="C971" s="10" t="str">
        <f>IF(_xlfn.XLOOKUP($A971,'RAWDATA Cars Buyers DB'!$A:$A,'RAWDATA Cars Buyers DB'!C:C)="F","Female","Male")</f>
        <v>Female</v>
      </c>
      <c r="D971" s="7">
        <f>_xlfn.XLOOKUP($A971,'RAWDATA Cars Buyers DB'!$A:$A,'RAWDATA Cars Buyers DB'!D:D)</f>
        <v>40466</v>
      </c>
      <c r="E971" s="8">
        <f>_xlfn.XLOOKUP($A971,'RAWDATA Cars Buyers DB'!$A:$A,'RAWDATA Cars Buyers DB'!E:E)</f>
        <v>2</v>
      </c>
      <c r="F971" s="8" t="str">
        <f>_xlfn.XLOOKUP($A971,'RAWDATA Cars Buyers DB'!$A:$A,'RAWDATA Cars Buyers DB'!F:F)</f>
        <v>Partial College</v>
      </c>
      <c r="G971" s="8" t="str">
        <f>_xlfn.XLOOKUP($A971,'RAWDATA Cars Buyers DB'!$A:$A,'RAWDATA Cars Buyers DB'!G:G)</f>
        <v>Management</v>
      </c>
      <c r="H971" s="8" t="str">
        <f>_xlfn.XLOOKUP($A971,'RAWDATA Cars Buyers DB'!$A:$A,'RAWDATA Cars Buyers DB'!H:H)</f>
        <v>No</v>
      </c>
      <c r="I971" s="8" t="str">
        <f>_xlfn.XLOOKUP($A971,'RAWDATA Cars Buyers DB'!$A:$A,'RAWDATA Cars Buyers DB'!I:I)</f>
        <v>2–4 Kilometre</v>
      </c>
      <c r="J971" s="8" t="str">
        <f>_xlfn.XLOOKUP($A971,'RAWDATA Cars Buyers DB'!$A:$A,'RAWDATA Cars Buyers DB'!J:J)</f>
        <v>Mecklenburg-Vorpommern</v>
      </c>
      <c r="K971" s="8">
        <f>_xlfn.XLOOKUP($A971,'RAWDATA Cars Buyers DB'!$A:$A,'RAWDATA Cars Buyers DB'!K:K)</f>
        <v>24</v>
      </c>
      <c r="L971" s="10" t="str">
        <f>IF(_xlfn.XLOOKUP($A971,'RAWDATA Cars Buyers DB'!$A:$A,'RAWDATA Cars Buyers DB'!K:K)&gt;54,"Old ",IF(_xlfn.XLOOKUP($A971,'RAWDATA Cars Buyers DB'!$A:$A,'RAWDATA Cars Buyers DB'!K:K)&gt;=31,"Middle Age ",IF(_xlfn.XLOOKUP($A971,'RAWDATA Cars Buyers DB'!$A:$A,'RAWDATA Cars Buyers DB'!K:K)&lt;31,"Adolescent","Invalid")))</f>
        <v>Adolescent</v>
      </c>
      <c r="M971" s="8" t="str">
        <f>_xlfn.XLOOKUP($A971,'RAWDATA Cars Buyers DB'!$A:$A,'RAWDATA Cars Buyers DB'!L:L)</f>
        <v>Yes</v>
      </c>
    </row>
    <row r="972" spans="1:13">
      <c r="A972" s="6">
        <v>29216</v>
      </c>
      <c r="B972" s="10" t="str">
        <f>IF(_xlfn.XLOOKUP($A972,'RAWDATA Cars Buyers DB'!$A:$A,'RAWDATA Cars Buyers DB'!B:B)="S","Single","Married")</f>
        <v>Single</v>
      </c>
      <c r="C972" s="10" t="str">
        <f>IF(_xlfn.XLOOKUP($A972,'RAWDATA Cars Buyers DB'!$A:$A,'RAWDATA Cars Buyers DB'!C:C)="F","Female","Male")</f>
        <v>Female</v>
      </c>
      <c r="D972" s="7">
        <f>_xlfn.XLOOKUP($A972,'RAWDATA Cars Buyers DB'!$A:$A,'RAWDATA Cars Buyers DB'!D:D)</f>
        <v>115742</v>
      </c>
      <c r="E972" s="8">
        <f>_xlfn.XLOOKUP($A972,'RAWDATA Cars Buyers DB'!$A:$A,'RAWDATA Cars Buyers DB'!E:E)</f>
        <v>4</v>
      </c>
      <c r="F972" s="8" t="str">
        <f>_xlfn.XLOOKUP($A972,'RAWDATA Cars Buyers DB'!$A:$A,'RAWDATA Cars Buyers DB'!F:F)</f>
        <v>Bachelors</v>
      </c>
      <c r="G972" s="8" t="str">
        <f>_xlfn.XLOOKUP($A972,'RAWDATA Cars Buyers DB'!$A:$A,'RAWDATA Cars Buyers DB'!G:G)</f>
        <v>Management</v>
      </c>
      <c r="H972" s="8" t="str">
        <f>_xlfn.XLOOKUP($A972,'RAWDATA Cars Buyers DB'!$A:$A,'RAWDATA Cars Buyers DB'!H:H)</f>
        <v>No</v>
      </c>
      <c r="I972" s="8" t="str">
        <f>_xlfn.XLOOKUP($A972,'RAWDATA Cars Buyers DB'!$A:$A,'RAWDATA Cars Buyers DB'!I:I)</f>
        <v>2–4 Kilometre</v>
      </c>
      <c r="J972" s="8" t="str">
        <f>_xlfn.XLOOKUP($A972,'RAWDATA Cars Buyers DB'!$A:$A,'RAWDATA Cars Buyers DB'!J:J)</f>
        <v>Schleswig-Holstein</v>
      </c>
      <c r="K972" s="8">
        <f>_xlfn.XLOOKUP($A972,'RAWDATA Cars Buyers DB'!$A:$A,'RAWDATA Cars Buyers DB'!K:K)</f>
        <v>60</v>
      </c>
      <c r="L972" s="10" t="str">
        <f>IF(_xlfn.XLOOKUP($A972,'RAWDATA Cars Buyers DB'!$A:$A,'RAWDATA Cars Buyers DB'!K:K)&gt;54,"Old ",IF(_xlfn.XLOOKUP($A972,'RAWDATA Cars Buyers DB'!$A:$A,'RAWDATA Cars Buyers DB'!K:K)&gt;=31,"Middle Age ",IF(_xlfn.XLOOKUP($A972,'RAWDATA Cars Buyers DB'!$A:$A,'RAWDATA Cars Buyers DB'!K:K)&lt;31,"Adolescent","Invalid")))</f>
        <v xml:space="preserve">Old </v>
      </c>
      <c r="M972" s="8" t="str">
        <f>_xlfn.XLOOKUP($A972,'RAWDATA Cars Buyers DB'!$A:$A,'RAWDATA Cars Buyers DB'!L:L)</f>
        <v>No</v>
      </c>
    </row>
    <row r="973" spans="1:13">
      <c r="A973" s="6">
        <v>89767</v>
      </c>
      <c r="B973" s="10" t="str">
        <f>IF(_xlfn.XLOOKUP($A973,'RAWDATA Cars Buyers DB'!$A:$A,'RAWDATA Cars Buyers DB'!B:B)="S","Single","Married")</f>
        <v>Married</v>
      </c>
      <c r="C973" s="10" t="str">
        <f>IF(_xlfn.XLOOKUP($A973,'RAWDATA Cars Buyers DB'!$A:$A,'RAWDATA Cars Buyers DB'!C:C)="F","Female","Male")</f>
        <v>Male</v>
      </c>
      <c r="D973" s="7">
        <f>_xlfn.XLOOKUP($A973,'RAWDATA Cars Buyers DB'!$A:$A,'RAWDATA Cars Buyers DB'!D:D)</f>
        <v>65475</v>
      </c>
      <c r="E973" s="8">
        <f>_xlfn.XLOOKUP($A973,'RAWDATA Cars Buyers DB'!$A:$A,'RAWDATA Cars Buyers DB'!E:E)</f>
        <v>5</v>
      </c>
      <c r="F973" s="8" t="str">
        <f>_xlfn.XLOOKUP($A973,'RAWDATA Cars Buyers DB'!$A:$A,'RAWDATA Cars Buyers DB'!F:F)</f>
        <v>Bachelors</v>
      </c>
      <c r="G973" s="8" t="str">
        <f>_xlfn.XLOOKUP($A973,'RAWDATA Cars Buyers DB'!$A:$A,'RAWDATA Cars Buyers DB'!G:G)</f>
        <v>Skilled Manual</v>
      </c>
      <c r="H973" s="8" t="str">
        <f>_xlfn.XLOOKUP($A973,'RAWDATA Cars Buyers DB'!$A:$A,'RAWDATA Cars Buyers DB'!H:H)</f>
        <v>Yes</v>
      </c>
      <c r="I973" s="8" t="str">
        <f>_xlfn.XLOOKUP($A973,'RAWDATA Cars Buyers DB'!$A:$A,'RAWDATA Cars Buyers DB'!I:I)</f>
        <v>2–4 Kilometre</v>
      </c>
      <c r="J973" s="8" t="str">
        <f>_xlfn.XLOOKUP($A973,'RAWDATA Cars Buyers DB'!$A:$A,'RAWDATA Cars Buyers DB'!J:J)</f>
        <v>Brandenburg</v>
      </c>
      <c r="K973" s="8">
        <f>_xlfn.XLOOKUP($A973,'RAWDATA Cars Buyers DB'!$A:$A,'RAWDATA Cars Buyers DB'!K:K)</f>
        <v>61</v>
      </c>
      <c r="L973" s="10" t="str">
        <f>IF(_xlfn.XLOOKUP($A973,'RAWDATA Cars Buyers DB'!$A:$A,'RAWDATA Cars Buyers DB'!K:K)&gt;54,"Old ",IF(_xlfn.XLOOKUP($A973,'RAWDATA Cars Buyers DB'!$A:$A,'RAWDATA Cars Buyers DB'!K:K)&gt;=31,"Middle Age ",IF(_xlfn.XLOOKUP($A973,'RAWDATA Cars Buyers DB'!$A:$A,'RAWDATA Cars Buyers DB'!K:K)&lt;31,"Adolescent","Invalid")))</f>
        <v xml:space="preserve">Old </v>
      </c>
      <c r="M973" s="8" t="str">
        <f>_xlfn.XLOOKUP($A973,'RAWDATA Cars Buyers DB'!$A:$A,'RAWDATA Cars Buyers DB'!L:L)</f>
        <v>No</v>
      </c>
    </row>
    <row r="974" spans="1:13">
      <c r="A974" s="6">
        <v>36614</v>
      </c>
      <c r="B974" s="10" t="str">
        <f>IF(_xlfn.XLOOKUP($A974,'RAWDATA Cars Buyers DB'!$A:$A,'RAWDATA Cars Buyers DB'!B:B)="S","Single","Married")</f>
        <v>Married</v>
      </c>
      <c r="C974" s="10" t="str">
        <f>IF(_xlfn.XLOOKUP($A974,'RAWDATA Cars Buyers DB'!$A:$A,'RAWDATA Cars Buyers DB'!C:C)="F","Female","Male")</f>
        <v>Male</v>
      </c>
      <c r="D974" s="7">
        <f>_xlfn.XLOOKUP($A974,'RAWDATA Cars Buyers DB'!$A:$A,'RAWDATA Cars Buyers DB'!D:D)</f>
        <v>80142</v>
      </c>
      <c r="E974" s="8">
        <f>_xlfn.XLOOKUP($A974,'RAWDATA Cars Buyers DB'!$A:$A,'RAWDATA Cars Buyers DB'!E:E)</f>
        <v>1</v>
      </c>
      <c r="F974" s="8" t="str">
        <f>_xlfn.XLOOKUP($A974,'RAWDATA Cars Buyers DB'!$A:$A,'RAWDATA Cars Buyers DB'!F:F)</f>
        <v>Graduate Degree</v>
      </c>
      <c r="G974" s="8" t="str">
        <f>_xlfn.XLOOKUP($A974,'RAWDATA Cars Buyers DB'!$A:$A,'RAWDATA Cars Buyers DB'!G:G)</f>
        <v>Professional</v>
      </c>
      <c r="H974" s="8" t="str">
        <f>_xlfn.XLOOKUP($A974,'RAWDATA Cars Buyers DB'!$A:$A,'RAWDATA Cars Buyers DB'!H:H)</f>
        <v>Yes</v>
      </c>
      <c r="I974" s="8" t="str">
        <f>_xlfn.XLOOKUP($A974,'RAWDATA Cars Buyers DB'!$A:$A,'RAWDATA Cars Buyers DB'!I:I)</f>
        <v>0–1 Kilometre</v>
      </c>
      <c r="J974" s="8" t="str">
        <f>_xlfn.XLOOKUP($A974,'RAWDATA Cars Buyers DB'!$A:$A,'RAWDATA Cars Buyers DB'!J:J)</f>
        <v>Saxony-Anhalt</v>
      </c>
      <c r="K974" s="8">
        <f>_xlfn.XLOOKUP($A974,'RAWDATA Cars Buyers DB'!$A:$A,'RAWDATA Cars Buyers DB'!K:K)</f>
        <v>32</v>
      </c>
      <c r="L974" s="10" t="str">
        <f>IF(_xlfn.XLOOKUP($A974,'RAWDATA Cars Buyers DB'!$A:$A,'RAWDATA Cars Buyers DB'!K:K)&gt;54,"Old ",IF(_xlfn.XLOOKUP($A974,'RAWDATA Cars Buyers DB'!$A:$A,'RAWDATA Cars Buyers DB'!K:K)&gt;=31,"Middle Age ",IF(_xlfn.XLOOKUP($A974,'RAWDATA Cars Buyers DB'!$A:$A,'RAWDATA Cars Buyers DB'!K:K)&lt;31,"Adolescent","Invalid")))</f>
        <v xml:space="preserve">Middle Age </v>
      </c>
      <c r="M974" s="8" t="str">
        <f>_xlfn.XLOOKUP($A974,'RAWDATA Cars Buyers DB'!$A:$A,'RAWDATA Cars Buyers DB'!L:L)</f>
        <v>Yes</v>
      </c>
    </row>
    <row r="975" spans="1:13">
      <c r="A975" s="6">
        <v>46258</v>
      </c>
      <c r="B975" s="10" t="str">
        <f>IF(_xlfn.XLOOKUP($A975,'RAWDATA Cars Buyers DB'!$A:$A,'RAWDATA Cars Buyers DB'!B:B)="S","Single","Married")</f>
        <v>Single</v>
      </c>
      <c r="C975" s="10" t="str">
        <f>IF(_xlfn.XLOOKUP($A975,'RAWDATA Cars Buyers DB'!$A:$A,'RAWDATA Cars Buyers DB'!C:C)="F","Female","Male")</f>
        <v>Male</v>
      </c>
      <c r="D975" s="7">
        <f>_xlfn.XLOOKUP($A975,'RAWDATA Cars Buyers DB'!$A:$A,'RAWDATA Cars Buyers DB'!D:D)</f>
        <v>105160</v>
      </c>
      <c r="E975" s="8">
        <f>_xlfn.XLOOKUP($A975,'RAWDATA Cars Buyers DB'!$A:$A,'RAWDATA Cars Buyers DB'!E:E)</f>
        <v>5</v>
      </c>
      <c r="F975" s="8" t="str">
        <f>_xlfn.XLOOKUP($A975,'RAWDATA Cars Buyers DB'!$A:$A,'RAWDATA Cars Buyers DB'!F:F)</f>
        <v>High School</v>
      </c>
      <c r="G975" s="8" t="str">
        <f>_xlfn.XLOOKUP($A975,'RAWDATA Cars Buyers DB'!$A:$A,'RAWDATA Cars Buyers DB'!G:G)</f>
        <v>Professional</v>
      </c>
      <c r="H975" s="8" t="str">
        <f>_xlfn.XLOOKUP($A975,'RAWDATA Cars Buyers DB'!$A:$A,'RAWDATA Cars Buyers DB'!H:H)</f>
        <v>Yes</v>
      </c>
      <c r="I975" s="8" t="str">
        <f>_xlfn.XLOOKUP($A975,'RAWDATA Cars Buyers DB'!$A:$A,'RAWDATA Cars Buyers DB'!I:I)</f>
        <v>4–6 Kilometre</v>
      </c>
      <c r="J975" s="8" t="str">
        <f>_xlfn.XLOOKUP($A975,'RAWDATA Cars Buyers DB'!$A:$A,'RAWDATA Cars Buyers DB'!J:J)</f>
        <v>Bremen</v>
      </c>
      <c r="K975" s="8">
        <f>_xlfn.XLOOKUP($A975,'RAWDATA Cars Buyers DB'!$A:$A,'RAWDATA Cars Buyers DB'!K:K)</f>
        <v>66</v>
      </c>
      <c r="L975" s="10" t="str">
        <f>IF(_xlfn.XLOOKUP($A975,'RAWDATA Cars Buyers DB'!$A:$A,'RAWDATA Cars Buyers DB'!K:K)&gt;54,"Old ",IF(_xlfn.XLOOKUP($A975,'RAWDATA Cars Buyers DB'!$A:$A,'RAWDATA Cars Buyers DB'!K:K)&gt;=31,"Middle Age ",IF(_xlfn.XLOOKUP($A975,'RAWDATA Cars Buyers DB'!$A:$A,'RAWDATA Cars Buyers DB'!K:K)&lt;31,"Adolescent","Invalid")))</f>
        <v xml:space="preserve">Old </v>
      </c>
      <c r="M975" s="8" t="str">
        <f>_xlfn.XLOOKUP($A975,'RAWDATA Cars Buyers DB'!$A:$A,'RAWDATA Cars Buyers DB'!L:L)</f>
        <v>Yes</v>
      </c>
    </row>
    <row r="976" spans="1:13">
      <c r="A976" s="6">
        <v>52078</v>
      </c>
      <c r="B976" s="10" t="str">
        <f>IF(_xlfn.XLOOKUP($A976,'RAWDATA Cars Buyers DB'!$A:$A,'RAWDATA Cars Buyers DB'!B:B)="S","Single","Married")</f>
        <v>Single</v>
      </c>
      <c r="C976" s="10" t="str">
        <f>IF(_xlfn.XLOOKUP($A976,'RAWDATA Cars Buyers DB'!$A:$A,'RAWDATA Cars Buyers DB'!C:C)="F","Female","Male")</f>
        <v>Male</v>
      </c>
      <c r="D976" s="7">
        <f>_xlfn.XLOOKUP($A976,'RAWDATA Cars Buyers DB'!$A:$A,'RAWDATA Cars Buyers DB'!D:D)</f>
        <v>46564</v>
      </c>
      <c r="E976" s="8">
        <f>_xlfn.XLOOKUP($A976,'RAWDATA Cars Buyers DB'!$A:$A,'RAWDATA Cars Buyers DB'!E:E)</f>
        <v>4</v>
      </c>
      <c r="F976" s="8" t="str">
        <f>_xlfn.XLOOKUP($A976,'RAWDATA Cars Buyers DB'!$A:$A,'RAWDATA Cars Buyers DB'!F:F)</f>
        <v>Bachelors</v>
      </c>
      <c r="G976" s="8" t="str">
        <f>_xlfn.XLOOKUP($A976,'RAWDATA Cars Buyers DB'!$A:$A,'RAWDATA Cars Buyers DB'!G:G)</f>
        <v>Clerical</v>
      </c>
      <c r="H976" s="8" t="str">
        <f>_xlfn.XLOOKUP($A976,'RAWDATA Cars Buyers DB'!$A:$A,'RAWDATA Cars Buyers DB'!H:H)</f>
        <v>No</v>
      </c>
      <c r="I976" s="8" t="str">
        <f>_xlfn.XLOOKUP($A976,'RAWDATA Cars Buyers DB'!$A:$A,'RAWDATA Cars Buyers DB'!I:I)</f>
        <v>1–2 Kilometre</v>
      </c>
      <c r="J976" s="8" t="str">
        <f>_xlfn.XLOOKUP($A976,'RAWDATA Cars Buyers DB'!$A:$A,'RAWDATA Cars Buyers DB'!J:J)</f>
        <v>Hamburg</v>
      </c>
      <c r="K976" s="8">
        <f>_xlfn.XLOOKUP($A976,'RAWDATA Cars Buyers DB'!$A:$A,'RAWDATA Cars Buyers DB'!K:K)</f>
        <v>31</v>
      </c>
      <c r="L976" s="10" t="str">
        <f>IF(_xlfn.XLOOKUP($A976,'RAWDATA Cars Buyers DB'!$A:$A,'RAWDATA Cars Buyers DB'!K:K)&gt;54,"Old ",IF(_xlfn.XLOOKUP($A976,'RAWDATA Cars Buyers DB'!$A:$A,'RAWDATA Cars Buyers DB'!K:K)&gt;=31,"Middle Age ",IF(_xlfn.XLOOKUP($A976,'RAWDATA Cars Buyers DB'!$A:$A,'RAWDATA Cars Buyers DB'!K:K)&lt;31,"Adolescent","Invalid")))</f>
        <v xml:space="preserve">Middle Age </v>
      </c>
      <c r="M976" s="8" t="str">
        <f>_xlfn.XLOOKUP($A976,'RAWDATA Cars Buyers DB'!$A:$A,'RAWDATA Cars Buyers DB'!L:L)</f>
        <v>No</v>
      </c>
    </row>
    <row r="977" spans="1:13">
      <c r="A977" s="6">
        <v>93524</v>
      </c>
      <c r="B977" s="10" t="str">
        <f>IF(_xlfn.XLOOKUP($A977,'RAWDATA Cars Buyers DB'!$A:$A,'RAWDATA Cars Buyers DB'!B:B)="S","Single","Married")</f>
        <v>Single</v>
      </c>
      <c r="C977" s="10" t="str">
        <f>IF(_xlfn.XLOOKUP($A977,'RAWDATA Cars Buyers DB'!$A:$A,'RAWDATA Cars Buyers DB'!C:C)="F","Female","Male")</f>
        <v>Female</v>
      </c>
      <c r="D977" s="7">
        <f>_xlfn.XLOOKUP($A977,'RAWDATA Cars Buyers DB'!$A:$A,'RAWDATA Cars Buyers DB'!D:D)</f>
        <v>42412</v>
      </c>
      <c r="E977" s="8">
        <f>_xlfn.XLOOKUP($A977,'RAWDATA Cars Buyers DB'!$A:$A,'RAWDATA Cars Buyers DB'!E:E)</f>
        <v>5</v>
      </c>
      <c r="F977" s="8" t="str">
        <f>_xlfn.XLOOKUP($A977,'RAWDATA Cars Buyers DB'!$A:$A,'RAWDATA Cars Buyers DB'!F:F)</f>
        <v>Graduate Degree</v>
      </c>
      <c r="G977" s="8" t="str">
        <f>_xlfn.XLOOKUP($A977,'RAWDATA Cars Buyers DB'!$A:$A,'RAWDATA Cars Buyers DB'!G:G)</f>
        <v>Clerical</v>
      </c>
      <c r="H977" s="8" t="str">
        <f>_xlfn.XLOOKUP($A977,'RAWDATA Cars Buyers DB'!$A:$A,'RAWDATA Cars Buyers DB'!H:H)</f>
        <v>No</v>
      </c>
      <c r="I977" s="8" t="str">
        <f>_xlfn.XLOOKUP($A977,'RAWDATA Cars Buyers DB'!$A:$A,'RAWDATA Cars Buyers DB'!I:I)</f>
        <v>2–4 Kilometre</v>
      </c>
      <c r="J977" s="8" t="str">
        <f>_xlfn.XLOOKUP($A977,'RAWDATA Cars Buyers DB'!$A:$A,'RAWDATA Cars Buyers DB'!J:J)</f>
        <v>North Rhine-Westphalia</v>
      </c>
      <c r="K977" s="8">
        <f>_xlfn.XLOOKUP($A977,'RAWDATA Cars Buyers DB'!$A:$A,'RAWDATA Cars Buyers DB'!K:K)</f>
        <v>24</v>
      </c>
      <c r="L977" s="10" t="str">
        <f>IF(_xlfn.XLOOKUP($A977,'RAWDATA Cars Buyers DB'!$A:$A,'RAWDATA Cars Buyers DB'!K:K)&gt;54,"Old ",IF(_xlfn.XLOOKUP($A977,'RAWDATA Cars Buyers DB'!$A:$A,'RAWDATA Cars Buyers DB'!K:K)&gt;=31,"Middle Age ",IF(_xlfn.XLOOKUP($A977,'RAWDATA Cars Buyers DB'!$A:$A,'RAWDATA Cars Buyers DB'!K:K)&lt;31,"Adolescent","Invalid")))</f>
        <v>Adolescent</v>
      </c>
      <c r="M977" s="8" t="str">
        <f>_xlfn.XLOOKUP($A977,'RAWDATA Cars Buyers DB'!$A:$A,'RAWDATA Cars Buyers DB'!L:L)</f>
        <v>Yes</v>
      </c>
    </row>
    <row r="978" spans="1:13">
      <c r="A978" s="6">
        <v>22219</v>
      </c>
      <c r="B978" s="10" t="str">
        <f>IF(_xlfn.XLOOKUP($A978,'RAWDATA Cars Buyers DB'!$A:$A,'RAWDATA Cars Buyers DB'!B:B)="S","Single","Married")</f>
        <v>Married</v>
      </c>
      <c r="C978" s="10" t="str">
        <f>IF(_xlfn.XLOOKUP($A978,'RAWDATA Cars Buyers DB'!$A:$A,'RAWDATA Cars Buyers DB'!C:C)="F","Female","Male")</f>
        <v>Female</v>
      </c>
      <c r="D978" s="7">
        <f>_xlfn.XLOOKUP($A978,'RAWDATA Cars Buyers DB'!$A:$A,'RAWDATA Cars Buyers DB'!D:D)</f>
        <v>113526</v>
      </c>
      <c r="E978" s="8">
        <f>_xlfn.XLOOKUP($A978,'RAWDATA Cars Buyers DB'!$A:$A,'RAWDATA Cars Buyers DB'!E:E)</f>
        <v>5</v>
      </c>
      <c r="F978" s="8" t="str">
        <f>_xlfn.XLOOKUP($A978,'RAWDATA Cars Buyers DB'!$A:$A,'RAWDATA Cars Buyers DB'!F:F)</f>
        <v>Bachelors</v>
      </c>
      <c r="G978" s="8" t="str">
        <f>_xlfn.XLOOKUP($A978,'RAWDATA Cars Buyers DB'!$A:$A,'RAWDATA Cars Buyers DB'!G:G)</f>
        <v>Clerical</v>
      </c>
      <c r="H978" s="8" t="str">
        <f>_xlfn.XLOOKUP($A978,'RAWDATA Cars Buyers DB'!$A:$A,'RAWDATA Cars Buyers DB'!H:H)</f>
        <v>Yes</v>
      </c>
      <c r="I978" s="8" t="str">
        <f>_xlfn.XLOOKUP($A978,'RAWDATA Cars Buyers DB'!$A:$A,'RAWDATA Cars Buyers DB'!I:I)</f>
        <v>2–4 Kilometre</v>
      </c>
      <c r="J978" s="8" t="str">
        <f>_xlfn.XLOOKUP($A978,'RAWDATA Cars Buyers DB'!$A:$A,'RAWDATA Cars Buyers DB'!J:J)</f>
        <v>Thuringia</v>
      </c>
      <c r="K978" s="8">
        <f>_xlfn.XLOOKUP($A978,'RAWDATA Cars Buyers DB'!$A:$A,'RAWDATA Cars Buyers DB'!K:K)</f>
        <v>56</v>
      </c>
      <c r="L978" s="10" t="str">
        <f>IF(_xlfn.XLOOKUP($A978,'RAWDATA Cars Buyers DB'!$A:$A,'RAWDATA Cars Buyers DB'!K:K)&gt;54,"Old ",IF(_xlfn.XLOOKUP($A978,'RAWDATA Cars Buyers DB'!$A:$A,'RAWDATA Cars Buyers DB'!K:K)&gt;=31,"Middle Age ",IF(_xlfn.XLOOKUP($A978,'RAWDATA Cars Buyers DB'!$A:$A,'RAWDATA Cars Buyers DB'!K:K)&lt;31,"Adolescent","Invalid")))</f>
        <v xml:space="preserve">Old </v>
      </c>
      <c r="M978" s="8" t="str">
        <f>_xlfn.XLOOKUP($A978,'RAWDATA Cars Buyers DB'!$A:$A,'RAWDATA Cars Buyers DB'!L:L)</f>
        <v>Yes</v>
      </c>
    </row>
    <row r="979" spans="1:13">
      <c r="A979" s="6">
        <v>10235</v>
      </c>
      <c r="B979" s="10" t="str">
        <f>IF(_xlfn.XLOOKUP($A979,'RAWDATA Cars Buyers DB'!$A:$A,'RAWDATA Cars Buyers DB'!B:B)="S","Single","Married")</f>
        <v>Married</v>
      </c>
      <c r="C979" s="10" t="str">
        <f>IF(_xlfn.XLOOKUP($A979,'RAWDATA Cars Buyers DB'!$A:$A,'RAWDATA Cars Buyers DB'!C:C)="F","Female","Male")</f>
        <v>Male</v>
      </c>
      <c r="D979" s="7">
        <f>_xlfn.XLOOKUP($A979,'RAWDATA Cars Buyers DB'!$A:$A,'RAWDATA Cars Buyers DB'!D:D)</f>
        <v>71001</v>
      </c>
      <c r="E979" s="8">
        <f>_xlfn.XLOOKUP($A979,'RAWDATA Cars Buyers DB'!$A:$A,'RAWDATA Cars Buyers DB'!E:E)</f>
        <v>0</v>
      </c>
      <c r="F979" s="8" t="str">
        <f>_xlfn.XLOOKUP($A979,'RAWDATA Cars Buyers DB'!$A:$A,'RAWDATA Cars Buyers DB'!F:F)</f>
        <v>High School</v>
      </c>
      <c r="G979" s="8" t="str">
        <f>_xlfn.XLOOKUP($A979,'RAWDATA Cars Buyers DB'!$A:$A,'RAWDATA Cars Buyers DB'!G:G)</f>
        <v>Clerical</v>
      </c>
      <c r="H979" s="8" t="str">
        <f>_xlfn.XLOOKUP($A979,'RAWDATA Cars Buyers DB'!$A:$A,'RAWDATA Cars Buyers DB'!H:H)</f>
        <v>No</v>
      </c>
      <c r="I979" s="8" t="str">
        <f>_xlfn.XLOOKUP($A979,'RAWDATA Cars Buyers DB'!$A:$A,'RAWDATA Cars Buyers DB'!I:I)</f>
        <v>0–1 Kilometre</v>
      </c>
      <c r="J979" s="8" t="str">
        <f>_xlfn.XLOOKUP($A979,'RAWDATA Cars Buyers DB'!$A:$A,'RAWDATA Cars Buyers DB'!J:J)</f>
        <v>Mecklenburg-Vorpommern</v>
      </c>
      <c r="K979" s="8">
        <f>_xlfn.XLOOKUP($A979,'RAWDATA Cars Buyers DB'!$A:$A,'RAWDATA Cars Buyers DB'!K:K)</f>
        <v>50</v>
      </c>
      <c r="L979" s="10" t="str">
        <f>IF(_xlfn.XLOOKUP($A979,'RAWDATA Cars Buyers DB'!$A:$A,'RAWDATA Cars Buyers DB'!K:K)&gt;54,"Old ",IF(_xlfn.XLOOKUP($A979,'RAWDATA Cars Buyers DB'!$A:$A,'RAWDATA Cars Buyers DB'!K:K)&gt;=31,"Middle Age ",IF(_xlfn.XLOOKUP($A979,'RAWDATA Cars Buyers DB'!$A:$A,'RAWDATA Cars Buyers DB'!K:K)&lt;31,"Adolescent","Invalid")))</f>
        <v xml:space="preserve">Middle Age </v>
      </c>
      <c r="M979" s="8" t="str">
        <f>_xlfn.XLOOKUP($A979,'RAWDATA Cars Buyers DB'!$A:$A,'RAWDATA Cars Buyers DB'!L:L)</f>
        <v>No</v>
      </c>
    </row>
    <row r="980" spans="1:13">
      <c r="A980" s="6">
        <v>52929</v>
      </c>
      <c r="B980" s="10" t="str">
        <f>IF(_xlfn.XLOOKUP($A980,'RAWDATA Cars Buyers DB'!$A:$A,'RAWDATA Cars Buyers DB'!B:B)="S","Single","Married")</f>
        <v>Married</v>
      </c>
      <c r="C980" s="10" t="str">
        <f>IF(_xlfn.XLOOKUP($A980,'RAWDATA Cars Buyers DB'!$A:$A,'RAWDATA Cars Buyers DB'!C:C)="F","Female","Male")</f>
        <v>Female</v>
      </c>
      <c r="D980" s="7">
        <f>_xlfn.XLOOKUP($A980,'RAWDATA Cars Buyers DB'!$A:$A,'RAWDATA Cars Buyers DB'!D:D)</f>
        <v>77649</v>
      </c>
      <c r="E980" s="8">
        <f>_xlfn.XLOOKUP($A980,'RAWDATA Cars Buyers DB'!$A:$A,'RAWDATA Cars Buyers DB'!E:E)</f>
        <v>5</v>
      </c>
      <c r="F980" s="8" t="str">
        <f>_xlfn.XLOOKUP($A980,'RAWDATA Cars Buyers DB'!$A:$A,'RAWDATA Cars Buyers DB'!F:F)</f>
        <v>Graduate Degree</v>
      </c>
      <c r="G980" s="8" t="str">
        <f>_xlfn.XLOOKUP($A980,'RAWDATA Cars Buyers DB'!$A:$A,'RAWDATA Cars Buyers DB'!G:G)</f>
        <v>Professional</v>
      </c>
      <c r="H980" s="8" t="str">
        <f>_xlfn.XLOOKUP($A980,'RAWDATA Cars Buyers DB'!$A:$A,'RAWDATA Cars Buyers DB'!H:H)</f>
        <v>Yes</v>
      </c>
      <c r="I980" s="8" t="str">
        <f>_xlfn.XLOOKUP($A980,'RAWDATA Cars Buyers DB'!$A:$A,'RAWDATA Cars Buyers DB'!I:I)</f>
        <v>1–2 Kilometre</v>
      </c>
      <c r="J980" s="8" t="str">
        <f>_xlfn.XLOOKUP($A980,'RAWDATA Cars Buyers DB'!$A:$A,'RAWDATA Cars Buyers DB'!J:J)</f>
        <v>North Rhine-Westphalia</v>
      </c>
      <c r="K980" s="8">
        <f>_xlfn.XLOOKUP($A980,'RAWDATA Cars Buyers DB'!$A:$A,'RAWDATA Cars Buyers DB'!K:K)</f>
        <v>47</v>
      </c>
      <c r="L980" s="10" t="str">
        <f>IF(_xlfn.XLOOKUP($A980,'RAWDATA Cars Buyers DB'!$A:$A,'RAWDATA Cars Buyers DB'!K:K)&gt;54,"Old ",IF(_xlfn.XLOOKUP($A980,'RAWDATA Cars Buyers DB'!$A:$A,'RAWDATA Cars Buyers DB'!K:K)&gt;=31,"Middle Age ",IF(_xlfn.XLOOKUP($A980,'RAWDATA Cars Buyers DB'!$A:$A,'RAWDATA Cars Buyers DB'!K:K)&lt;31,"Adolescent","Invalid")))</f>
        <v xml:space="preserve">Middle Age </v>
      </c>
      <c r="M980" s="8" t="str">
        <f>_xlfn.XLOOKUP($A980,'RAWDATA Cars Buyers DB'!$A:$A,'RAWDATA Cars Buyers DB'!L:L)</f>
        <v>Yes</v>
      </c>
    </row>
    <row r="981" spans="1:13">
      <c r="A981" s="6">
        <v>77444</v>
      </c>
      <c r="B981" s="10" t="str">
        <f>IF(_xlfn.XLOOKUP($A981,'RAWDATA Cars Buyers DB'!$A:$A,'RAWDATA Cars Buyers DB'!B:B)="S","Single","Married")</f>
        <v>Married</v>
      </c>
      <c r="C981" s="10" t="str">
        <f>IF(_xlfn.XLOOKUP($A981,'RAWDATA Cars Buyers DB'!$A:$A,'RAWDATA Cars Buyers DB'!C:C)="F","Female","Male")</f>
        <v>Female</v>
      </c>
      <c r="D981" s="7">
        <f>_xlfn.XLOOKUP($A981,'RAWDATA Cars Buyers DB'!$A:$A,'RAWDATA Cars Buyers DB'!D:D)</f>
        <v>80957</v>
      </c>
      <c r="E981" s="8">
        <f>_xlfn.XLOOKUP($A981,'RAWDATA Cars Buyers DB'!$A:$A,'RAWDATA Cars Buyers DB'!E:E)</f>
        <v>5</v>
      </c>
      <c r="F981" s="8" t="str">
        <f>_xlfn.XLOOKUP($A981,'RAWDATA Cars Buyers DB'!$A:$A,'RAWDATA Cars Buyers DB'!F:F)</f>
        <v>High School</v>
      </c>
      <c r="G981" s="8" t="str">
        <f>_xlfn.XLOOKUP($A981,'RAWDATA Cars Buyers DB'!$A:$A,'RAWDATA Cars Buyers DB'!G:G)</f>
        <v>Management</v>
      </c>
      <c r="H981" s="8" t="str">
        <f>_xlfn.XLOOKUP($A981,'RAWDATA Cars Buyers DB'!$A:$A,'RAWDATA Cars Buyers DB'!H:H)</f>
        <v>No</v>
      </c>
      <c r="I981" s="8" t="str">
        <f>_xlfn.XLOOKUP($A981,'RAWDATA Cars Buyers DB'!$A:$A,'RAWDATA Cars Buyers DB'!I:I)</f>
        <v>4–6 Kilometre</v>
      </c>
      <c r="J981" s="8" t="str">
        <f>_xlfn.XLOOKUP($A981,'RAWDATA Cars Buyers DB'!$A:$A,'RAWDATA Cars Buyers DB'!J:J)</f>
        <v>Hamburg</v>
      </c>
      <c r="K981" s="8">
        <f>_xlfn.XLOOKUP($A981,'RAWDATA Cars Buyers DB'!$A:$A,'RAWDATA Cars Buyers DB'!K:K)</f>
        <v>47</v>
      </c>
      <c r="L981" s="10" t="str">
        <f>IF(_xlfn.XLOOKUP($A981,'RAWDATA Cars Buyers DB'!$A:$A,'RAWDATA Cars Buyers DB'!K:K)&gt;54,"Old ",IF(_xlfn.XLOOKUP($A981,'RAWDATA Cars Buyers DB'!$A:$A,'RAWDATA Cars Buyers DB'!K:K)&gt;=31,"Middle Age ",IF(_xlfn.XLOOKUP($A981,'RAWDATA Cars Buyers DB'!$A:$A,'RAWDATA Cars Buyers DB'!K:K)&lt;31,"Adolescent","Invalid")))</f>
        <v xml:space="preserve">Middle Age </v>
      </c>
      <c r="M981" s="8" t="str">
        <f>_xlfn.XLOOKUP($A981,'RAWDATA Cars Buyers DB'!$A:$A,'RAWDATA Cars Buyers DB'!L:L)</f>
        <v>Yes</v>
      </c>
    </row>
    <row r="982" spans="1:13">
      <c r="A982" s="6">
        <v>18567</v>
      </c>
      <c r="B982" s="10" t="str">
        <f>IF(_xlfn.XLOOKUP($A982,'RAWDATA Cars Buyers DB'!$A:$A,'RAWDATA Cars Buyers DB'!B:B)="S","Single","Married")</f>
        <v>Single</v>
      </c>
      <c r="C982" s="10" t="str">
        <f>IF(_xlfn.XLOOKUP($A982,'RAWDATA Cars Buyers DB'!$A:$A,'RAWDATA Cars Buyers DB'!C:C)="F","Female","Male")</f>
        <v>Male</v>
      </c>
      <c r="D982" s="7">
        <f>_xlfn.XLOOKUP($A982,'RAWDATA Cars Buyers DB'!$A:$A,'RAWDATA Cars Buyers DB'!D:D)</f>
        <v>55517</v>
      </c>
      <c r="E982" s="8">
        <f>_xlfn.XLOOKUP($A982,'RAWDATA Cars Buyers DB'!$A:$A,'RAWDATA Cars Buyers DB'!E:E)</f>
        <v>2</v>
      </c>
      <c r="F982" s="8" t="str">
        <f>_xlfn.XLOOKUP($A982,'RAWDATA Cars Buyers DB'!$A:$A,'RAWDATA Cars Buyers DB'!F:F)</f>
        <v>Graduate Degree</v>
      </c>
      <c r="G982" s="8" t="str">
        <f>_xlfn.XLOOKUP($A982,'RAWDATA Cars Buyers DB'!$A:$A,'RAWDATA Cars Buyers DB'!G:G)</f>
        <v>Management</v>
      </c>
      <c r="H982" s="8" t="str">
        <f>_xlfn.XLOOKUP($A982,'RAWDATA Cars Buyers DB'!$A:$A,'RAWDATA Cars Buyers DB'!H:H)</f>
        <v>Yes</v>
      </c>
      <c r="I982" s="8" t="str">
        <f>_xlfn.XLOOKUP($A982,'RAWDATA Cars Buyers DB'!$A:$A,'RAWDATA Cars Buyers DB'!I:I)</f>
        <v>6+ Kilometre</v>
      </c>
      <c r="J982" s="8" t="str">
        <f>_xlfn.XLOOKUP($A982,'RAWDATA Cars Buyers DB'!$A:$A,'RAWDATA Cars Buyers DB'!J:J)</f>
        <v>Baden-Württemberg</v>
      </c>
      <c r="K982" s="8">
        <f>_xlfn.XLOOKUP($A982,'RAWDATA Cars Buyers DB'!$A:$A,'RAWDATA Cars Buyers DB'!K:K)</f>
        <v>49</v>
      </c>
      <c r="L982" s="10" t="str">
        <f>IF(_xlfn.XLOOKUP($A982,'RAWDATA Cars Buyers DB'!$A:$A,'RAWDATA Cars Buyers DB'!K:K)&gt;54,"Old ",IF(_xlfn.XLOOKUP($A982,'RAWDATA Cars Buyers DB'!$A:$A,'RAWDATA Cars Buyers DB'!K:K)&gt;=31,"Middle Age ",IF(_xlfn.XLOOKUP($A982,'RAWDATA Cars Buyers DB'!$A:$A,'RAWDATA Cars Buyers DB'!K:K)&lt;31,"Adolescent","Invalid")))</f>
        <v xml:space="preserve">Middle Age </v>
      </c>
      <c r="M982" s="8" t="str">
        <f>_xlfn.XLOOKUP($A982,'RAWDATA Cars Buyers DB'!$A:$A,'RAWDATA Cars Buyers DB'!L:L)</f>
        <v>Yes</v>
      </c>
    </row>
    <row r="983" spans="1:13">
      <c r="A983" s="6">
        <v>80792</v>
      </c>
      <c r="B983" s="10" t="str">
        <f>IF(_xlfn.XLOOKUP($A983,'RAWDATA Cars Buyers DB'!$A:$A,'RAWDATA Cars Buyers DB'!B:B)="S","Single","Married")</f>
        <v>Single</v>
      </c>
      <c r="C983" s="10" t="str">
        <f>IF(_xlfn.XLOOKUP($A983,'RAWDATA Cars Buyers DB'!$A:$A,'RAWDATA Cars Buyers DB'!C:C)="F","Female","Male")</f>
        <v>Male</v>
      </c>
      <c r="D983" s="7">
        <f>_xlfn.XLOOKUP($A983,'RAWDATA Cars Buyers DB'!$A:$A,'RAWDATA Cars Buyers DB'!D:D)</f>
        <v>33156</v>
      </c>
      <c r="E983" s="8">
        <f>_xlfn.XLOOKUP($A983,'RAWDATA Cars Buyers DB'!$A:$A,'RAWDATA Cars Buyers DB'!E:E)</f>
        <v>1</v>
      </c>
      <c r="F983" s="8" t="str">
        <f>_xlfn.XLOOKUP($A983,'RAWDATA Cars Buyers DB'!$A:$A,'RAWDATA Cars Buyers DB'!F:F)</f>
        <v>Bachelors</v>
      </c>
      <c r="G983" s="8" t="str">
        <f>_xlfn.XLOOKUP($A983,'RAWDATA Cars Buyers DB'!$A:$A,'RAWDATA Cars Buyers DB'!G:G)</f>
        <v>Skilled Manual</v>
      </c>
      <c r="H983" s="8" t="str">
        <f>_xlfn.XLOOKUP($A983,'RAWDATA Cars Buyers DB'!$A:$A,'RAWDATA Cars Buyers DB'!H:H)</f>
        <v>No</v>
      </c>
      <c r="I983" s="8" t="str">
        <f>_xlfn.XLOOKUP($A983,'RAWDATA Cars Buyers DB'!$A:$A,'RAWDATA Cars Buyers DB'!I:I)</f>
        <v>0–1 Kilometre</v>
      </c>
      <c r="J983" s="8" t="str">
        <f>_xlfn.XLOOKUP($A983,'RAWDATA Cars Buyers DB'!$A:$A,'RAWDATA Cars Buyers DB'!J:J)</f>
        <v>Saxony-Anhalt</v>
      </c>
      <c r="K983" s="8">
        <f>_xlfn.XLOOKUP($A983,'RAWDATA Cars Buyers DB'!$A:$A,'RAWDATA Cars Buyers DB'!K:K)</f>
        <v>37</v>
      </c>
      <c r="L983" s="10" t="str">
        <f>IF(_xlfn.XLOOKUP($A983,'RAWDATA Cars Buyers DB'!$A:$A,'RAWDATA Cars Buyers DB'!K:K)&gt;54,"Old ",IF(_xlfn.XLOOKUP($A983,'RAWDATA Cars Buyers DB'!$A:$A,'RAWDATA Cars Buyers DB'!K:K)&gt;=31,"Middle Age ",IF(_xlfn.XLOOKUP($A983,'RAWDATA Cars Buyers DB'!$A:$A,'RAWDATA Cars Buyers DB'!K:K)&lt;31,"Adolescent","Invalid")))</f>
        <v xml:space="preserve">Middle Age </v>
      </c>
      <c r="M983" s="8" t="str">
        <f>_xlfn.XLOOKUP($A983,'RAWDATA Cars Buyers DB'!$A:$A,'RAWDATA Cars Buyers DB'!L:L)</f>
        <v>No</v>
      </c>
    </row>
    <row r="984" spans="1:13">
      <c r="A984" s="6">
        <v>75441</v>
      </c>
      <c r="B984" s="10" t="str">
        <f>IF(_xlfn.XLOOKUP($A984,'RAWDATA Cars Buyers DB'!$A:$A,'RAWDATA Cars Buyers DB'!B:B)="S","Single","Married")</f>
        <v>Single</v>
      </c>
      <c r="C984" s="10" t="str">
        <f>IF(_xlfn.XLOOKUP($A984,'RAWDATA Cars Buyers DB'!$A:$A,'RAWDATA Cars Buyers DB'!C:C)="F","Female","Male")</f>
        <v>Female</v>
      </c>
      <c r="D984" s="7">
        <f>_xlfn.XLOOKUP($A984,'RAWDATA Cars Buyers DB'!$A:$A,'RAWDATA Cars Buyers DB'!D:D)</f>
        <v>43064</v>
      </c>
      <c r="E984" s="8">
        <f>_xlfn.XLOOKUP($A984,'RAWDATA Cars Buyers DB'!$A:$A,'RAWDATA Cars Buyers DB'!E:E)</f>
        <v>2</v>
      </c>
      <c r="F984" s="8" t="str">
        <f>_xlfn.XLOOKUP($A984,'RAWDATA Cars Buyers DB'!$A:$A,'RAWDATA Cars Buyers DB'!F:F)</f>
        <v>Partial College</v>
      </c>
      <c r="G984" s="8" t="str">
        <f>_xlfn.XLOOKUP($A984,'RAWDATA Cars Buyers DB'!$A:$A,'RAWDATA Cars Buyers DB'!G:G)</f>
        <v>Management</v>
      </c>
      <c r="H984" s="8" t="str">
        <f>_xlfn.XLOOKUP($A984,'RAWDATA Cars Buyers DB'!$A:$A,'RAWDATA Cars Buyers DB'!H:H)</f>
        <v>No</v>
      </c>
      <c r="I984" s="8" t="str">
        <f>_xlfn.XLOOKUP($A984,'RAWDATA Cars Buyers DB'!$A:$A,'RAWDATA Cars Buyers DB'!I:I)</f>
        <v>4–6 Kilometre</v>
      </c>
      <c r="J984" s="8" t="str">
        <f>_xlfn.XLOOKUP($A984,'RAWDATA Cars Buyers DB'!$A:$A,'RAWDATA Cars Buyers DB'!J:J)</f>
        <v>Rhineland-Palatinate</v>
      </c>
      <c r="K984" s="8">
        <f>_xlfn.XLOOKUP($A984,'RAWDATA Cars Buyers DB'!$A:$A,'RAWDATA Cars Buyers DB'!K:K)</f>
        <v>63</v>
      </c>
      <c r="L984" s="10" t="str">
        <f>IF(_xlfn.XLOOKUP($A984,'RAWDATA Cars Buyers DB'!$A:$A,'RAWDATA Cars Buyers DB'!K:K)&gt;54,"Old ",IF(_xlfn.XLOOKUP($A984,'RAWDATA Cars Buyers DB'!$A:$A,'RAWDATA Cars Buyers DB'!K:K)&gt;=31,"Middle Age ",IF(_xlfn.XLOOKUP($A984,'RAWDATA Cars Buyers DB'!$A:$A,'RAWDATA Cars Buyers DB'!K:K)&lt;31,"Adolescent","Invalid")))</f>
        <v xml:space="preserve">Old </v>
      </c>
      <c r="M984" s="8" t="str">
        <f>_xlfn.XLOOKUP($A984,'RAWDATA Cars Buyers DB'!$A:$A,'RAWDATA Cars Buyers DB'!L:L)</f>
        <v>Yes</v>
      </c>
    </row>
    <row r="985" spans="1:13">
      <c r="A985" s="6">
        <v>94555</v>
      </c>
      <c r="B985" s="10" t="str">
        <f>IF(_xlfn.XLOOKUP($A985,'RAWDATA Cars Buyers DB'!$A:$A,'RAWDATA Cars Buyers DB'!B:B)="S","Single","Married")</f>
        <v>Single</v>
      </c>
      <c r="C985" s="10" t="str">
        <f>IF(_xlfn.XLOOKUP($A985,'RAWDATA Cars Buyers DB'!$A:$A,'RAWDATA Cars Buyers DB'!C:C)="F","Female","Male")</f>
        <v>Female</v>
      </c>
      <c r="D985" s="7">
        <f>_xlfn.XLOOKUP($A985,'RAWDATA Cars Buyers DB'!$A:$A,'RAWDATA Cars Buyers DB'!D:D)</f>
        <v>45711</v>
      </c>
      <c r="E985" s="8">
        <f>_xlfn.XLOOKUP($A985,'RAWDATA Cars Buyers DB'!$A:$A,'RAWDATA Cars Buyers DB'!E:E)</f>
        <v>2</v>
      </c>
      <c r="F985" s="8" t="str">
        <f>_xlfn.XLOOKUP($A985,'RAWDATA Cars Buyers DB'!$A:$A,'RAWDATA Cars Buyers DB'!F:F)</f>
        <v>Bachelors</v>
      </c>
      <c r="G985" s="8" t="str">
        <f>_xlfn.XLOOKUP($A985,'RAWDATA Cars Buyers DB'!$A:$A,'RAWDATA Cars Buyers DB'!G:G)</f>
        <v>Professional</v>
      </c>
      <c r="H985" s="8" t="str">
        <f>_xlfn.XLOOKUP($A985,'RAWDATA Cars Buyers DB'!$A:$A,'RAWDATA Cars Buyers DB'!H:H)</f>
        <v>Yes</v>
      </c>
      <c r="I985" s="8" t="str">
        <f>_xlfn.XLOOKUP($A985,'RAWDATA Cars Buyers DB'!$A:$A,'RAWDATA Cars Buyers DB'!I:I)</f>
        <v>6+ Kilometre</v>
      </c>
      <c r="J985" s="8" t="str">
        <f>_xlfn.XLOOKUP($A985,'RAWDATA Cars Buyers DB'!$A:$A,'RAWDATA Cars Buyers DB'!J:J)</f>
        <v>Brandenburg</v>
      </c>
      <c r="K985" s="8">
        <f>_xlfn.XLOOKUP($A985,'RAWDATA Cars Buyers DB'!$A:$A,'RAWDATA Cars Buyers DB'!K:K)</f>
        <v>46</v>
      </c>
      <c r="L985" s="10" t="str">
        <f>IF(_xlfn.XLOOKUP($A985,'RAWDATA Cars Buyers DB'!$A:$A,'RAWDATA Cars Buyers DB'!K:K)&gt;54,"Old ",IF(_xlfn.XLOOKUP($A985,'RAWDATA Cars Buyers DB'!$A:$A,'RAWDATA Cars Buyers DB'!K:K)&gt;=31,"Middle Age ",IF(_xlfn.XLOOKUP($A985,'RAWDATA Cars Buyers DB'!$A:$A,'RAWDATA Cars Buyers DB'!K:K)&lt;31,"Adolescent","Invalid")))</f>
        <v xml:space="preserve">Middle Age </v>
      </c>
      <c r="M985" s="8" t="str">
        <f>_xlfn.XLOOKUP($A985,'RAWDATA Cars Buyers DB'!$A:$A,'RAWDATA Cars Buyers DB'!L:L)</f>
        <v>No</v>
      </c>
    </row>
    <row r="986" spans="1:13">
      <c r="A986" s="6">
        <v>83698</v>
      </c>
      <c r="B986" s="10" t="str">
        <f>IF(_xlfn.XLOOKUP($A986,'RAWDATA Cars Buyers DB'!$A:$A,'RAWDATA Cars Buyers DB'!B:B)="S","Single","Married")</f>
        <v>Married</v>
      </c>
      <c r="C986" s="10" t="str">
        <f>IF(_xlfn.XLOOKUP($A986,'RAWDATA Cars Buyers DB'!$A:$A,'RAWDATA Cars Buyers DB'!C:C)="F","Female","Male")</f>
        <v>Male</v>
      </c>
      <c r="D986" s="7">
        <f>_xlfn.XLOOKUP($A986,'RAWDATA Cars Buyers DB'!$A:$A,'RAWDATA Cars Buyers DB'!D:D)</f>
        <v>50106</v>
      </c>
      <c r="E986" s="8">
        <f>_xlfn.XLOOKUP($A986,'RAWDATA Cars Buyers DB'!$A:$A,'RAWDATA Cars Buyers DB'!E:E)</f>
        <v>3</v>
      </c>
      <c r="F986" s="8" t="str">
        <f>_xlfn.XLOOKUP($A986,'RAWDATA Cars Buyers DB'!$A:$A,'RAWDATA Cars Buyers DB'!F:F)</f>
        <v>Bachelors</v>
      </c>
      <c r="G986" s="8" t="str">
        <f>_xlfn.XLOOKUP($A986,'RAWDATA Cars Buyers DB'!$A:$A,'RAWDATA Cars Buyers DB'!G:G)</f>
        <v>Professional</v>
      </c>
      <c r="H986" s="8" t="str">
        <f>_xlfn.XLOOKUP($A986,'RAWDATA Cars Buyers DB'!$A:$A,'RAWDATA Cars Buyers DB'!H:H)</f>
        <v>Yes</v>
      </c>
      <c r="I986" s="8" t="str">
        <f>_xlfn.XLOOKUP($A986,'RAWDATA Cars Buyers DB'!$A:$A,'RAWDATA Cars Buyers DB'!I:I)</f>
        <v>2–4 Kilometre</v>
      </c>
      <c r="J986" s="8" t="str">
        <f>_xlfn.XLOOKUP($A986,'RAWDATA Cars Buyers DB'!$A:$A,'RAWDATA Cars Buyers DB'!J:J)</f>
        <v>Baden-Württemberg</v>
      </c>
      <c r="K986" s="8">
        <f>_xlfn.XLOOKUP($A986,'RAWDATA Cars Buyers DB'!$A:$A,'RAWDATA Cars Buyers DB'!K:K)</f>
        <v>54</v>
      </c>
      <c r="L986" s="10" t="str">
        <f>IF(_xlfn.XLOOKUP($A986,'RAWDATA Cars Buyers DB'!$A:$A,'RAWDATA Cars Buyers DB'!K:K)&gt;54,"Old ",IF(_xlfn.XLOOKUP($A986,'RAWDATA Cars Buyers DB'!$A:$A,'RAWDATA Cars Buyers DB'!K:K)&gt;=31,"Middle Age ",IF(_xlfn.XLOOKUP($A986,'RAWDATA Cars Buyers DB'!$A:$A,'RAWDATA Cars Buyers DB'!K:K)&lt;31,"Adolescent","Invalid")))</f>
        <v xml:space="preserve">Middle Age </v>
      </c>
      <c r="M986" s="8" t="str">
        <f>_xlfn.XLOOKUP($A986,'RAWDATA Cars Buyers DB'!$A:$A,'RAWDATA Cars Buyers DB'!L:L)</f>
        <v>No</v>
      </c>
    </row>
    <row r="987" spans="1:13">
      <c r="A987" s="6">
        <v>15415</v>
      </c>
      <c r="B987" s="10" t="str">
        <f>IF(_xlfn.XLOOKUP($A987,'RAWDATA Cars Buyers DB'!$A:$A,'RAWDATA Cars Buyers DB'!B:B)="S","Single","Married")</f>
        <v>Single</v>
      </c>
      <c r="C987" s="10" t="str">
        <f>IF(_xlfn.XLOOKUP($A987,'RAWDATA Cars Buyers DB'!$A:$A,'RAWDATA Cars Buyers DB'!C:C)="F","Female","Male")</f>
        <v>Male</v>
      </c>
      <c r="D987" s="7">
        <f>_xlfn.XLOOKUP($A987,'RAWDATA Cars Buyers DB'!$A:$A,'RAWDATA Cars Buyers DB'!D:D)</f>
        <v>85458</v>
      </c>
      <c r="E987" s="8">
        <f>_xlfn.XLOOKUP($A987,'RAWDATA Cars Buyers DB'!$A:$A,'RAWDATA Cars Buyers DB'!E:E)</f>
        <v>0</v>
      </c>
      <c r="F987" s="8" t="str">
        <f>_xlfn.XLOOKUP($A987,'RAWDATA Cars Buyers DB'!$A:$A,'RAWDATA Cars Buyers DB'!F:F)</f>
        <v>Partial College</v>
      </c>
      <c r="G987" s="8" t="str">
        <f>_xlfn.XLOOKUP($A987,'RAWDATA Cars Buyers DB'!$A:$A,'RAWDATA Cars Buyers DB'!G:G)</f>
        <v>Professional</v>
      </c>
      <c r="H987" s="8" t="str">
        <f>_xlfn.XLOOKUP($A987,'RAWDATA Cars Buyers DB'!$A:$A,'RAWDATA Cars Buyers DB'!H:H)</f>
        <v>Yes</v>
      </c>
      <c r="I987" s="8" t="str">
        <f>_xlfn.XLOOKUP($A987,'RAWDATA Cars Buyers DB'!$A:$A,'RAWDATA Cars Buyers DB'!I:I)</f>
        <v>2–4 Kilometre</v>
      </c>
      <c r="J987" s="8" t="str">
        <f>_xlfn.XLOOKUP($A987,'RAWDATA Cars Buyers DB'!$A:$A,'RAWDATA Cars Buyers DB'!J:J)</f>
        <v>Baden-Württemberg</v>
      </c>
      <c r="K987" s="8">
        <f>_xlfn.XLOOKUP($A987,'RAWDATA Cars Buyers DB'!$A:$A,'RAWDATA Cars Buyers DB'!K:K)</f>
        <v>45</v>
      </c>
      <c r="L987" s="10" t="str">
        <f>IF(_xlfn.XLOOKUP($A987,'RAWDATA Cars Buyers DB'!$A:$A,'RAWDATA Cars Buyers DB'!K:K)&gt;54,"Old ",IF(_xlfn.XLOOKUP($A987,'RAWDATA Cars Buyers DB'!$A:$A,'RAWDATA Cars Buyers DB'!K:K)&gt;=31,"Middle Age ",IF(_xlfn.XLOOKUP($A987,'RAWDATA Cars Buyers DB'!$A:$A,'RAWDATA Cars Buyers DB'!K:K)&lt;31,"Adolescent","Invalid")))</f>
        <v xml:space="preserve">Middle Age </v>
      </c>
      <c r="M987" s="8" t="str">
        <f>_xlfn.XLOOKUP($A987,'RAWDATA Cars Buyers DB'!$A:$A,'RAWDATA Cars Buyers DB'!L:L)</f>
        <v>Yes</v>
      </c>
    </row>
    <row r="988" spans="1:13">
      <c r="A988" s="6">
        <v>46159</v>
      </c>
      <c r="B988" s="10" t="str">
        <f>IF(_xlfn.XLOOKUP($A988,'RAWDATA Cars Buyers DB'!$A:$A,'RAWDATA Cars Buyers DB'!B:B)="S","Single","Married")</f>
        <v>Married</v>
      </c>
      <c r="C988" s="10" t="str">
        <f>IF(_xlfn.XLOOKUP($A988,'RAWDATA Cars Buyers DB'!$A:$A,'RAWDATA Cars Buyers DB'!C:C)="F","Female","Male")</f>
        <v>Male</v>
      </c>
      <c r="D988" s="7">
        <f>_xlfn.XLOOKUP($A988,'RAWDATA Cars Buyers DB'!$A:$A,'RAWDATA Cars Buyers DB'!D:D)</f>
        <v>36589</v>
      </c>
      <c r="E988" s="8">
        <f>_xlfn.XLOOKUP($A988,'RAWDATA Cars Buyers DB'!$A:$A,'RAWDATA Cars Buyers DB'!E:E)</f>
        <v>2</v>
      </c>
      <c r="F988" s="8" t="str">
        <f>_xlfn.XLOOKUP($A988,'RAWDATA Cars Buyers DB'!$A:$A,'RAWDATA Cars Buyers DB'!F:F)</f>
        <v>Partial College</v>
      </c>
      <c r="G988" s="8" t="str">
        <f>_xlfn.XLOOKUP($A988,'RAWDATA Cars Buyers DB'!$A:$A,'RAWDATA Cars Buyers DB'!G:G)</f>
        <v>Skilled Manual</v>
      </c>
      <c r="H988" s="8" t="str">
        <f>_xlfn.XLOOKUP($A988,'RAWDATA Cars Buyers DB'!$A:$A,'RAWDATA Cars Buyers DB'!H:H)</f>
        <v>Yes</v>
      </c>
      <c r="I988" s="8" t="str">
        <f>_xlfn.XLOOKUP($A988,'RAWDATA Cars Buyers DB'!$A:$A,'RAWDATA Cars Buyers DB'!I:I)</f>
        <v>1–2 Kilometre</v>
      </c>
      <c r="J988" s="8" t="str">
        <f>_xlfn.XLOOKUP($A988,'RAWDATA Cars Buyers DB'!$A:$A,'RAWDATA Cars Buyers DB'!J:J)</f>
        <v>Bavaria</v>
      </c>
      <c r="K988" s="8">
        <f>_xlfn.XLOOKUP($A988,'RAWDATA Cars Buyers DB'!$A:$A,'RAWDATA Cars Buyers DB'!K:K)</f>
        <v>58</v>
      </c>
      <c r="L988" s="10" t="str">
        <f>IF(_xlfn.XLOOKUP($A988,'RAWDATA Cars Buyers DB'!$A:$A,'RAWDATA Cars Buyers DB'!K:K)&gt;54,"Old ",IF(_xlfn.XLOOKUP($A988,'RAWDATA Cars Buyers DB'!$A:$A,'RAWDATA Cars Buyers DB'!K:K)&gt;=31,"Middle Age ",IF(_xlfn.XLOOKUP($A988,'RAWDATA Cars Buyers DB'!$A:$A,'RAWDATA Cars Buyers DB'!K:K)&lt;31,"Adolescent","Invalid")))</f>
        <v xml:space="preserve">Old </v>
      </c>
      <c r="M988" s="8" t="str">
        <f>_xlfn.XLOOKUP($A988,'RAWDATA Cars Buyers DB'!$A:$A,'RAWDATA Cars Buyers DB'!L:L)</f>
        <v>Yes</v>
      </c>
    </row>
    <row r="989" spans="1:13">
      <c r="A989" s="6">
        <v>53925</v>
      </c>
      <c r="B989" s="10" t="str">
        <f>IF(_xlfn.XLOOKUP($A989,'RAWDATA Cars Buyers DB'!$A:$A,'RAWDATA Cars Buyers DB'!B:B)="S","Single","Married")</f>
        <v>Married</v>
      </c>
      <c r="C989" s="10" t="str">
        <f>IF(_xlfn.XLOOKUP($A989,'RAWDATA Cars Buyers DB'!$A:$A,'RAWDATA Cars Buyers DB'!C:C)="F","Female","Male")</f>
        <v>Female</v>
      </c>
      <c r="D989" s="7">
        <f>_xlfn.XLOOKUP($A989,'RAWDATA Cars Buyers DB'!$A:$A,'RAWDATA Cars Buyers DB'!D:D)</f>
        <v>109272</v>
      </c>
      <c r="E989" s="8">
        <f>_xlfn.XLOOKUP($A989,'RAWDATA Cars Buyers DB'!$A:$A,'RAWDATA Cars Buyers DB'!E:E)</f>
        <v>4</v>
      </c>
      <c r="F989" s="8" t="str">
        <f>_xlfn.XLOOKUP($A989,'RAWDATA Cars Buyers DB'!$A:$A,'RAWDATA Cars Buyers DB'!F:F)</f>
        <v>Graduate Degree</v>
      </c>
      <c r="G989" s="8" t="str">
        <f>_xlfn.XLOOKUP($A989,'RAWDATA Cars Buyers DB'!$A:$A,'RAWDATA Cars Buyers DB'!G:G)</f>
        <v>Clerical</v>
      </c>
      <c r="H989" s="8" t="str">
        <f>_xlfn.XLOOKUP($A989,'RAWDATA Cars Buyers DB'!$A:$A,'RAWDATA Cars Buyers DB'!H:H)</f>
        <v>Yes</v>
      </c>
      <c r="I989" s="8" t="str">
        <f>_xlfn.XLOOKUP($A989,'RAWDATA Cars Buyers DB'!$A:$A,'RAWDATA Cars Buyers DB'!I:I)</f>
        <v>6+ Kilometre</v>
      </c>
      <c r="J989" s="8" t="str">
        <f>_xlfn.XLOOKUP($A989,'RAWDATA Cars Buyers DB'!$A:$A,'RAWDATA Cars Buyers DB'!J:J)</f>
        <v>Saarland</v>
      </c>
      <c r="K989" s="8">
        <f>_xlfn.XLOOKUP($A989,'RAWDATA Cars Buyers DB'!$A:$A,'RAWDATA Cars Buyers DB'!K:K)</f>
        <v>68</v>
      </c>
      <c r="L989" s="10" t="str">
        <f>IF(_xlfn.XLOOKUP($A989,'RAWDATA Cars Buyers DB'!$A:$A,'RAWDATA Cars Buyers DB'!K:K)&gt;54,"Old ",IF(_xlfn.XLOOKUP($A989,'RAWDATA Cars Buyers DB'!$A:$A,'RAWDATA Cars Buyers DB'!K:K)&gt;=31,"Middle Age ",IF(_xlfn.XLOOKUP($A989,'RAWDATA Cars Buyers DB'!$A:$A,'RAWDATA Cars Buyers DB'!K:K)&lt;31,"Adolescent","Invalid")))</f>
        <v xml:space="preserve">Old </v>
      </c>
      <c r="M989" s="8" t="str">
        <f>_xlfn.XLOOKUP($A989,'RAWDATA Cars Buyers DB'!$A:$A,'RAWDATA Cars Buyers DB'!L:L)</f>
        <v>Yes</v>
      </c>
    </row>
    <row r="990" spans="1:13">
      <c r="A990" s="6">
        <v>15951</v>
      </c>
      <c r="B990" s="10" t="str">
        <f>IF(_xlfn.XLOOKUP($A990,'RAWDATA Cars Buyers DB'!$A:$A,'RAWDATA Cars Buyers DB'!B:B)="S","Single","Married")</f>
        <v>Married</v>
      </c>
      <c r="C990" s="10" t="str">
        <f>IF(_xlfn.XLOOKUP($A990,'RAWDATA Cars Buyers DB'!$A:$A,'RAWDATA Cars Buyers DB'!C:C)="F","Female","Male")</f>
        <v>Male</v>
      </c>
      <c r="D990" s="7">
        <f>_xlfn.XLOOKUP($A990,'RAWDATA Cars Buyers DB'!$A:$A,'RAWDATA Cars Buyers DB'!D:D)</f>
        <v>106511</v>
      </c>
      <c r="E990" s="8">
        <f>_xlfn.XLOOKUP($A990,'RAWDATA Cars Buyers DB'!$A:$A,'RAWDATA Cars Buyers DB'!E:E)</f>
        <v>4</v>
      </c>
      <c r="F990" s="8" t="str">
        <f>_xlfn.XLOOKUP($A990,'RAWDATA Cars Buyers DB'!$A:$A,'RAWDATA Cars Buyers DB'!F:F)</f>
        <v>Graduate Degree</v>
      </c>
      <c r="G990" s="8" t="str">
        <f>_xlfn.XLOOKUP($A990,'RAWDATA Cars Buyers DB'!$A:$A,'RAWDATA Cars Buyers DB'!G:G)</f>
        <v>Management</v>
      </c>
      <c r="H990" s="8" t="str">
        <f>_xlfn.XLOOKUP($A990,'RAWDATA Cars Buyers DB'!$A:$A,'RAWDATA Cars Buyers DB'!H:H)</f>
        <v>No</v>
      </c>
      <c r="I990" s="8" t="str">
        <f>_xlfn.XLOOKUP($A990,'RAWDATA Cars Buyers DB'!$A:$A,'RAWDATA Cars Buyers DB'!I:I)</f>
        <v>2–4 Kilometre</v>
      </c>
      <c r="J990" s="8" t="str">
        <f>_xlfn.XLOOKUP($A990,'RAWDATA Cars Buyers DB'!$A:$A,'RAWDATA Cars Buyers DB'!J:J)</f>
        <v>Berlin</v>
      </c>
      <c r="K990" s="8">
        <f>_xlfn.XLOOKUP($A990,'RAWDATA Cars Buyers DB'!$A:$A,'RAWDATA Cars Buyers DB'!K:K)</f>
        <v>37</v>
      </c>
      <c r="L990" s="10" t="str">
        <f>IF(_xlfn.XLOOKUP($A990,'RAWDATA Cars Buyers DB'!$A:$A,'RAWDATA Cars Buyers DB'!K:K)&gt;54,"Old ",IF(_xlfn.XLOOKUP($A990,'RAWDATA Cars Buyers DB'!$A:$A,'RAWDATA Cars Buyers DB'!K:K)&gt;=31,"Middle Age ",IF(_xlfn.XLOOKUP($A990,'RAWDATA Cars Buyers DB'!$A:$A,'RAWDATA Cars Buyers DB'!K:K)&lt;31,"Adolescent","Invalid")))</f>
        <v xml:space="preserve">Middle Age </v>
      </c>
      <c r="M990" s="8" t="str">
        <f>_xlfn.XLOOKUP($A990,'RAWDATA Cars Buyers DB'!$A:$A,'RAWDATA Cars Buyers DB'!L:L)</f>
        <v>No</v>
      </c>
    </row>
    <row r="991" spans="1:13">
      <c r="A991" s="6">
        <v>97388</v>
      </c>
      <c r="B991" s="10" t="str">
        <f>IF(_xlfn.XLOOKUP($A991,'RAWDATA Cars Buyers DB'!$A:$A,'RAWDATA Cars Buyers DB'!B:B)="S","Single","Married")</f>
        <v>Married</v>
      </c>
      <c r="C991" s="10" t="str">
        <f>IF(_xlfn.XLOOKUP($A991,'RAWDATA Cars Buyers DB'!$A:$A,'RAWDATA Cars Buyers DB'!C:C)="F","Female","Male")</f>
        <v>Male</v>
      </c>
      <c r="D991" s="7">
        <f>_xlfn.XLOOKUP($A991,'RAWDATA Cars Buyers DB'!$A:$A,'RAWDATA Cars Buyers DB'!D:D)</f>
        <v>27214</v>
      </c>
      <c r="E991" s="8">
        <f>_xlfn.XLOOKUP($A991,'RAWDATA Cars Buyers DB'!$A:$A,'RAWDATA Cars Buyers DB'!E:E)</f>
        <v>5</v>
      </c>
      <c r="F991" s="8" t="str">
        <f>_xlfn.XLOOKUP($A991,'RAWDATA Cars Buyers DB'!$A:$A,'RAWDATA Cars Buyers DB'!F:F)</f>
        <v>High School</v>
      </c>
      <c r="G991" s="8" t="str">
        <f>_xlfn.XLOOKUP($A991,'RAWDATA Cars Buyers DB'!$A:$A,'RAWDATA Cars Buyers DB'!G:G)</f>
        <v>Professional</v>
      </c>
      <c r="H991" s="8" t="str">
        <f>_xlfn.XLOOKUP($A991,'RAWDATA Cars Buyers DB'!$A:$A,'RAWDATA Cars Buyers DB'!H:H)</f>
        <v>Yes</v>
      </c>
      <c r="I991" s="8" t="str">
        <f>_xlfn.XLOOKUP($A991,'RAWDATA Cars Buyers DB'!$A:$A,'RAWDATA Cars Buyers DB'!I:I)</f>
        <v>2–4 Kilometre</v>
      </c>
      <c r="J991" s="8" t="str">
        <f>_xlfn.XLOOKUP($A991,'RAWDATA Cars Buyers DB'!$A:$A,'RAWDATA Cars Buyers DB'!J:J)</f>
        <v>Berlin</v>
      </c>
      <c r="K991" s="8">
        <f>_xlfn.XLOOKUP($A991,'RAWDATA Cars Buyers DB'!$A:$A,'RAWDATA Cars Buyers DB'!K:K)</f>
        <v>52</v>
      </c>
      <c r="L991" s="10" t="str">
        <f>IF(_xlfn.XLOOKUP($A991,'RAWDATA Cars Buyers DB'!$A:$A,'RAWDATA Cars Buyers DB'!K:K)&gt;54,"Old ",IF(_xlfn.XLOOKUP($A991,'RAWDATA Cars Buyers DB'!$A:$A,'RAWDATA Cars Buyers DB'!K:K)&gt;=31,"Middle Age ",IF(_xlfn.XLOOKUP($A991,'RAWDATA Cars Buyers DB'!$A:$A,'RAWDATA Cars Buyers DB'!K:K)&lt;31,"Adolescent","Invalid")))</f>
        <v xml:space="preserve">Middle Age </v>
      </c>
      <c r="M991" s="8" t="str">
        <f>_xlfn.XLOOKUP($A991,'RAWDATA Cars Buyers DB'!$A:$A,'RAWDATA Cars Buyers DB'!L:L)</f>
        <v>No</v>
      </c>
    </row>
    <row r="992" spans="1:13">
      <c r="A992" s="6">
        <v>18007</v>
      </c>
      <c r="B992" s="10" t="str">
        <f>IF(_xlfn.XLOOKUP($A992,'RAWDATA Cars Buyers DB'!$A:$A,'RAWDATA Cars Buyers DB'!B:B)="S","Single","Married")</f>
        <v>Married</v>
      </c>
      <c r="C992" s="10" t="str">
        <f>IF(_xlfn.XLOOKUP($A992,'RAWDATA Cars Buyers DB'!$A:$A,'RAWDATA Cars Buyers DB'!C:C)="F","Female","Male")</f>
        <v>Female</v>
      </c>
      <c r="D992" s="7">
        <f>_xlfn.XLOOKUP($A992,'RAWDATA Cars Buyers DB'!$A:$A,'RAWDATA Cars Buyers DB'!D:D)</f>
        <v>116117</v>
      </c>
      <c r="E992" s="8">
        <f>_xlfn.XLOOKUP($A992,'RAWDATA Cars Buyers DB'!$A:$A,'RAWDATA Cars Buyers DB'!E:E)</f>
        <v>3</v>
      </c>
      <c r="F992" s="8" t="str">
        <f>_xlfn.XLOOKUP($A992,'RAWDATA Cars Buyers DB'!$A:$A,'RAWDATA Cars Buyers DB'!F:F)</f>
        <v>High School</v>
      </c>
      <c r="G992" s="8" t="str">
        <f>_xlfn.XLOOKUP($A992,'RAWDATA Cars Buyers DB'!$A:$A,'RAWDATA Cars Buyers DB'!G:G)</f>
        <v>Professional</v>
      </c>
      <c r="H992" s="8" t="str">
        <f>_xlfn.XLOOKUP($A992,'RAWDATA Cars Buyers DB'!$A:$A,'RAWDATA Cars Buyers DB'!H:H)</f>
        <v>Yes</v>
      </c>
      <c r="I992" s="8" t="str">
        <f>_xlfn.XLOOKUP($A992,'RAWDATA Cars Buyers DB'!$A:$A,'RAWDATA Cars Buyers DB'!I:I)</f>
        <v>1–2 Kilometre</v>
      </c>
      <c r="J992" s="8" t="str">
        <f>_xlfn.XLOOKUP($A992,'RAWDATA Cars Buyers DB'!$A:$A,'RAWDATA Cars Buyers DB'!J:J)</f>
        <v>Brandenburg</v>
      </c>
      <c r="K992" s="8">
        <f>_xlfn.XLOOKUP($A992,'RAWDATA Cars Buyers DB'!$A:$A,'RAWDATA Cars Buyers DB'!K:K)</f>
        <v>44</v>
      </c>
      <c r="L992" s="10" t="str">
        <f>IF(_xlfn.XLOOKUP($A992,'RAWDATA Cars Buyers DB'!$A:$A,'RAWDATA Cars Buyers DB'!K:K)&gt;54,"Old ",IF(_xlfn.XLOOKUP($A992,'RAWDATA Cars Buyers DB'!$A:$A,'RAWDATA Cars Buyers DB'!K:K)&gt;=31,"Middle Age ",IF(_xlfn.XLOOKUP($A992,'RAWDATA Cars Buyers DB'!$A:$A,'RAWDATA Cars Buyers DB'!K:K)&lt;31,"Adolescent","Invalid")))</f>
        <v xml:space="preserve">Middle Age </v>
      </c>
      <c r="M992" s="8" t="str">
        <f>_xlfn.XLOOKUP($A992,'RAWDATA Cars Buyers DB'!$A:$A,'RAWDATA Cars Buyers DB'!L:L)</f>
        <v>No</v>
      </c>
    </row>
    <row r="993" spans="1:13">
      <c r="A993" s="6">
        <v>51832</v>
      </c>
      <c r="B993" s="10" t="str">
        <f>IF(_xlfn.XLOOKUP($A993,'RAWDATA Cars Buyers DB'!$A:$A,'RAWDATA Cars Buyers DB'!B:B)="S","Single","Married")</f>
        <v>Single</v>
      </c>
      <c r="C993" s="10" t="str">
        <f>IF(_xlfn.XLOOKUP($A993,'RAWDATA Cars Buyers DB'!$A:$A,'RAWDATA Cars Buyers DB'!C:C)="F","Female","Male")</f>
        <v>Female</v>
      </c>
      <c r="D993" s="7">
        <f>_xlfn.XLOOKUP($A993,'RAWDATA Cars Buyers DB'!$A:$A,'RAWDATA Cars Buyers DB'!D:D)</f>
        <v>105731</v>
      </c>
      <c r="E993" s="8">
        <f>_xlfn.XLOOKUP($A993,'RAWDATA Cars Buyers DB'!$A:$A,'RAWDATA Cars Buyers DB'!E:E)</f>
        <v>0</v>
      </c>
      <c r="F993" s="8" t="str">
        <f>_xlfn.XLOOKUP($A993,'RAWDATA Cars Buyers DB'!$A:$A,'RAWDATA Cars Buyers DB'!F:F)</f>
        <v>Bachelors</v>
      </c>
      <c r="G993" s="8" t="str">
        <f>_xlfn.XLOOKUP($A993,'RAWDATA Cars Buyers DB'!$A:$A,'RAWDATA Cars Buyers DB'!G:G)</f>
        <v>Clerical</v>
      </c>
      <c r="H993" s="8" t="str">
        <f>_xlfn.XLOOKUP($A993,'RAWDATA Cars Buyers DB'!$A:$A,'RAWDATA Cars Buyers DB'!H:H)</f>
        <v>Yes</v>
      </c>
      <c r="I993" s="8" t="str">
        <f>_xlfn.XLOOKUP($A993,'RAWDATA Cars Buyers DB'!$A:$A,'RAWDATA Cars Buyers DB'!I:I)</f>
        <v>4–6 Kilometre</v>
      </c>
      <c r="J993" s="8" t="str">
        <f>_xlfn.XLOOKUP($A993,'RAWDATA Cars Buyers DB'!$A:$A,'RAWDATA Cars Buyers DB'!J:J)</f>
        <v>Hesse</v>
      </c>
      <c r="K993" s="8">
        <f>_xlfn.XLOOKUP($A993,'RAWDATA Cars Buyers DB'!$A:$A,'RAWDATA Cars Buyers DB'!K:K)</f>
        <v>50</v>
      </c>
      <c r="L993" s="10" t="str">
        <f>IF(_xlfn.XLOOKUP($A993,'RAWDATA Cars Buyers DB'!$A:$A,'RAWDATA Cars Buyers DB'!K:K)&gt;54,"Old ",IF(_xlfn.XLOOKUP($A993,'RAWDATA Cars Buyers DB'!$A:$A,'RAWDATA Cars Buyers DB'!K:K)&gt;=31,"Middle Age ",IF(_xlfn.XLOOKUP($A993,'RAWDATA Cars Buyers DB'!$A:$A,'RAWDATA Cars Buyers DB'!K:K)&lt;31,"Adolescent","Invalid")))</f>
        <v xml:space="preserve">Middle Age </v>
      </c>
      <c r="M993" s="8" t="str">
        <f>_xlfn.XLOOKUP($A993,'RAWDATA Cars Buyers DB'!$A:$A,'RAWDATA Cars Buyers DB'!L:L)</f>
        <v>Yes</v>
      </c>
    </row>
    <row r="994" spans="1:13">
      <c r="A994" s="6">
        <v>68596</v>
      </c>
      <c r="B994" s="10" t="str">
        <f>IF(_xlfn.XLOOKUP($A994,'RAWDATA Cars Buyers DB'!$A:$A,'RAWDATA Cars Buyers DB'!B:B)="S","Single","Married")</f>
        <v>Married</v>
      </c>
      <c r="C994" s="10" t="str">
        <f>IF(_xlfn.XLOOKUP($A994,'RAWDATA Cars Buyers DB'!$A:$A,'RAWDATA Cars Buyers DB'!C:C)="F","Female","Male")</f>
        <v>Female</v>
      </c>
      <c r="D994" s="7">
        <f>_xlfn.XLOOKUP($A994,'RAWDATA Cars Buyers DB'!$A:$A,'RAWDATA Cars Buyers DB'!D:D)</f>
        <v>47127</v>
      </c>
      <c r="E994" s="8">
        <f>_xlfn.XLOOKUP($A994,'RAWDATA Cars Buyers DB'!$A:$A,'RAWDATA Cars Buyers DB'!E:E)</f>
        <v>0</v>
      </c>
      <c r="F994" s="8" t="str">
        <f>_xlfn.XLOOKUP($A994,'RAWDATA Cars Buyers DB'!$A:$A,'RAWDATA Cars Buyers DB'!F:F)</f>
        <v>Partial College</v>
      </c>
      <c r="G994" s="8" t="str">
        <f>_xlfn.XLOOKUP($A994,'RAWDATA Cars Buyers DB'!$A:$A,'RAWDATA Cars Buyers DB'!G:G)</f>
        <v>Professional</v>
      </c>
      <c r="H994" s="8" t="str">
        <f>_xlfn.XLOOKUP($A994,'RAWDATA Cars Buyers DB'!$A:$A,'RAWDATA Cars Buyers DB'!H:H)</f>
        <v>Yes</v>
      </c>
      <c r="I994" s="8" t="str">
        <f>_xlfn.XLOOKUP($A994,'RAWDATA Cars Buyers DB'!$A:$A,'RAWDATA Cars Buyers DB'!I:I)</f>
        <v>2–4 Kilometre</v>
      </c>
      <c r="J994" s="8" t="str">
        <f>_xlfn.XLOOKUP($A994,'RAWDATA Cars Buyers DB'!$A:$A,'RAWDATA Cars Buyers DB'!J:J)</f>
        <v>Rhineland-Palatinate</v>
      </c>
      <c r="K994" s="8">
        <f>_xlfn.XLOOKUP($A994,'RAWDATA Cars Buyers DB'!$A:$A,'RAWDATA Cars Buyers DB'!K:K)</f>
        <v>56</v>
      </c>
      <c r="L994" s="10" t="str">
        <f>IF(_xlfn.XLOOKUP($A994,'RAWDATA Cars Buyers DB'!$A:$A,'RAWDATA Cars Buyers DB'!K:K)&gt;54,"Old ",IF(_xlfn.XLOOKUP($A994,'RAWDATA Cars Buyers DB'!$A:$A,'RAWDATA Cars Buyers DB'!K:K)&gt;=31,"Middle Age ",IF(_xlfn.XLOOKUP($A994,'RAWDATA Cars Buyers DB'!$A:$A,'RAWDATA Cars Buyers DB'!K:K)&lt;31,"Adolescent","Invalid")))</f>
        <v xml:space="preserve">Old </v>
      </c>
      <c r="M994" s="8" t="str">
        <f>_xlfn.XLOOKUP($A994,'RAWDATA Cars Buyers DB'!$A:$A,'RAWDATA Cars Buyers DB'!L:L)</f>
        <v>No</v>
      </c>
    </row>
    <row r="995" spans="1:13">
      <c r="A995" s="6">
        <v>40523</v>
      </c>
      <c r="B995" s="10" t="str">
        <f>IF(_xlfn.XLOOKUP($A995,'RAWDATA Cars Buyers DB'!$A:$A,'RAWDATA Cars Buyers DB'!B:B)="S","Single","Married")</f>
        <v>Married</v>
      </c>
      <c r="C995" s="10" t="str">
        <f>IF(_xlfn.XLOOKUP($A995,'RAWDATA Cars Buyers DB'!$A:$A,'RAWDATA Cars Buyers DB'!C:C)="F","Female","Male")</f>
        <v>Female</v>
      </c>
      <c r="D995" s="7">
        <f>_xlfn.XLOOKUP($A995,'RAWDATA Cars Buyers DB'!$A:$A,'RAWDATA Cars Buyers DB'!D:D)</f>
        <v>25141</v>
      </c>
      <c r="E995" s="8">
        <f>_xlfn.XLOOKUP($A995,'RAWDATA Cars Buyers DB'!$A:$A,'RAWDATA Cars Buyers DB'!E:E)</f>
        <v>5</v>
      </c>
      <c r="F995" s="8" t="str">
        <f>_xlfn.XLOOKUP($A995,'RAWDATA Cars Buyers DB'!$A:$A,'RAWDATA Cars Buyers DB'!F:F)</f>
        <v>High School</v>
      </c>
      <c r="G995" s="8" t="str">
        <f>_xlfn.XLOOKUP($A995,'RAWDATA Cars Buyers DB'!$A:$A,'RAWDATA Cars Buyers DB'!G:G)</f>
        <v>Management</v>
      </c>
      <c r="H995" s="8" t="str">
        <f>_xlfn.XLOOKUP($A995,'RAWDATA Cars Buyers DB'!$A:$A,'RAWDATA Cars Buyers DB'!H:H)</f>
        <v>Yes</v>
      </c>
      <c r="I995" s="8" t="str">
        <f>_xlfn.XLOOKUP($A995,'RAWDATA Cars Buyers DB'!$A:$A,'RAWDATA Cars Buyers DB'!I:I)</f>
        <v>0–1 Kilometre</v>
      </c>
      <c r="J995" s="8" t="str">
        <f>_xlfn.XLOOKUP($A995,'RAWDATA Cars Buyers DB'!$A:$A,'RAWDATA Cars Buyers DB'!J:J)</f>
        <v>Rhineland-Palatinate</v>
      </c>
      <c r="K995" s="8">
        <f>_xlfn.XLOOKUP($A995,'RAWDATA Cars Buyers DB'!$A:$A,'RAWDATA Cars Buyers DB'!K:K)</f>
        <v>21</v>
      </c>
      <c r="L995" s="10" t="str">
        <f>IF(_xlfn.XLOOKUP($A995,'RAWDATA Cars Buyers DB'!$A:$A,'RAWDATA Cars Buyers DB'!K:K)&gt;54,"Old ",IF(_xlfn.XLOOKUP($A995,'RAWDATA Cars Buyers DB'!$A:$A,'RAWDATA Cars Buyers DB'!K:K)&gt;=31,"Middle Age ",IF(_xlfn.XLOOKUP($A995,'RAWDATA Cars Buyers DB'!$A:$A,'RAWDATA Cars Buyers DB'!K:K)&lt;31,"Adolescent","Invalid")))</f>
        <v>Adolescent</v>
      </c>
      <c r="M995" s="8" t="str">
        <f>_xlfn.XLOOKUP($A995,'RAWDATA Cars Buyers DB'!$A:$A,'RAWDATA Cars Buyers DB'!L:L)</f>
        <v>Yes</v>
      </c>
    </row>
    <row r="996" spans="1:13">
      <c r="A996" s="6">
        <v>98861</v>
      </c>
      <c r="B996" s="10" t="str">
        <f>IF(_xlfn.XLOOKUP($A996,'RAWDATA Cars Buyers DB'!$A:$A,'RAWDATA Cars Buyers DB'!B:B)="S","Single","Married")</f>
        <v>Married</v>
      </c>
      <c r="C996" s="10" t="str">
        <f>IF(_xlfn.XLOOKUP($A996,'RAWDATA Cars Buyers DB'!$A:$A,'RAWDATA Cars Buyers DB'!C:C)="F","Female","Male")</f>
        <v>Female</v>
      </c>
      <c r="D996" s="7">
        <f>_xlfn.XLOOKUP($A996,'RAWDATA Cars Buyers DB'!$A:$A,'RAWDATA Cars Buyers DB'!D:D)</f>
        <v>48884</v>
      </c>
      <c r="E996" s="8">
        <f>_xlfn.XLOOKUP($A996,'RAWDATA Cars Buyers DB'!$A:$A,'RAWDATA Cars Buyers DB'!E:E)</f>
        <v>4</v>
      </c>
      <c r="F996" s="8" t="str">
        <f>_xlfn.XLOOKUP($A996,'RAWDATA Cars Buyers DB'!$A:$A,'RAWDATA Cars Buyers DB'!F:F)</f>
        <v>Bachelors</v>
      </c>
      <c r="G996" s="8" t="str">
        <f>_xlfn.XLOOKUP($A996,'RAWDATA Cars Buyers DB'!$A:$A,'RAWDATA Cars Buyers DB'!G:G)</f>
        <v>Skilled Manual</v>
      </c>
      <c r="H996" s="8" t="str">
        <f>_xlfn.XLOOKUP($A996,'RAWDATA Cars Buyers DB'!$A:$A,'RAWDATA Cars Buyers DB'!H:H)</f>
        <v>No</v>
      </c>
      <c r="I996" s="8" t="str">
        <f>_xlfn.XLOOKUP($A996,'RAWDATA Cars Buyers DB'!$A:$A,'RAWDATA Cars Buyers DB'!I:I)</f>
        <v>0–1 Kilometre</v>
      </c>
      <c r="J996" s="8" t="str">
        <f>_xlfn.XLOOKUP($A996,'RAWDATA Cars Buyers DB'!$A:$A,'RAWDATA Cars Buyers DB'!J:J)</f>
        <v>Berlin</v>
      </c>
      <c r="K996" s="8">
        <f>_xlfn.XLOOKUP($A996,'RAWDATA Cars Buyers DB'!$A:$A,'RAWDATA Cars Buyers DB'!K:K)</f>
        <v>52</v>
      </c>
      <c r="L996" s="10" t="str">
        <f>IF(_xlfn.XLOOKUP($A996,'RAWDATA Cars Buyers DB'!$A:$A,'RAWDATA Cars Buyers DB'!K:K)&gt;54,"Old ",IF(_xlfn.XLOOKUP($A996,'RAWDATA Cars Buyers DB'!$A:$A,'RAWDATA Cars Buyers DB'!K:K)&gt;=31,"Middle Age ",IF(_xlfn.XLOOKUP($A996,'RAWDATA Cars Buyers DB'!$A:$A,'RAWDATA Cars Buyers DB'!K:K)&lt;31,"Adolescent","Invalid")))</f>
        <v xml:space="preserve">Middle Age </v>
      </c>
      <c r="M996" s="8" t="str">
        <f>_xlfn.XLOOKUP($A996,'RAWDATA Cars Buyers DB'!$A:$A,'RAWDATA Cars Buyers DB'!L:L)</f>
        <v>No</v>
      </c>
    </row>
    <row r="997" spans="1:13">
      <c r="A997" s="6">
        <v>96740</v>
      </c>
      <c r="B997" s="10" t="str">
        <f>IF(_xlfn.XLOOKUP($A997,'RAWDATA Cars Buyers DB'!$A:$A,'RAWDATA Cars Buyers DB'!B:B)="S","Single","Married")</f>
        <v>Single</v>
      </c>
      <c r="C997" s="10" t="str">
        <f>IF(_xlfn.XLOOKUP($A997,'RAWDATA Cars Buyers DB'!$A:$A,'RAWDATA Cars Buyers DB'!C:C)="F","Female","Male")</f>
        <v>Male</v>
      </c>
      <c r="D997" s="7">
        <f>_xlfn.XLOOKUP($A997,'RAWDATA Cars Buyers DB'!$A:$A,'RAWDATA Cars Buyers DB'!D:D)</f>
        <v>110421</v>
      </c>
      <c r="E997" s="8">
        <f>_xlfn.XLOOKUP($A997,'RAWDATA Cars Buyers DB'!$A:$A,'RAWDATA Cars Buyers DB'!E:E)</f>
        <v>1</v>
      </c>
      <c r="F997" s="8" t="str">
        <f>_xlfn.XLOOKUP($A997,'RAWDATA Cars Buyers DB'!$A:$A,'RAWDATA Cars Buyers DB'!F:F)</f>
        <v>Partial College</v>
      </c>
      <c r="G997" s="8" t="str">
        <f>_xlfn.XLOOKUP($A997,'RAWDATA Cars Buyers DB'!$A:$A,'RAWDATA Cars Buyers DB'!G:G)</f>
        <v>Professional</v>
      </c>
      <c r="H997" s="8" t="str">
        <f>_xlfn.XLOOKUP($A997,'RAWDATA Cars Buyers DB'!$A:$A,'RAWDATA Cars Buyers DB'!H:H)</f>
        <v>Yes</v>
      </c>
      <c r="I997" s="8" t="str">
        <f>_xlfn.XLOOKUP($A997,'RAWDATA Cars Buyers DB'!$A:$A,'RAWDATA Cars Buyers DB'!I:I)</f>
        <v>4–6 Kilometre</v>
      </c>
      <c r="J997" s="8" t="str">
        <f>_xlfn.XLOOKUP($A997,'RAWDATA Cars Buyers DB'!$A:$A,'RAWDATA Cars Buyers DB'!J:J)</f>
        <v>Baden-Württemberg</v>
      </c>
      <c r="K997" s="8">
        <f>_xlfn.XLOOKUP($A997,'RAWDATA Cars Buyers DB'!$A:$A,'RAWDATA Cars Buyers DB'!K:K)</f>
        <v>58</v>
      </c>
      <c r="L997" s="10" t="str">
        <f>IF(_xlfn.XLOOKUP($A997,'RAWDATA Cars Buyers DB'!$A:$A,'RAWDATA Cars Buyers DB'!K:K)&gt;54,"Old ",IF(_xlfn.XLOOKUP($A997,'RAWDATA Cars Buyers DB'!$A:$A,'RAWDATA Cars Buyers DB'!K:K)&gt;=31,"Middle Age ",IF(_xlfn.XLOOKUP($A997,'RAWDATA Cars Buyers DB'!$A:$A,'RAWDATA Cars Buyers DB'!K:K)&lt;31,"Adolescent","Invalid")))</f>
        <v xml:space="preserve">Old </v>
      </c>
      <c r="M997" s="8" t="str">
        <f>_xlfn.XLOOKUP($A997,'RAWDATA Cars Buyers DB'!$A:$A,'RAWDATA Cars Buyers DB'!L:L)</f>
        <v>No</v>
      </c>
    </row>
    <row r="998" spans="1:13">
      <c r="A998" s="6">
        <v>25524</v>
      </c>
      <c r="B998" s="10" t="str">
        <f>IF(_xlfn.XLOOKUP($A998,'RAWDATA Cars Buyers DB'!$A:$A,'RAWDATA Cars Buyers DB'!B:B)="S","Single","Married")</f>
        <v>Single</v>
      </c>
      <c r="C998" s="10" t="str">
        <f>IF(_xlfn.XLOOKUP($A998,'RAWDATA Cars Buyers DB'!$A:$A,'RAWDATA Cars Buyers DB'!C:C)="F","Female","Male")</f>
        <v>Male</v>
      </c>
      <c r="D998" s="7">
        <f>_xlfn.XLOOKUP($A998,'RAWDATA Cars Buyers DB'!$A:$A,'RAWDATA Cars Buyers DB'!D:D)</f>
        <v>22708</v>
      </c>
      <c r="E998" s="8">
        <f>_xlfn.XLOOKUP($A998,'RAWDATA Cars Buyers DB'!$A:$A,'RAWDATA Cars Buyers DB'!E:E)</f>
        <v>3</v>
      </c>
      <c r="F998" s="8" t="str">
        <f>_xlfn.XLOOKUP($A998,'RAWDATA Cars Buyers DB'!$A:$A,'RAWDATA Cars Buyers DB'!F:F)</f>
        <v>Graduate Degree</v>
      </c>
      <c r="G998" s="8" t="str">
        <f>_xlfn.XLOOKUP($A998,'RAWDATA Cars Buyers DB'!$A:$A,'RAWDATA Cars Buyers DB'!G:G)</f>
        <v>Management</v>
      </c>
      <c r="H998" s="8" t="str">
        <f>_xlfn.XLOOKUP($A998,'RAWDATA Cars Buyers DB'!$A:$A,'RAWDATA Cars Buyers DB'!H:H)</f>
        <v>Yes</v>
      </c>
      <c r="I998" s="8" t="str">
        <f>_xlfn.XLOOKUP($A998,'RAWDATA Cars Buyers DB'!$A:$A,'RAWDATA Cars Buyers DB'!I:I)</f>
        <v>6+ Kilometre</v>
      </c>
      <c r="J998" s="8" t="str">
        <f>_xlfn.XLOOKUP($A998,'RAWDATA Cars Buyers DB'!$A:$A,'RAWDATA Cars Buyers DB'!J:J)</f>
        <v>Hamburg</v>
      </c>
      <c r="K998" s="8">
        <f>_xlfn.XLOOKUP($A998,'RAWDATA Cars Buyers DB'!$A:$A,'RAWDATA Cars Buyers DB'!K:K)</f>
        <v>62</v>
      </c>
      <c r="L998" s="10" t="str">
        <f>IF(_xlfn.XLOOKUP($A998,'RAWDATA Cars Buyers DB'!$A:$A,'RAWDATA Cars Buyers DB'!K:K)&gt;54,"Old ",IF(_xlfn.XLOOKUP($A998,'RAWDATA Cars Buyers DB'!$A:$A,'RAWDATA Cars Buyers DB'!K:K)&gt;=31,"Middle Age ",IF(_xlfn.XLOOKUP($A998,'RAWDATA Cars Buyers DB'!$A:$A,'RAWDATA Cars Buyers DB'!K:K)&lt;31,"Adolescent","Invalid")))</f>
        <v xml:space="preserve">Old </v>
      </c>
      <c r="M998" s="8" t="str">
        <f>_xlfn.XLOOKUP($A998,'RAWDATA Cars Buyers DB'!$A:$A,'RAWDATA Cars Buyers DB'!L:L)</f>
        <v>Yes</v>
      </c>
    </row>
    <row r="999" spans="1:13">
      <c r="A999" s="6">
        <v>29282</v>
      </c>
      <c r="B999" s="10" t="str">
        <f>IF(_xlfn.XLOOKUP($A999,'RAWDATA Cars Buyers DB'!$A:$A,'RAWDATA Cars Buyers DB'!B:B)="S","Single","Married")</f>
        <v>Single</v>
      </c>
      <c r="C999" s="10" t="str">
        <f>IF(_xlfn.XLOOKUP($A999,'RAWDATA Cars Buyers DB'!$A:$A,'RAWDATA Cars Buyers DB'!C:C)="F","Female","Male")</f>
        <v>Female</v>
      </c>
      <c r="D999" s="7">
        <f>_xlfn.XLOOKUP($A999,'RAWDATA Cars Buyers DB'!$A:$A,'RAWDATA Cars Buyers DB'!D:D)</f>
        <v>38375</v>
      </c>
      <c r="E999" s="8">
        <f>_xlfn.XLOOKUP($A999,'RAWDATA Cars Buyers DB'!$A:$A,'RAWDATA Cars Buyers DB'!E:E)</f>
        <v>5</v>
      </c>
      <c r="F999" s="8" t="str">
        <f>_xlfn.XLOOKUP($A999,'RAWDATA Cars Buyers DB'!$A:$A,'RAWDATA Cars Buyers DB'!F:F)</f>
        <v>Bachelors</v>
      </c>
      <c r="G999" s="8" t="str">
        <f>_xlfn.XLOOKUP($A999,'RAWDATA Cars Buyers DB'!$A:$A,'RAWDATA Cars Buyers DB'!G:G)</f>
        <v>Professional</v>
      </c>
      <c r="H999" s="8" t="str">
        <f>_xlfn.XLOOKUP($A999,'RAWDATA Cars Buyers DB'!$A:$A,'RAWDATA Cars Buyers DB'!H:H)</f>
        <v>Yes</v>
      </c>
      <c r="I999" s="8" t="str">
        <f>_xlfn.XLOOKUP($A999,'RAWDATA Cars Buyers DB'!$A:$A,'RAWDATA Cars Buyers DB'!I:I)</f>
        <v>1–2 Kilometre</v>
      </c>
      <c r="J999" s="8" t="str">
        <f>_xlfn.XLOOKUP($A999,'RAWDATA Cars Buyers DB'!$A:$A,'RAWDATA Cars Buyers DB'!J:J)</f>
        <v>Brandenburg</v>
      </c>
      <c r="K999" s="8">
        <f>_xlfn.XLOOKUP($A999,'RAWDATA Cars Buyers DB'!$A:$A,'RAWDATA Cars Buyers DB'!K:K)</f>
        <v>62</v>
      </c>
      <c r="L999" s="10" t="str">
        <f>IF(_xlfn.XLOOKUP($A999,'RAWDATA Cars Buyers DB'!$A:$A,'RAWDATA Cars Buyers DB'!K:K)&gt;54,"Old ",IF(_xlfn.XLOOKUP($A999,'RAWDATA Cars Buyers DB'!$A:$A,'RAWDATA Cars Buyers DB'!K:K)&gt;=31,"Middle Age ",IF(_xlfn.XLOOKUP($A999,'RAWDATA Cars Buyers DB'!$A:$A,'RAWDATA Cars Buyers DB'!K:K)&lt;31,"Adolescent","Invalid")))</f>
        <v xml:space="preserve">Old </v>
      </c>
      <c r="M999" s="8" t="str">
        <f>_xlfn.XLOOKUP($A999,'RAWDATA Cars Buyers DB'!$A:$A,'RAWDATA Cars Buyers DB'!L:L)</f>
        <v>Yes</v>
      </c>
    </row>
    <row r="1000" spans="1:13">
      <c r="A1000" s="6">
        <v>33930</v>
      </c>
      <c r="B1000" s="10" t="str">
        <f>IF(_xlfn.XLOOKUP($A1000,'RAWDATA Cars Buyers DB'!$A:$A,'RAWDATA Cars Buyers DB'!B:B)="S","Single","Married")</f>
        <v>Married</v>
      </c>
      <c r="C1000" s="10" t="str">
        <f>IF(_xlfn.XLOOKUP($A1000,'RAWDATA Cars Buyers DB'!$A:$A,'RAWDATA Cars Buyers DB'!C:C)="F","Female","Male")</f>
        <v>Female</v>
      </c>
      <c r="D1000" s="7">
        <f>_xlfn.XLOOKUP($A1000,'RAWDATA Cars Buyers DB'!$A:$A,'RAWDATA Cars Buyers DB'!D:D)</f>
        <v>35088</v>
      </c>
      <c r="E1000" s="8">
        <f>_xlfn.XLOOKUP($A1000,'RAWDATA Cars Buyers DB'!$A:$A,'RAWDATA Cars Buyers DB'!E:E)</f>
        <v>3</v>
      </c>
      <c r="F1000" s="8" t="str">
        <f>_xlfn.XLOOKUP($A1000,'RAWDATA Cars Buyers DB'!$A:$A,'RAWDATA Cars Buyers DB'!F:F)</f>
        <v>Graduate Degree</v>
      </c>
      <c r="G1000" s="8" t="str">
        <f>_xlfn.XLOOKUP($A1000,'RAWDATA Cars Buyers DB'!$A:$A,'RAWDATA Cars Buyers DB'!G:G)</f>
        <v>Clerical</v>
      </c>
      <c r="H1000" s="8" t="str">
        <f>_xlfn.XLOOKUP($A1000,'RAWDATA Cars Buyers DB'!$A:$A,'RAWDATA Cars Buyers DB'!H:H)</f>
        <v>No</v>
      </c>
      <c r="I1000" s="8" t="str">
        <f>_xlfn.XLOOKUP($A1000,'RAWDATA Cars Buyers DB'!$A:$A,'RAWDATA Cars Buyers DB'!I:I)</f>
        <v>0–1 Kilometre</v>
      </c>
      <c r="J1000" s="8" t="str">
        <f>_xlfn.XLOOKUP($A1000,'RAWDATA Cars Buyers DB'!$A:$A,'RAWDATA Cars Buyers DB'!J:J)</f>
        <v>Brandenburg</v>
      </c>
      <c r="K1000" s="8">
        <f>_xlfn.XLOOKUP($A1000,'RAWDATA Cars Buyers DB'!$A:$A,'RAWDATA Cars Buyers DB'!K:K)</f>
        <v>51</v>
      </c>
      <c r="L1000" s="10" t="str">
        <f>IF(_xlfn.XLOOKUP($A1000,'RAWDATA Cars Buyers DB'!$A:$A,'RAWDATA Cars Buyers DB'!K:K)&gt;54,"Old ",IF(_xlfn.XLOOKUP($A1000,'RAWDATA Cars Buyers DB'!$A:$A,'RAWDATA Cars Buyers DB'!K:K)&gt;=31,"Middle Age ",IF(_xlfn.XLOOKUP($A1000,'RAWDATA Cars Buyers DB'!$A:$A,'RAWDATA Cars Buyers DB'!K:K)&lt;31,"Adolescent","Invalid")))</f>
        <v xml:space="preserve">Middle Age </v>
      </c>
      <c r="M1000" s="8" t="str">
        <f>_xlfn.XLOOKUP($A1000,'RAWDATA Cars Buyers DB'!$A:$A,'RAWDATA Cars Buyers DB'!L:L)</f>
        <v>No</v>
      </c>
    </row>
    <row r="1001" spans="1:13">
      <c r="A1001" s="6">
        <v>10077</v>
      </c>
      <c r="B1001" s="10" t="str">
        <f>IF(_xlfn.XLOOKUP($A1001,'RAWDATA Cars Buyers DB'!$A:$A,'RAWDATA Cars Buyers DB'!B:B)="S","Single","Married")</f>
        <v>Single</v>
      </c>
      <c r="C1001" s="10" t="str">
        <f>IF(_xlfn.XLOOKUP($A1001,'RAWDATA Cars Buyers DB'!$A:$A,'RAWDATA Cars Buyers DB'!C:C)="F","Female","Male")</f>
        <v>Female</v>
      </c>
      <c r="D1001" s="7">
        <f>_xlfn.XLOOKUP($A1001,'RAWDATA Cars Buyers DB'!$A:$A,'RAWDATA Cars Buyers DB'!D:D)</f>
        <v>77615</v>
      </c>
      <c r="E1001" s="8">
        <f>_xlfn.XLOOKUP($A1001,'RAWDATA Cars Buyers DB'!$A:$A,'RAWDATA Cars Buyers DB'!E:E)</f>
        <v>4</v>
      </c>
      <c r="F1001" s="8" t="str">
        <f>_xlfn.XLOOKUP($A1001,'RAWDATA Cars Buyers DB'!$A:$A,'RAWDATA Cars Buyers DB'!F:F)</f>
        <v>High School</v>
      </c>
      <c r="G1001" s="8" t="str">
        <f>_xlfn.XLOOKUP($A1001,'RAWDATA Cars Buyers DB'!$A:$A,'RAWDATA Cars Buyers DB'!G:G)</f>
        <v>Professional</v>
      </c>
      <c r="H1001" s="8" t="str">
        <f>_xlfn.XLOOKUP($A1001,'RAWDATA Cars Buyers DB'!$A:$A,'RAWDATA Cars Buyers DB'!H:H)</f>
        <v>No</v>
      </c>
      <c r="I1001" s="8" t="str">
        <f>_xlfn.XLOOKUP($A1001,'RAWDATA Cars Buyers DB'!$A:$A,'RAWDATA Cars Buyers DB'!I:I)</f>
        <v>0–1 Kilometre</v>
      </c>
      <c r="J1001" s="8" t="str">
        <f>_xlfn.XLOOKUP($A1001,'RAWDATA Cars Buyers DB'!$A:$A,'RAWDATA Cars Buyers DB'!J:J)</f>
        <v>Saxony-Anhalt</v>
      </c>
      <c r="K1001" s="8">
        <f>_xlfn.XLOOKUP($A1001,'RAWDATA Cars Buyers DB'!$A:$A,'RAWDATA Cars Buyers DB'!K:K)</f>
        <v>37</v>
      </c>
      <c r="L1001" s="10" t="str">
        <f>IF(_xlfn.XLOOKUP($A1001,'RAWDATA Cars Buyers DB'!$A:$A,'RAWDATA Cars Buyers DB'!K:K)&gt;54,"Old ",IF(_xlfn.XLOOKUP($A1001,'RAWDATA Cars Buyers DB'!$A:$A,'RAWDATA Cars Buyers DB'!K:K)&gt;=31,"Middle Age ",IF(_xlfn.XLOOKUP($A1001,'RAWDATA Cars Buyers DB'!$A:$A,'RAWDATA Cars Buyers DB'!K:K)&lt;31,"Adolescent","Invalid")))</f>
        <v xml:space="preserve">Middle Age </v>
      </c>
      <c r="M1001" s="8" t="str">
        <f>_xlfn.XLOOKUP($A1001,'RAWDATA Cars Buyers DB'!$A:$A,'RAWDATA Cars Buyers DB'!L:L)</f>
        <v>No</v>
      </c>
    </row>
    <row r="1002" spans="1:13">
      <c r="A1002" s="6">
        <v>30611</v>
      </c>
      <c r="B1002" s="10" t="str">
        <f>IF(_xlfn.XLOOKUP($A1002,'RAWDATA Cars Buyers DB'!$A:$A,'RAWDATA Cars Buyers DB'!B:B)="S","Single","Married")</f>
        <v>Married</v>
      </c>
      <c r="C1002" s="10" t="str">
        <f>IF(_xlfn.XLOOKUP($A1002,'RAWDATA Cars Buyers DB'!$A:$A,'RAWDATA Cars Buyers DB'!C:C)="F","Female","Male")</f>
        <v>Female</v>
      </c>
      <c r="D1002" s="7">
        <f>_xlfn.XLOOKUP($A1002,'RAWDATA Cars Buyers DB'!$A:$A,'RAWDATA Cars Buyers DB'!D:D)</f>
        <v>65046</v>
      </c>
      <c r="E1002" s="8">
        <f>_xlfn.XLOOKUP($A1002,'RAWDATA Cars Buyers DB'!$A:$A,'RAWDATA Cars Buyers DB'!E:E)</f>
        <v>4</v>
      </c>
      <c r="F1002" s="8" t="str">
        <f>_xlfn.XLOOKUP($A1002,'RAWDATA Cars Buyers DB'!$A:$A,'RAWDATA Cars Buyers DB'!F:F)</f>
        <v>High School</v>
      </c>
      <c r="G1002" s="8" t="str">
        <f>_xlfn.XLOOKUP($A1002,'RAWDATA Cars Buyers DB'!$A:$A,'RAWDATA Cars Buyers DB'!G:G)</f>
        <v>Professional</v>
      </c>
      <c r="H1002" s="8" t="str">
        <f>_xlfn.XLOOKUP($A1002,'RAWDATA Cars Buyers DB'!$A:$A,'RAWDATA Cars Buyers DB'!H:H)</f>
        <v>Yes</v>
      </c>
      <c r="I1002" s="8" t="str">
        <f>_xlfn.XLOOKUP($A1002,'RAWDATA Cars Buyers DB'!$A:$A,'RAWDATA Cars Buyers DB'!I:I)</f>
        <v>4–6 Kilometre</v>
      </c>
      <c r="J1002" s="8" t="str">
        <f>_xlfn.XLOOKUP($A1002,'RAWDATA Cars Buyers DB'!$A:$A,'RAWDATA Cars Buyers DB'!J:J)</f>
        <v>Saxony</v>
      </c>
      <c r="K1002" s="8">
        <f>_xlfn.XLOOKUP($A1002,'RAWDATA Cars Buyers DB'!$A:$A,'RAWDATA Cars Buyers DB'!K:K)</f>
        <v>36</v>
      </c>
      <c r="L1002" s="10" t="str">
        <f>IF(_xlfn.XLOOKUP($A1002,'RAWDATA Cars Buyers DB'!$A:$A,'RAWDATA Cars Buyers DB'!K:K)&gt;54,"Old ",IF(_xlfn.XLOOKUP($A1002,'RAWDATA Cars Buyers DB'!$A:$A,'RAWDATA Cars Buyers DB'!K:K)&gt;=31,"Middle Age ",IF(_xlfn.XLOOKUP($A1002,'RAWDATA Cars Buyers DB'!$A:$A,'RAWDATA Cars Buyers DB'!K:K)&lt;31,"Adolescent","Invalid")))</f>
        <v xml:space="preserve">Middle Age </v>
      </c>
      <c r="M1002" s="8" t="str">
        <f>_xlfn.XLOOKUP($A1002,'RAWDATA Cars Buyers DB'!$A:$A,'RAWDATA Cars Buyers DB'!L:L)</f>
        <v>Yes</v>
      </c>
    </row>
    <row r="1003" spans="1:13">
      <c r="A1003" s="6">
        <v>26984</v>
      </c>
      <c r="B1003" s="10" t="str">
        <f>IF(_xlfn.XLOOKUP($A1003,'RAWDATA Cars Buyers DB'!$A:$A,'RAWDATA Cars Buyers DB'!B:B)="S","Single","Married")</f>
        <v>Single</v>
      </c>
      <c r="C1003" s="10" t="str">
        <f>IF(_xlfn.XLOOKUP($A1003,'RAWDATA Cars Buyers DB'!$A:$A,'RAWDATA Cars Buyers DB'!C:C)="F","Female","Male")</f>
        <v>Female</v>
      </c>
      <c r="D1003" s="7">
        <f>_xlfn.XLOOKUP($A1003,'RAWDATA Cars Buyers DB'!$A:$A,'RAWDATA Cars Buyers DB'!D:D)</f>
        <v>30014</v>
      </c>
      <c r="E1003" s="8">
        <f>_xlfn.XLOOKUP($A1003,'RAWDATA Cars Buyers DB'!$A:$A,'RAWDATA Cars Buyers DB'!E:E)</f>
        <v>1</v>
      </c>
      <c r="F1003" s="8" t="str">
        <f>_xlfn.XLOOKUP($A1003,'RAWDATA Cars Buyers DB'!$A:$A,'RAWDATA Cars Buyers DB'!F:F)</f>
        <v>Partial College</v>
      </c>
      <c r="G1003" s="8" t="str">
        <f>_xlfn.XLOOKUP($A1003,'RAWDATA Cars Buyers DB'!$A:$A,'RAWDATA Cars Buyers DB'!G:G)</f>
        <v>Skilled Manual</v>
      </c>
      <c r="H1003" s="8" t="str">
        <f>_xlfn.XLOOKUP($A1003,'RAWDATA Cars Buyers DB'!$A:$A,'RAWDATA Cars Buyers DB'!H:H)</f>
        <v>Yes</v>
      </c>
      <c r="I1003" s="8" t="str">
        <f>_xlfn.XLOOKUP($A1003,'RAWDATA Cars Buyers DB'!$A:$A,'RAWDATA Cars Buyers DB'!I:I)</f>
        <v>6+ Kilometre</v>
      </c>
      <c r="J1003" s="8" t="str">
        <f>_xlfn.XLOOKUP($A1003,'RAWDATA Cars Buyers DB'!$A:$A,'RAWDATA Cars Buyers DB'!J:J)</f>
        <v>Saxony</v>
      </c>
      <c r="K1003" s="8">
        <f>_xlfn.XLOOKUP($A1003,'RAWDATA Cars Buyers DB'!$A:$A,'RAWDATA Cars Buyers DB'!K:K)</f>
        <v>53</v>
      </c>
      <c r="L1003" s="10" t="str">
        <f>IF(_xlfn.XLOOKUP($A1003,'RAWDATA Cars Buyers DB'!$A:$A,'RAWDATA Cars Buyers DB'!K:K)&gt;54,"Old ",IF(_xlfn.XLOOKUP($A1003,'RAWDATA Cars Buyers DB'!$A:$A,'RAWDATA Cars Buyers DB'!K:K)&gt;=31,"Middle Age ",IF(_xlfn.XLOOKUP($A1003,'RAWDATA Cars Buyers DB'!$A:$A,'RAWDATA Cars Buyers DB'!K:K)&lt;31,"Adolescent","Invalid")))</f>
        <v xml:space="preserve">Middle Age </v>
      </c>
      <c r="M1003" s="8" t="str">
        <f>_xlfn.XLOOKUP($A1003,'RAWDATA Cars Buyers DB'!$A:$A,'RAWDATA Cars Buyers DB'!L:L)</f>
        <v>Yes</v>
      </c>
    </row>
    <row r="1004" spans="1:13">
      <c r="A1004" s="6">
        <v>24060</v>
      </c>
      <c r="B1004" s="10" t="str">
        <f>IF(_xlfn.XLOOKUP($A1004,'RAWDATA Cars Buyers DB'!$A:$A,'RAWDATA Cars Buyers DB'!B:B)="S","Single","Married")</f>
        <v>Single</v>
      </c>
      <c r="C1004" s="10" t="str">
        <f>IF(_xlfn.XLOOKUP($A1004,'RAWDATA Cars Buyers DB'!$A:$A,'RAWDATA Cars Buyers DB'!C:C)="F","Female","Male")</f>
        <v>Male</v>
      </c>
      <c r="D1004" s="7">
        <f>_xlfn.XLOOKUP($A1004,'RAWDATA Cars Buyers DB'!$A:$A,'RAWDATA Cars Buyers DB'!D:D)</f>
        <v>84425</v>
      </c>
      <c r="E1004" s="8">
        <f>_xlfn.XLOOKUP($A1004,'RAWDATA Cars Buyers DB'!$A:$A,'RAWDATA Cars Buyers DB'!E:E)</f>
        <v>1</v>
      </c>
      <c r="F1004" s="8" t="str">
        <f>_xlfn.XLOOKUP($A1004,'RAWDATA Cars Buyers DB'!$A:$A,'RAWDATA Cars Buyers DB'!F:F)</f>
        <v>Bachelors</v>
      </c>
      <c r="G1004" s="8" t="str">
        <f>_xlfn.XLOOKUP($A1004,'RAWDATA Cars Buyers DB'!$A:$A,'RAWDATA Cars Buyers DB'!G:G)</f>
        <v>Clerical</v>
      </c>
      <c r="H1004" s="8" t="str">
        <f>_xlfn.XLOOKUP($A1004,'RAWDATA Cars Buyers DB'!$A:$A,'RAWDATA Cars Buyers DB'!H:H)</f>
        <v>No</v>
      </c>
      <c r="I1004" s="8" t="str">
        <f>_xlfn.XLOOKUP($A1004,'RAWDATA Cars Buyers DB'!$A:$A,'RAWDATA Cars Buyers DB'!I:I)</f>
        <v>6+ Kilometre</v>
      </c>
      <c r="J1004" s="8" t="str">
        <f>_xlfn.XLOOKUP($A1004,'RAWDATA Cars Buyers DB'!$A:$A,'RAWDATA Cars Buyers DB'!J:J)</f>
        <v>Saxony-Anhalt</v>
      </c>
      <c r="K1004" s="8">
        <f>_xlfn.XLOOKUP($A1004,'RAWDATA Cars Buyers DB'!$A:$A,'RAWDATA Cars Buyers DB'!K:K)</f>
        <v>58</v>
      </c>
      <c r="L1004" s="10" t="str">
        <f>IF(_xlfn.XLOOKUP($A1004,'RAWDATA Cars Buyers DB'!$A:$A,'RAWDATA Cars Buyers DB'!K:K)&gt;54,"Old ",IF(_xlfn.XLOOKUP($A1004,'RAWDATA Cars Buyers DB'!$A:$A,'RAWDATA Cars Buyers DB'!K:K)&gt;=31,"Middle Age ",IF(_xlfn.XLOOKUP($A1004,'RAWDATA Cars Buyers DB'!$A:$A,'RAWDATA Cars Buyers DB'!K:K)&lt;31,"Adolescent","Invalid")))</f>
        <v xml:space="preserve">Old </v>
      </c>
      <c r="M1004" s="8" t="str">
        <f>_xlfn.XLOOKUP($A1004,'RAWDATA Cars Buyers DB'!$A:$A,'RAWDATA Cars Buyers DB'!L:L)</f>
        <v>No</v>
      </c>
    </row>
    <row r="1005" spans="1:13">
      <c r="A1005" s="6">
        <v>92985</v>
      </c>
      <c r="B1005" s="10" t="str">
        <f>IF(_xlfn.XLOOKUP($A1005,'RAWDATA Cars Buyers DB'!$A:$A,'RAWDATA Cars Buyers DB'!B:B)="S","Single","Married")</f>
        <v>Married</v>
      </c>
      <c r="C1005" s="10" t="str">
        <f>IF(_xlfn.XLOOKUP($A1005,'RAWDATA Cars Buyers DB'!$A:$A,'RAWDATA Cars Buyers DB'!C:C)="F","Female","Male")</f>
        <v>Male</v>
      </c>
      <c r="D1005" s="7">
        <f>_xlfn.XLOOKUP($A1005,'RAWDATA Cars Buyers DB'!$A:$A,'RAWDATA Cars Buyers DB'!D:D)</f>
        <v>23273</v>
      </c>
      <c r="E1005" s="8">
        <f>_xlfn.XLOOKUP($A1005,'RAWDATA Cars Buyers DB'!$A:$A,'RAWDATA Cars Buyers DB'!E:E)</f>
        <v>0</v>
      </c>
      <c r="F1005" s="8" t="str">
        <f>_xlfn.XLOOKUP($A1005,'RAWDATA Cars Buyers DB'!$A:$A,'RAWDATA Cars Buyers DB'!F:F)</f>
        <v>Graduate Degree</v>
      </c>
      <c r="G1005" s="8" t="str">
        <f>_xlfn.XLOOKUP($A1005,'RAWDATA Cars Buyers DB'!$A:$A,'RAWDATA Cars Buyers DB'!G:G)</f>
        <v>Clerical</v>
      </c>
      <c r="H1005" s="8" t="str">
        <f>_xlfn.XLOOKUP($A1005,'RAWDATA Cars Buyers DB'!$A:$A,'RAWDATA Cars Buyers DB'!H:H)</f>
        <v>No</v>
      </c>
      <c r="I1005" s="8" t="str">
        <f>_xlfn.XLOOKUP($A1005,'RAWDATA Cars Buyers DB'!$A:$A,'RAWDATA Cars Buyers DB'!I:I)</f>
        <v>4–6 Kilometre</v>
      </c>
      <c r="J1005" s="8" t="str">
        <f>_xlfn.XLOOKUP($A1005,'RAWDATA Cars Buyers DB'!$A:$A,'RAWDATA Cars Buyers DB'!J:J)</f>
        <v>Lower Saxony</v>
      </c>
      <c r="K1005" s="8">
        <f>_xlfn.XLOOKUP($A1005,'RAWDATA Cars Buyers DB'!$A:$A,'RAWDATA Cars Buyers DB'!K:K)</f>
        <v>26</v>
      </c>
      <c r="L1005" s="10" t="str">
        <f>IF(_xlfn.XLOOKUP($A1005,'RAWDATA Cars Buyers DB'!$A:$A,'RAWDATA Cars Buyers DB'!K:K)&gt;54,"Old ",IF(_xlfn.XLOOKUP($A1005,'RAWDATA Cars Buyers DB'!$A:$A,'RAWDATA Cars Buyers DB'!K:K)&gt;=31,"Middle Age ",IF(_xlfn.XLOOKUP($A1005,'RAWDATA Cars Buyers DB'!$A:$A,'RAWDATA Cars Buyers DB'!K:K)&lt;31,"Adolescent","Invalid")))</f>
        <v>Adolescent</v>
      </c>
      <c r="M1005" s="8" t="str">
        <f>_xlfn.XLOOKUP($A1005,'RAWDATA Cars Buyers DB'!$A:$A,'RAWDATA Cars Buyers DB'!L:L)</f>
        <v>Yes</v>
      </c>
    </row>
    <row r="1006" spans="1:13">
      <c r="A1006" s="6">
        <v>94056</v>
      </c>
      <c r="B1006" s="10" t="str">
        <f>IF(_xlfn.XLOOKUP($A1006,'RAWDATA Cars Buyers DB'!$A:$A,'RAWDATA Cars Buyers DB'!B:B)="S","Single","Married")</f>
        <v>Married</v>
      </c>
      <c r="C1006" s="10" t="str">
        <f>IF(_xlfn.XLOOKUP($A1006,'RAWDATA Cars Buyers DB'!$A:$A,'RAWDATA Cars Buyers DB'!C:C)="F","Female","Male")</f>
        <v>Male</v>
      </c>
      <c r="D1006" s="7">
        <f>_xlfn.XLOOKUP($A1006,'RAWDATA Cars Buyers DB'!$A:$A,'RAWDATA Cars Buyers DB'!D:D)</f>
        <v>67135</v>
      </c>
      <c r="E1006" s="8">
        <f>_xlfn.XLOOKUP($A1006,'RAWDATA Cars Buyers DB'!$A:$A,'RAWDATA Cars Buyers DB'!E:E)</f>
        <v>3</v>
      </c>
      <c r="F1006" s="8" t="str">
        <f>_xlfn.XLOOKUP($A1006,'RAWDATA Cars Buyers DB'!$A:$A,'RAWDATA Cars Buyers DB'!F:F)</f>
        <v>Partial College</v>
      </c>
      <c r="G1006" s="8" t="str">
        <f>_xlfn.XLOOKUP($A1006,'RAWDATA Cars Buyers DB'!$A:$A,'RAWDATA Cars Buyers DB'!G:G)</f>
        <v>Skilled Manual</v>
      </c>
      <c r="H1006" s="8" t="str">
        <f>_xlfn.XLOOKUP($A1006,'RAWDATA Cars Buyers DB'!$A:$A,'RAWDATA Cars Buyers DB'!H:H)</f>
        <v>No</v>
      </c>
      <c r="I1006" s="8" t="str">
        <f>_xlfn.XLOOKUP($A1006,'RAWDATA Cars Buyers DB'!$A:$A,'RAWDATA Cars Buyers DB'!I:I)</f>
        <v>0–1 Kilometre</v>
      </c>
      <c r="J1006" s="8" t="str">
        <f>_xlfn.XLOOKUP($A1006,'RAWDATA Cars Buyers DB'!$A:$A,'RAWDATA Cars Buyers DB'!J:J)</f>
        <v>Saxony-Anhalt</v>
      </c>
      <c r="K1006" s="8">
        <f>_xlfn.XLOOKUP($A1006,'RAWDATA Cars Buyers DB'!$A:$A,'RAWDATA Cars Buyers DB'!K:K)</f>
        <v>61</v>
      </c>
      <c r="L1006" s="10" t="str">
        <f>IF(_xlfn.XLOOKUP($A1006,'RAWDATA Cars Buyers DB'!$A:$A,'RAWDATA Cars Buyers DB'!K:K)&gt;54,"Old ",IF(_xlfn.XLOOKUP($A1006,'RAWDATA Cars Buyers DB'!$A:$A,'RAWDATA Cars Buyers DB'!K:K)&gt;=31,"Middle Age ",IF(_xlfn.XLOOKUP($A1006,'RAWDATA Cars Buyers DB'!$A:$A,'RAWDATA Cars Buyers DB'!K:K)&lt;31,"Adolescent","Invalid")))</f>
        <v xml:space="preserve">Old </v>
      </c>
      <c r="M1006" s="8" t="str">
        <f>_xlfn.XLOOKUP($A1006,'RAWDATA Cars Buyers DB'!$A:$A,'RAWDATA Cars Buyers DB'!L:L)</f>
        <v>Yes</v>
      </c>
    </row>
    <row r="1007" spans="1:13">
      <c r="A1007" s="6">
        <v>53303</v>
      </c>
      <c r="B1007" s="10" t="str">
        <f>IF(_xlfn.XLOOKUP($A1007,'RAWDATA Cars Buyers DB'!$A:$A,'RAWDATA Cars Buyers DB'!B:B)="S","Single","Married")</f>
        <v>Married</v>
      </c>
      <c r="C1007" s="10" t="str">
        <f>IF(_xlfn.XLOOKUP($A1007,'RAWDATA Cars Buyers DB'!$A:$A,'RAWDATA Cars Buyers DB'!C:C)="F","Female","Male")</f>
        <v>Male</v>
      </c>
      <c r="D1007" s="7">
        <f>_xlfn.XLOOKUP($A1007,'RAWDATA Cars Buyers DB'!$A:$A,'RAWDATA Cars Buyers DB'!D:D)</f>
        <v>50881</v>
      </c>
      <c r="E1007" s="8">
        <f>_xlfn.XLOOKUP($A1007,'RAWDATA Cars Buyers DB'!$A:$A,'RAWDATA Cars Buyers DB'!E:E)</f>
        <v>3</v>
      </c>
      <c r="F1007" s="8" t="str">
        <f>_xlfn.XLOOKUP($A1007,'RAWDATA Cars Buyers DB'!$A:$A,'RAWDATA Cars Buyers DB'!F:F)</f>
        <v>High School</v>
      </c>
      <c r="G1007" s="8" t="str">
        <f>_xlfn.XLOOKUP($A1007,'RAWDATA Cars Buyers DB'!$A:$A,'RAWDATA Cars Buyers DB'!G:G)</f>
        <v>Professional</v>
      </c>
      <c r="H1007" s="8" t="str">
        <f>_xlfn.XLOOKUP($A1007,'RAWDATA Cars Buyers DB'!$A:$A,'RAWDATA Cars Buyers DB'!H:H)</f>
        <v>Yes</v>
      </c>
      <c r="I1007" s="8" t="str">
        <f>_xlfn.XLOOKUP($A1007,'RAWDATA Cars Buyers DB'!$A:$A,'RAWDATA Cars Buyers DB'!I:I)</f>
        <v>1–2 Kilometre</v>
      </c>
      <c r="J1007" s="8" t="str">
        <f>_xlfn.XLOOKUP($A1007,'RAWDATA Cars Buyers DB'!$A:$A,'RAWDATA Cars Buyers DB'!J:J)</f>
        <v>Schleswig-Holstein</v>
      </c>
      <c r="K1007" s="8">
        <f>_xlfn.XLOOKUP($A1007,'RAWDATA Cars Buyers DB'!$A:$A,'RAWDATA Cars Buyers DB'!K:K)</f>
        <v>54</v>
      </c>
      <c r="L1007" s="10" t="str">
        <f>IF(_xlfn.XLOOKUP($A1007,'RAWDATA Cars Buyers DB'!$A:$A,'RAWDATA Cars Buyers DB'!K:K)&gt;54,"Old ",IF(_xlfn.XLOOKUP($A1007,'RAWDATA Cars Buyers DB'!$A:$A,'RAWDATA Cars Buyers DB'!K:K)&gt;=31,"Middle Age ",IF(_xlfn.XLOOKUP($A1007,'RAWDATA Cars Buyers DB'!$A:$A,'RAWDATA Cars Buyers DB'!K:K)&lt;31,"Adolescent","Invalid")))</f>
        <v xml:space="preserve">Middle Age </v>
      </c>
      <c r="M1007" s="8" t="str">
        <f>_xlfn.XLOOKUP($A1007,'RAWDATA Cars Buyers DB'!$A:$A,'RAWDATA Cars Buyers DB'!L:L)</f>
        <v>Yes</v>
      </c>
    </row>
    <row r="1008" spans="1:13">
      <c r="A1008" s="6">
        <v>69207</v>
      </c>
      <c r="B1008" s="10" t="str">
        <f>IF(_xlfn.XLOOKUP($A1008,'RAWDATA Cars Buyers DB'!$A:$A,'RAWDATA Cars Buyers DB'!B:B)="S","Single","Married")</f>
        <v>Married</v>
      </c>
      <c r="C1008" s="10" t="str">
        <f>IF(_xlfn.XLOOKUP($A1008,'RAWDATA Cars Buyers DB'!$A:$A,'RAWDATA Cars Buyers DB'!C:C)="F","Female","Male")</f>
        <v>Female</v>
      </c>
      <c r="D1008" s="7">
        <f>_xlfn.XLOOKUP($A1008,'RAWDATA Cars Buyers DB'!$A:$A,'RAWDATA Cars Buyers DB'!D:D)</f>
        <v>117022</v>
      </c>
      <c r="E1008" s="8">
        <f>_xlfn.XLOOKUP($A1008,'RAWDATA Cars Buyers DB'!$A:$A,'RAWDATA Cars Buyers DB'!E:E)</f>
        <v>4</v>
      </c>
      <c r="F1008" s="8" t="str">
        <f>_xlfn.XLOOKUP($A1008,'RAWDATA Cars Buyers DB'!$A:$A,'RAWDATA Cars Buyers DB'!F:F)</f>
        <v>High School</v>
      </c>
      <c r="G1008" s="8" t="str">
        <f>_xlfn.XLOOKUP($A1008,'RAWDATA Cars Buyers DB'!$A:$A,'RAWDATA Cars Buyers DB'!G:G)</f>
        <v>Management</v>
      </c>
      <c r="H1008" s="8" t="str">
        <f>_xlfn.XLOOKUP($A1008,'RAWDATA Cars Buyers DB'!$A:$A,'RAWDATA Cars Buyers DB'!H:H)</f>
        <v>Yes</v>
      </c>
      <c r="I1008" s="8" t="str">
        <f>_xlfn.XLOOKUP($A1008,'RAWDATA Cars Buyers DB'!$A:$A,'RAWDATA Cars Buyers DB'!I:I)</f>
        <v>0–1 Kilometre</v>
      </c>
      <c r="J1008" s="8" t="str">
        <f>_xlfn.XLOOKUP($A1008,'RAWDATA Cars Buyers DB'!$A:$A,'RAWDATA Cars Buyers DB'!J:J)</f>
        <v>Saxony</v>
      </c>
      <c r="K1008" s="8">
        <f>_xlfn.XLOOKUP($A1008,'RAWDATA Cars Buyers DB'!$A:$A,'RAWDATA Cars Buyers DB'!K:K)</f>
        <v>49</v>
      </c>
      <c r="L1008" s="10" t="str">
        <f>IF(_xlfn.XLOOKUP($A1008,'RAWDATA Cars Buyers DB'!$A:$A,'RAWDATA Cars Buyers DB'!K:K)&gt;54,"Old ",IF(_xlfn.XLOOKUP($A1008,'RAWDATA Cars Buyers DB'!$A:$A,'RAWDATA Cars Buyers DB'!K:K)&gt;=31,"Middle Age ",IF(_xlfn.XLOOKUP($A1008,'RAWDATA Cars Buyers DB'!$A:$A,'RAWDATA Cars Buyers DB'!K:K)&lt;31,"Adolescent","Invalid")))</f>
        <v xml:space="preserve">Middle Age </v>
      </c>
      <c r="M1008" s="8" t="str">
        <f>_xlfn.XLOOKUP($A1008,'RAWDATA Cars Buyers DB'!$A:$A,'RAWDATA Cars Buyers DB'!L:L)</f>
        <v>Yes</v>
      </c>
    </row>
    <row r="1009" spans="1:13">
      <c r="A1009" s="6">
        <v>85046</v>
      </c>
      <c r="B1009" s="10" t="str">
        <f>IF(_xlfn.XLOOKUP($A1009,'RAWDATA Cars Buyers DB'!$A:$A,'RAWDATA Cars Buyers DB'!B:B)="S","Single","Married")</f>
        <v>Married</v>
      </c>
      <c r="C1009" s="10" t="str">
        <f>IF(_xlfn.XLOOKUP($A1009,'RAWDATA Cars Buyers DB'!$A:$A,'RAWDATA Cars Buyers DB'!C:C)="F","Female","Male")</f>
        <v>Male</v>
      </c>
      <c r="D1009" s="7">
        <f>_xlfn.XLOOKUP($A1009,'RAWDATA Cars Buyers DB'!$A:$A,'RAWDATA Cars Buyers DB'!D:D)</f>
        <v>98077</v>
      </c>
      <c r="E1009" s="8">
        <f>_xlfn.XLOOKUP($A1009,'RAWDATA Cars Buyers DB'!$A:$A,'RAWDATA Cars Buyers DB'!E:E)</f>
        <v>0</v>
      </c>
      <c r="F1009" s="8" t="str">
        <f>_xlfn.XLOOKUP($A1009,'RAWDATA Cars Buyers DB'!$A:$A,'RAWDATA Cars Buyers DB'!F:F)</f>
        <v>Bachelors</v>
      </c>
      <c r="G1009" s="8" t="str">
        <f>_xlfn.XLOOKUP($A1009,'RAWDATA Cars Buyers DB'!$A:$A,'RAWDATA Cars Buyers DB'!G:G)</f>
        <v>Clerical</v>
      </c>
      <c r="H1009" s="8" t="str">
        <f>_xlfn.XLOOKUP($A1009,'RAWDATA Cars Buyers DB'!$A:$A,'RAWDATA Cars Buyers DB'!H:H)</f>
        <v>No</v>
      </c>
      <c r="I1009" s="8" t="str">
        <f>_xlfn.XLOOKUP($A1009,'RAWDATA Cars Buyers DB'!$A:$A,'RAWDATA Cars Buyers DB'!I:I)</f>
        <v>6+ Kilometre</v>
      </c>
      <c r="J1009" s="8" t="str">
        <f>_xlfn.XLOOKUP($A1009,'RAWDATA Cars Buyers DB'!$A:$A,'RAWDATA Cars Buyers DB'!J:J)</f>
        <v>Hesse</v>
      </c>
      <c r="K1009" s="8">
        <f>_xlfn.XLOOKUP($A1009,'RAWDATA Cars Buyers DB'!$A:$A,'RAWDATA Cars Buyers DB'!K:K)</f>
        <v>31</v>
      </c>
      <c r="L1009" s="10" t="str">
        <f>IF(_xlfn.XLOOKUP($A1009,'RAWDATA Cars Buyers DB'!$A:$A,'RAWDATA Cars Buyers DB'!K:K)&gt;54,"Old ",IF(_xlfn.XLOOKUP($A1009,'RAWDATA Cars Buyers DB'!$A:$A,'RAWDATA Cars Buyers DB'!K:K)&gt;=31,"Middle Age ",IF(_xlfn.XLOOKUP($A1009,'RAWDATA Cars Buyers DB'!$A:$A,'RAWDATA Cars Buyers DB'!K:K)&lt;31,"Adolescent","Invalid")))</f>
        <v xml:space="preserve">Middle Age </v>
      </c>
      <c r="M1009" s="8" t="str">
        <f>_xlfn.XLOOKUP($A1009,'RAWDATA Cars Buyers DB'!$A:$A,'RAWDATA Cars Buyers DB'!L:L)</f>
        <v>No</v>
      </c>
    </row>
    <row r="1010" spans="1:13">
      <c r="A1010" s="6">
        <v>39287</v>
      </c>
      <c r="B1010" s="10" t="str">
        <f>IF(_xlfn.XLOOKUP($A1010,'RAWDATA Cars Buyers DB'!$A:$A,'RAWDATA Cars Buyers DB'!B:B)="S","Single","Married")</f>
        <v>Single</v>
      </c>
      <c r="C1010" s="10" t="str">
        <f>IF(_xlfn.XLOOKUP($A1010,'RAWDATA Cars Buyers DB'!$A:$A,'RAWDATA Cars Buyers DB'!C:C)="F","Female","Male")</f>
        <v>Female</v>
      </c>
      <c r="D1010" s="7">
        <f>_xlfn.XLOOKUP($A1010,'RAWDATA Cars Buyers DB'!$A:$A,'RAWDATA Cars Buyers DB'!D:D)</f>
        <v>28712</v>
      </c>
      <c r="E1010" s="8">
        <f>_xlfn.XLOOKUP($A1010,'RAWDATA Cars Buyers DB'!$A:$A,'RAWDATA Cars Buyers DB'!E:E)</f>
        <v>5</v>
      </c>
      <c r="F1010" s="8" t="str">
        <f>_xlfn.XLOOKUP($A1010,'RAWDATA Cars Buyers DB'!$A:$A,'RAWDATA Cars Buyers DB'!F:F)</f>
        <v>Graduate Degree</v>
      </c>
      <c r="G1010" s="8" t="str">
        <f>_xlfn.XLOOKUP($A1010,'RAWDATA Cars Buyers DB'!$A:$A,'RAWDATA Cars Buyers DB'!G:G)</f>
        <v>Clerical</v>
      </c>
      <c r="H1010" s="8" t="str">
        <f>_xlfn.XLOOKUP($A1010,'RAWDATA Cars Buyers DB'!$A:$A,'RAWDATA Cars Buyers DB'!H:H)</f>
        <v>Yes</v>
      </c>
      <c r="I1010" s="8" t="str">
        <f>_xlfn.XLOOKUP($A1010,'RAWDATA Cars Buyers DB'!$A:$A,'RAWDATA Cars Buyers DB'!I:I)</f>
        <v>0–1 Kilometre</v>
      </c>
      <c r="J1010" s="8" t="str">
        <f>_xlfn.XLOOKUP($A1010,'RAWDATA Cars Buyers DB'!$A:$A,'RAWDATA Cars Buyers DB'!J:J)</f>
        <v>Brandenburg</v>
      </c>
      <c r="K1010" s="8">
        <f>_xlfn.XLOOKUP($A1010,'RAWDATA Cars Buyers DB'!$A:$A,'RAWDATA Cars Buyers DB'!K:K)</f>
        <v>54</v>
      </c>
      <c r="L1010" s="10" t="str">
        <f>IF(_xlfn.XLOOKUP($A1010,'RAWDATA Cars Buyers DB'!$A:$A,'RAWDATA Cars Buyers DB'!K:K)&gt;54,"Old ",IF(_xlfn.XLOOKUP($A1010,'RAWDATA Cars Buyers DB'!$A:$A,'RAWDATA Cars Buyers DB'!K:K)&gt;=31,"Middle Age ",IF(_xlfn.XLOOKUP($A1010,'RAWDATA Cars Buyers DB'!$A:$A,'RAWDATA Cars Buyers DB'!K:K)&lt;31,"Adolescent","Invalid")))</f>
        <v xml:space="preserve">Middle Age </v>
      </c>
      <c r="M1010" s="8" t="str">
        <f>_xlfn.XLOOKUP($A1010,'RAWDATA Cars Buyers DB'!$A:$A,'RAWDATA Cars Buyers DB'!L:L)</f>
        <v>No</v>
      </c>
    </row>
    <row r="1011" spans="1:13">
      <c r="A1011" s="6">
        <v>49711</v>
      </c>
      <c r="B1011" s="10" t="str">
        <f>IF(_xlfn.XLOOKUP($A1011,'RAWDATA Cars Buyers DB'!$A:$A,'RAWDATA Cars Buyers DB'!B:B)="S","Single","Married")</f>
        <v>Married</v>
      </c>
      <c r="C1011" s="10" t="str">
        <f>IF(_xlfn.XLOOKUP($A1011,'RAWDATA Cars Buyers DB'!$A:$A,'RAWDATA Cars Buyers DB'!C:C)="F","Female","Male")</f>
        <v>Female</v>
      </c>
      <c r="D1011" s="7">
        <f>_xlfn.XLOOKUP($A1011,'RAWDATA Cars Buyers DB'!$A:$A,'RAWDATA Cars Buyers DB'!D:D)</f>
        <v>94704</v>
      </c>
      <c r="E1011" s="8">
        <f>_xlfn.XLOOKUP($A1011,'RAWDATA Cars Buyers DB'!$A:$A,'RAWDATA Cars Buyers DB'!E:E)</f>
        <v>3</v>
      </c>
      <c r="F1011" s="8" t="str">
        <f>_xlfn.XLOOKUP($A1011,'RAWDATA Cars Buyers DB'!$A:$A,'RAWDATA Cars Buyers DB'!F:F)</f>
        <v>Bachelors</v>
      </c>
      <c r="G1011" s="8" t="str">
        <f>_xlfn.XLOOKUP($A1011,'RAWDATA Cars Buyers DB'!$A:$A,'RAWDATA Cars Buyers DB'!G:G)</f>
        <v>Professional</v>
      </c>
      <c r="H1011" s="8" t="str">
        <f>_xlfn.XLOOKUP($A1011,'RAWDATA Cars Buyers DB'!$A:$A,'RAWDATA Cars Buyers DB'!H:H)</f>
        <v>No</v>
      </c>
      <c r="I1011" s="8" t="str">
        <f>_xlfn.XLOOKUP($A1011,'RAWDATA Cars Buyers DB'!$A:$A,'RAWDATA Cars Buyers DB'!I:I)</f>
        <v>1–2 Kilometre</v>
      </c>
      <c r="J1011" s="8" t="str">
        <f>_xlfn.XLOOKUP($A1011,'RAWDATA Cars Buyers DB'!$A:$A,'RAWDATA Cars Buyers DB'!J:J)</f>
        <v>Thuringia</v>
      </c>
      <c r="K1011" s="8">
        <f>_xlfn.XLOOKUP($A1011,'RAWDATA Cars Buyers DB'!$A:$A,'RAWDATA Cars Buyers DB'!K:K)</f>
        <v>30</v>
      </c>
      <c r="L1011" s="10" t="str">
        <f>IF(_xlfn.XLOOKUP($A1011,'RAWDATA Cars Buyers DB'!$A:$A,'RAWDATA Cars Buyers DB'!K:K)&gt;54,"Old ",IF(_xlfn.XLOOKUP($A1011,'RAWDATA Cars Buyers DB'!$A:$A,'RAWDATA Cars Buyers DB'!K:K)&gt;=31,"Middle Age ",IF(_xlfn.XLOOKUP($A1011,'RAWDATA Cars Buyers DB'!$A:$A,'RAWDATA Cars Buyers DB'!K:K)&lt;31,"Adolescent","Invalid")))</f>
        <v>Adolescent</v>
      </c>
      <c r="M1011" s="8" t="str">
        <f>_xlfn.XLOOKUP($A1011,'RAWDATA Cars Buyers DB'!$A:$A,'RAWDATA Cars Buyers DB'!L:L)</f>
        <v>No</v>
      </c>
    </row>
    <row r="1012" spans="1:13">
      <c r="A1012" s="6">
        <v>21954</v>
      </c>
      <c r="B1012" s="10" t="str">
        <f>IF(_xlfn.XLOOKUP($A1012,'RAWDATA Cars Buyers DB'!$A:$A,'RAWDATA Cars Buyers DB'!B:B)="S","Single","Married")</f>
        <v>Married</v>
      </c>
      <c r="C1012" s="10" t="str">
        <f>IF(_xlfn.XLOOKUP($A1012,'RAWDATA Cars Buyers DB'!$A:$A,'RAWDATA Cars Buyers DB'!C:C)="F","Female","Male")</f>
        <v>Female</v>
      </c>
      <c r="D1012" s="7">
        <f>_xlfn.XLOOKUP($A1012,'RAWDATA Cars Buyers DB'!$A:$A,'RAWDATA Cars Buyers DB'!D:D)</f>
        <v>72874</v>
      </c>
      <c r="E1012" s="8">
        <f>_xlfn.XLOOKUP($A1012,'RAWDATA Cars Buyers DB'!$A:$A,'RAWDATA Cars Buyers DB'!E:E)</f>
        <v>0</v>
      </c>
      <c r="F1012" s="8" t="str">
        <f>_xlfn.XLOOKUP($A1012,'RAWDATA Cars Buyers DB'!$A:$A,'RAWDATA Cars Buyers DB'!F:F)</f>
        <v>Graduate Degree</v>
      </c>
      <c r="G1012" s="8" t="str">
        <f>_xlfn.XLOOKUP($A1012,'RAWDATA Cars Buyers DB'!$A:$A,'RAWDATA Cars Buyers DB'!G:G)</f>
        <v>Professional</v>
      </c>
      <c r="H1012" s="8" t="str">
        <f>_xlfn.XLOOKUP($A1012,'RAWDATA Cars Buyers DB'!$A:$A,'RAWDATA Cars Buyers DB'!H:H)</f>
        <v>No</v>
      </c>
      <c r="I1012" s="8" t="str">
        <f>_xlfn.XLOOKUP($A1012,'RAWDATA Cars Buyers DB'!$A:$A,'RAWDATA Cars Buyers DB'!I:I)</f>
        <v>2–4 Kilometre</v>
      </c>
      <c r="J1012" s="8" t="str">
        <f>_xlfn.XLOOKUP($A1012,'RAWDATA Cars Buyers DB'!$A:$A,'RAWDATA Cars Buyers DB'!J:J)</f>
        <v>Hesse</v>
      </c>
      <c r="K1012" s="8">
        <f>_xlfn.XLOOKUP($A1012,'RAWDATA Cars Buyers DB'!$A:$A,'RAWDATA Cars Buyers DB'!K:K)</f>
        <v>63</v>
      </c>
      <c r="L1012" s="10" t="str">
        <f>IF(_xlfn.XLOOKUP($A1012,'RAWDATA Cars Buyers DB'!$A:$A,'RAWDATA Cars Buyers DB'!K:K)&gt;54,"Old ",IF(_xlfn.XLOOKUP($A1012,'RAWDATA Cars Buyers DB'!$A:$A,'RAWDATA Cars Buyers DB'!K:K)&gt;=31,"Middle Age ",IF(_xlfn.XLOOKUP($A1012,'RAWDATA Cars Buyers DB'!$A:$A,'RAWDATA Cars Buyers DB'!K:K)&lt;31,"Adolescent","Invalid")))</f>
        <v xml:space="preserve">Old </v>
      </c>
      <c r="M1012" s="8" t="str">
        <f>_xlfn.XLOOKUP($A1012,'RAWDATA Cars Buyers DB'!$A:$A,'RAWDATA Cars Buyers DB'!L:L)</f>
        <v>Yes</v>
      </c>
    </row>
    <row r="1013" spans="1:13">
      <c r="A1013" s="6">
        <v>83340</v>
      </c>
      <c r="B1013" s="10" t="str">
        <f>IF(_xlfn.XLOOKUP($A1013,'RAWDATA Cars Buyers DB'!$A:$A,'RAWDATA Cars Buyers DB'!B:B)="S","Single","Married")</f>
        <v>Married</v>
      </c>
      <c r="C1013" s="10" t="str">
        <f>IF(_xlfn.XLOOKUP($A1013,'RAWDATA Cars Buyers DB'!$A:$A,'RAWDATA Cars Buyers DB'!C:C)="F","Female","Male")</f>
        <v>Male</v>
      </c>
      <c r="D1013" s="7">
        <f>_xlfn.XLOOKUP($A1013,'RAWDATA Cars Buyers DB'!$A:$A,'RAWDATA Cars Buyers DB'!D:D)</f>
        <v>89087</v>
      </c>
      <c r="E1013" s="8">
        <f>_xlfn.XLOOKUP($A1013,'RAWDATA Cars Buyers DB'!$A:$A,'RAWDATA Cars Buyers DB'!E:E)</f>
        <v>0</v>
      </c>
      <c r="F1013" s="8" t="str">
        <f>_xlfn.XLOOKUP($A1013,'RAWDATA Cars Buyers DB'!$A:$A,'RAWDATA Cars Buyers DB'!F:F)</f>
        <v>Graduate Degree</v>
      </c>
      <c r="G1013" s="8" t="str">
        <f>_xlfn.XLOOKUP($A1013,'RAWDATA Cars Buyers DB'!$A:$A,'RAWDATA Cars Buyers DB'!G:G)</f>
        <v>Clerical</v>
      </c>
      <c r="H1013" s="8" t="str">
        <f>_xlfn.XLOOKUP($A1013,'RAWDATA Cars Buyers DB'!$A:$A,'RAWDATA Cars Buyers DB'!H:H)</f>
        <v>No</v>
      </c>
      <c r="I1013" s="8" t="str">
        <f>_xlfn.XLOOKUP($A1013,'RAWDATA Cars Buyers DB'!$A:$A,'RAWDATA Cars Buyers DB'!I:I)</f>
        <v>0–1 Kilometre</v>
      </c>
      <c r="J1013" s="8" t="str">
        <f>_xlfn.XLOOKUP($A1013,'RAWDATA Cars Buyers DB'!$A:$A,'RAWDATA Cars Buyers DB'!J:J)</f>
        <v>Mecklenburg-Vorpommern</v>
      </c>
      <c r="K1013" s="8">
        <f>_xlfn.XLOOKUP($A1013,'RAWDATA Cars Buyers DB'!$A:$A,'RAWDATA Cars Buyers DB'!K:K)</f>
        <v>23</v>
      </c>
      <c r="L1013" s="10" t="str">
        <f>IF(_xlfn.XLOOKUP($A1013,'RAWDATA Cars Buyers DB'!$A:$A,'RAWDATA Cars Buyers DB'!K:K)&gt;54,"Old ",IF(_xlfn.XLOOKUP($A1013,'RAWDATA Cars Buyers DB'!$A:$A,'RAWDATA Cars Buyers DB'!K:K)&gt;=31,"Middle Age ",IF(_xlfn.XLOOKUP($A1013,'RAWDATA Cars Buyers DB'!$A:$A,'RAWDATA Cars Buyers DB'!K:K)&lt;31,"Adolescent","Invalid")))</f>
        <v>Adolescent</v>
      </c>
      <c r="M1013" s="8" t="str">
        <f>_xlfn.XLOOKUP($A1013,'RAWDATA Cars Buyers DB'!$A:$A,'RAWDATA Cars Buyers DB'!L:L)</f>
        <v>No</v>
      </c>
    </row>
    <row r="1014" spans="1:13">
      <c r="A1014" s="6">
        <v>82101</v>
      </c>
      <c r="B1014" s="10" t="str">
        <f>IF(_xlfn.XLOOKUP($A1014,'RAWDATA Cars Buyers DB'!$A:$A,'RAWDATA Cars Buyers DB'!B:B)="S","Single","Married")</f>
        <v>Married</v>
      </c>
      <c r="C1014" s="10" t="str">
        <f>IF(_xlfn.XLOOKUP($A1014,'RAWDATA Cars Buyers DB'!$A:$A,'RAWDATA Cars Buyers DB'!C:C)="F","Female","Male")</f>
        <v>Female</v>
      </c>
      <c r="D1014" s="7">
        <f>_xlfn.XLOOKUP($A1014,'RAWDATA Cars Buyers DB'!$A:$A,'RAWDATA Cars Buyers DB'!D:D)</f>
        <v>32297</v>
      </c>
      <c r="E1014" s="8">
        <f>_xlfn.XLOOKUP($A1014,'RAWDATA Cars Buyers DB'!$A:$A,'RAWDATA Cars Buyers DB'!E:E)</f>
        <v>4</v>
      </c>
      <c r="F1014" s="8" t="str">
        <f>_xlfn.XLOOKUP($A1014,'RAWDATA Cars Buyers DB'!$A:$A,'RAWDATA Cars Buyers DB'!F:F)</f>
        <v>Bachelors</v>
      </c>
      <c r="G1014" s="8" t="str">
        <f>_xlfn.XLOOKUP($A1014,'RAWDATA Cars Buyers DB'!$A:$A,'RAWDATA Cars Buyers DB'!G:G)</f>
        <v>Professional</v>
      </c>
      <c r="H1014" s="8" t="str">
        <f>_xlfn.XLOOKUP($A1014,'RAWDATA Cars Buyers DB'!$A:$A,'RAWDATA Cars Buyers DB'!H:H)</f>
        <v>Yes</v>
      </c>
      <c r="I1014" s="8" t="str">
        <f>_xlfn.XLOOKUP($A1014,'RAWDATA Cars Buyers DB'!$A:$A,'RAWDATA Cars Buyers DB'!I:I)</f>
        <v>4–6 Kilometre</v>
      </c>
      <c r="J1014" s="8" t="str">
        <f>_xlfn.XLOOKUP($A1014,'RAWDATA Cars Buyers DB'!$A:$A,'RAWDATA Cars Buyers DB'!J:J)</f>
        <v>Brandenburg</v>
      </c>
      <c r="K1014" s="8">
        <f>_xlfn.XLOOKUP($A1014,'RAWDATA Cars Buyers DB'!$A:$A,'RAWDATA Cars Buyers DB'!K:K)</f>
        <v>44</v>
      </c>
      <c r="L1014" s="10" t="str">
        <f>IF(_xlfn.XLOOKUP($A1014,'RAWDATA Cars Buyers DB'!$A:$A,'RAWDATA Cars Buyers DB'!K:K)&gt;54,"Old ",IF(_xlfn.XLOOKUP($A1014,'RAWDATA Cars Buyers DB'!$A:$A,'RAWDATA Cars Buyers DB'!K:K)&gt;=31,"Middle Age ",IF(_xlfn.XLOOKUP($A1014,'RAWDATA Cars Buyers DB'!$A:$A,'RAWDATA Cars Buyers DB'!K:K)&lt;31,"Adolescent","Invalid")))</f>
        <v xml:space="preserve">Middle Age </v>
      </c>
      <c r="M1014" s="8" t="str">
        <f>_xlfn.XLOOKUP($A1014,'RAWDATA Cars Buyers DB'!$A:$A,'RAWDATA Cars Buyers DB'!L:L)</f>
        <v>No</v>
      </c>
    </row>
    <row r="1015" spans="1:13">
      <c r="A1015" s="6">
        <v>81520</v>
      </c>
      <c r="B1015" s="10" t="str">
        <f>IF(_xlfn.XLOOKUP($A1015,'RAWDATA Cars Buyers DB'!$A:$A,'RAWDATA Cars Buyers DB'!B:B)="S","Single","Married")</f>
        <v>Single</v>
      </c>
      <c r="C1015" s="10" t="str">
        <f>IF(_xlfn.XLOOKUP($A1015,'RAWDATA Cars Buyers DB'!$A:$A,'RAWDATA Cars Buyers DB'!C:C)="F","Female","Male")</f>
        <v>Male</v>
      </c>
      <c r="D1015" s="7">
        <f>_xlfn.XLOOKUP($A1015,'RAWDATA Cars Buyers DB'!$A:$A,'RAWDATA Cars Buyers DB'!D:D)</f>
        <v>47128</v>
      </c>
      <c r="E1015" s="8">
        <f>_xlfn.XLOOKUP($A1015,'RAWDATA Cars Buyers DB'!$A:$A,'RAWDATA Cars Buyers DB'!E:E)</f>
        <v>0</v>
      </c>
      <c r="F1015" s="8" t="str">
        <f>_xlfn.XLOOKUP($A1015,'RAWDATA Cars Buyers DB'!$A:$A,'RAWDATA Cars Buyers DB'!F:F)</f>
        <v>Partial College</v>
      </c>
      <c r="G1015" s="8" t="str">
        <f>_xlfn.XLOOKUP($A1015,'RAWDATA Cars Buyers DB'!$A:$A,'RAWDATA Cars Buyers DB'!G:G)</f>
        <v>Management</v>
      </c>
      <c r="H1015" s="8" t="str">
        <f>_xlfn.XLOOKUP($A1015,'RAWDATA Cars Buyers DB'!$A:$A,'RAWDATA Cars Buyers DB'!H:H)</f>
        <v>No</v>
      </c>
      <c r="I1015" s="8" t="str">
        <f>_xlfn.XLOOKUP($A1015,'RAWDATA Cars Buyers DB'!$A:$A,'RAWDATA Cars Buyers DB'!I:I)</f>
        <v>2–4 Kilometre</v>
      </c>
      <c r="J1015" s="8" t="str">
        <f>_xlfn.XLOOKUP($A1015,'RAWDATA Cars Buyers DB'!$A:$A,'RAWDATA Cars Buyers DB'!J:J)</f>
        <v>Baden-Württemberg</v>
      </c>
      <c r="K1015" s="8">
        <f>_xlfn.XLOOKUP($A1015,'RAWDATA Cars Buyers DB'!$A:$A,'RAWDATA Cars Buyers DB'!K:K)</f>
        <v>67</v>
      </c>
      <c r="L1015" s="10" t="str">
        <f>IF(_xlfn.XLOOKUP($A1015,'RAWDATA Cars Buyers DB'!$A:$A,'RAWDATA Cars Buyers DB'!K:K)&gt;54,"Old ",IF(_xlfn.XLOOKUP($A1015,'RAWDATA Cars Buyers DB'!$A:$A,'RAWDATA Cars Buyers DB'!K:K)&gt;=31,"Middle Age ",IF(_xlfn.XLOOKUP($A1015,'RAWDATA Cars Buyers DB'!$A:$A,'RAWDATA Cars Buyers DB'!K:K)&lt;31,"Adolescent","Invalid")))</f>
        <v xml:space="preserve">Old </v>
      </c>
      <c r="M1015" s="8" t="str">
        <f>_xlfn.XLOOKUP($A1015,'RAWDATA Cars Buyers DB'!$A:$A,'RAWDATA Cars Buyers DB'!L:L)</f>
        <v>Yes</v>
      </c>
    </row>
    <row r="1016" spans="1:13">
      <c r="A1016" s="6">
        <v>97062</v>
      </c>
      <c r="B1016" s="10" t="str">
        <f>IF(_xlfn.XLOOKUP($A1016,'RAWDATA Cars Buyers DB'!$A:$A,'RAWDATA Cars Buyers DB'!B:B)="S","Single","Married")</f>
        <v>Married</v>
      </c>
      <c r="C1016" s="10" t="str">
        <f>IF(_xlfn.XLOOKUP($A1016,'RAWDATA Cars Buyers DB'!$A:$A,'RAWDATA Cars Buyers DB'!C:C)="F","Female","Male")</f>
        <v>Male</v>
      </c>
      <c r="D1016" s="7">
        <f>_xlfn.XLOOKUP($A1016,'RAWDATA Cars Buyers DB'!$A:$A,'RAWDATA Cars Buyers DB'!D:D)</f>
        <v>88368</v>
      </c>
      <c r="E1016" s="8">
        <f>_xlfn.XLOOKUP($A1016,'RAWDATA Cars Buyers DB'!$A:$A,'RAWDATA Cars Buyers DB'!E:E)</f>
        <v>1</v>
      </c>
      <c r="F1016" s="8" t="str">
        <f>_xlfn.XLOOKUP($A1016,'RAWDATA Cars Buyers DB'!$A:$A,'RAWDATA Cars Buyers DB'!F:F)</f>
        <v>Bachelors</v>
      </c>
      <c r="G1016" s="8" t="str">
        <f>_xlfn.XLOOKUP($A1016,'RAWDATA Cars Buyers DB'!$A:$A,'RAWDATA Cars Buyers DB'!G:G)</f>
        <v>Clerical</v>
      </c>
      <c r="H1016" s="8" t="str">
        <f>_xlfn.XLOOKUP($A1016,'RAWDATA Cars Buyers DB'!$A:$A,'RAWDATA Cars Buyers DB'!H:H)</f>
        <v>No</v>
      </c>
      <c r="I1016" s="8" t="str">
        <f>_xlfn.XLOOKUP($A1016,'RAWDATA Cars Buyers DB'!$A:$A,'RAWDATA Cars Buyers DB'!I:I)</f>
        <v>4–6 Kilometre</v>
      </c>
      <c r="J1016" s="8" t="str">
        <f>_xlfn.XLOOKUP($A1016,'RAWDATA Cars Buyers DB'!$A:$A,'RAWDATA Cars Buyers DB'!J:J)</f>
        <v>Thuringia</v>
      </c>
      <c r="K1016" s="8">
        <f>_xlfn.XLOOKUP($A1016,'RAWDATA Cars Buyers DB'!$A:$A,'RAWDATA Cars Buyers DB'!K:K)</f>
        <v>51</v>
      </c>
      <c r="L1016" s="10" t="str">
        <f>IF(_xlfn.XLOOKUP($A1016,'RAWDATA Cars Buyers DB'!$A:$A,'RAWDATA Cars Buyers DB'!K:K)&gt;54,"Old ",IF(_xlfn.XLOOKUP($A1016,'RAWDATA Cars Buyers DB'!$A:$A,'RAWDATA Cars Buyers DB'!K:K)&gt;=31,"Middle Age ",IF(_xlfn.XLOOKUP($A1016,'RAWDATA Cars Buyers DB'!$A:$A,'RAWDATA Cars Buyers DB'!K:K)&lt;31,"Adolescent","Invalid")))</f>
        <v xml:space="preserve">Middle Age </v>
      </c>
      <c r="M1016" s="8" t="str">
        <f>_xlfn.XLOOKUP($A1016,'RAWDATA Cars Buyers DB'!$A:$A,'RAWDATA Cars Buyers DB'!L:L)</f>
        <v>No</v>
      </c>
    </row>
    <row r="1017" spans="1:13">
      <c r="A1017" s="6">
        <v>28574</v>
      </c>
      <c r="B1017" s="10" t="str">
        <f>IF(_xlfn.XLOOKUP($A1017,'RAWDATA Cars Buyers DB'!$A:$A,'RAWDATA Cars Buyers DB'!B:B)="S","Single","Married")</f>
        <v>Single</v>
      </c>
      <c r="C1017" s="10" t="str">
        <f>IF(_xlfn.XLOOKUP($A1017,'RAWDATA Cars Buyers DB'!$A:$A,'RAWDATA Cars Buyers DB'!C:C)="F","Female","Male")</f>
        <v>Female</v>
      </c>
      <c r="D1017" s="7">
        <f>_xlfn.XLOOKUP($A1017,'RAWDATA Cars Buyers DB'!$A:$A,'RAWDATA Cars Buyers DB'!D:D)</f>
        <v>114019</v>
      </c>
      <c r="E1017" s="8">
        <f>_xlfn.XLOOKUP($A1017,'RAWDATA Cars Buyers DB'!$A:$A,'RAWDATA Cars Buyers DB'!E:E)</f>
        <v>1</v>
      </c>
      <c r="F1017" s="8" t="str">
        <f>_xlfn.XLOOKUP($A1017,'RAWDATA Cars Buyers DB'!$A:$A,'RAWDATA Cars Buyers DB'!F:F)</f>
        <v>Bachelors</v>
      </c>
      <c r="G1017" s="8" t="str">
        <f>_xlfn.XLOOKUP($A1017,'RAWDATA Cars Buyers DB'!$A:$A,'RAWDATA Cars Buyers DB'!G:G)</f>
        <v>Management</v>
      </c>
      <c r="H1017" s="8" t="str">
        <f>_xlfn.XLOOKUP($A1017,'RAWDATA Cars Buyers DB'!$A:$A,'RAWDATA Cars Buyers DB'!H:H)</f>
        <v>Yes</v>
      </c>
      <c r="I1017" s="8" t="str">
        <f>_xlfn.XLOOKUP($A1017,'RAWDATA Cars Buyers DB'!$A:$A,'RAWDATA Cars Buyers DB'!I:I)</f>
        <v>4–6 Kilometre</v>
      </c>
      <c r="J1017" s="8" t="str">
        <f>_xlfn.XLOOKUP($A1017,'RAWDATA Cars Buyers DB'!$A:$A,'RAWDATA Cars Buyers DB'!J:J)</f>
        <v>Saxony-Anhalt</v>
      </c>
      <c r="K1017" s="8">
        <f>_xlfn.XLOOKUP($A1017,'RAWDATA Cars Buyers DB'!$A:$A,'RAWDATA Cars Buyers DB'!K:K)</f>
        <v>39</v>
      </c>
      <c r="L1017" s="10" t="str">
        <f>IF(_xlfn.XLOOKUP($A1017,'RAWDATA Cars Buyers DB'!$A:$A,'RAWDATA Cars Buyers DB'!K:K)&gt;54,"Old ",IF(_xlfn.XLOOKUP($A1017,'RAWDATA Cars Buyers DB'!$A:$A,'RAWDATA Cars Buyers DB'!K:K)&gt;=31,"Middle Age ",IF(_xlfn.XLOOKUP($A1017,'RAWDATA Cars Buyers DB'!$A:$A,'RAWDATA Cars Buyers DB'!K:K)&lt;31,"Adolescent","Invalid")))</f>
        <v xml:space="preserve">Middle Age </v>
      </c>
      <c r="M1017" s="8" t="str">
        <f>_xlfn.XLOOKUP($A1017,'RAWDATA Cars Buyers DB'!$A:$A,'RAWDATA Cars Buyers DB'!L:L)</f>
        <v>Yes</v>
      </c>
    </row>
    <row r="1018" spans="1:13">
      <c r="A1018" s="6">
        <v>19184</v>
      </c>
      <c r="B1018" s="10" t="str">
        <f>IF(_xlfn.XLOOKUP($A1018,'RAWDATA Cars Buyers DB'!$A:$A,'RAWDATA Cars Buyers DB'!B:B)="S","Single","Married")</f>
        <v>Single</v>
      </c>
      <c r="C1018" s="10" t="str">
        <f>IF(_xlfn.XLOOKUP($A1018,'RAWDATA Cars Buyers DB'!$A:$A,'RAWDATA Cars Buyers DB'!C:C)="F","Female","Male")</f>
        <v>Female</v>
      </c>
      <c r="D1018" s="7">
        <f>_xlfn.XLOOKUP($A1018,'RAWDATA Cars Buyers DB'!$A:$A,'RAWDATA Cars Buyers DB'!D:D)</f>
        <v>107599</v>
      </c>
      <c r="E1018" s="8">
        <f>_xlfn.XLOOKUP($A1018,'RAWDATA Cars Buyers DB'!$A:$A,'RAWDATA Cars Buyers DB'!E:E)</f>
        <v>2</v>
      </c>
      <c r="F1018" s="8" t="str">
        <f>_xlfn.XLOOKUP($A1018,'RAWDATA Cars Buyers DB'!$A:$A,'RAWDATA Cars Buyers DB'!F:F)</f>
        <v>High School</v>
      </c>
      <c r="G1018" s="8" t="str">
        <f>_xlfn.XLOOKUP($A1018,'RAWDATA Cars Buyers DB'!$A:$A,'RAWDATA Cars Buyers DB'!G:G)</f>
        <v>Management</v>
      </c>
      <c r="H1018" s="8" t="str">
        <f>_xlfn.XLOOKUP($A1018,'RAWDATA Cars Buyers DB'!$A:$A,'RAWDATA Cars Buyers DB'!H:H)</f>
        <v>No</v>
      </c>
      <c r="I1018" s="8" t="str">
        <f>_xlfn.XLOOKUP($A1018,'RAWDATA Cars Buyers DB'!$A:$A,'RAWDATA Cars Buyers DB'!I:I)</f>
        <v>4–6 Kilometre</v>
      </c>
      <c r="J1018" s="8" t="str">
        <f>_xlfn.XLOOKUP($A1018,'RAWDATA Cars Buyers DB'!$A:$A,'RAWDATA Cars Buyers DB'!J:J)</f>
        <v>Schleswig-Holstein</v>
      </c>
      <c r="K1018" s="8">
        <f>_xlfn.XLOOKUP($A1018,'RAWDATA Cars Buyers DB'!$A:$A,'RAWDATA Cars Buyers DB'!K:K)</f>
        <v>69</v>
      </c>
      <c r="L1018" s="10" t="str">
        <f>IF(_xlfn.XLOOKUP($A1018,'RAWDATA Cars Buyers DB'!$A:$A,'RAWDATA Cars Buyers DB'!K:K)&gt;54,"Old ",IF(_xlfn.XLOOKUP($A1018,'RAWDATA Cars Buyers DB'!$A:$A,'RAWDATA Cars Buyers DB'!K:K)&gt;=31,"Middle Age ",IF(_xlfn.XLOOKUP($A1018,'RAWDATA Cars Buyers DB'!$A:$A,'RAWDATA Cars Buyers DB'!K:K)&lt;31,"Adolescent","Invalid")))</f>
        <v xml:space="preserve">Old </v>
      </c>
      <c r="M1018" s="8" t="str">
        <f>_xlfn.XLOOKUP($A1018,'RAWDATA Cars Buyers DB'!$A:$A,'RAWDATA Cars Buyers DB'!L:L)</f>
        <v>No</v>
      </c>
    </row>
    <row r="1019" spans="1:13">
      <c r="A1019" s="6">
        <v>29096</v>
      </c>
      <c r="B1019" s="10" t="str">
        <f>IF(_xlfn.XLOOKUP($A1019,'RAWDATA Cars Buyers DB'!$A:$A,'RAWDATA Cars Buyers DB'!B:B)="S","Single","Married")</f>
        <v>Single</v>
      </c>
      <c r="C1019" s="10" t="str">
        <f>IF(_xlfn.XLOOKUP($A1019,'RAWDATA Cars Buyers DB'!$A:$A,'RAWDATA Cars Buyers DB'!C:C)="F","Female","Male")</f>
        <v>Female</v>
      </c>
      <c r="D1019" s="7">
        <f>_xlfn.XLOOKUP($A1019,'RAWDATA Cars Buyers DB'!$A:$A,'RAWDATA Cars Buyers DB'!D:D)</f>
        <v>108499</v>
      </c>
      <c r="E1019" s="8">
        <f>_xlfn.XLOOKUP($A1019,'RAWDATA Cars Buyers DB'!$A:$A,'RAWDATA Cars Buyers DB'!E:E)</f>
        <v>4</v>
      </c>
      <c r="F1019" s="8" t="str">
        <f>_xlfn.XLOOKUP($A1019,'RAWDATA Cars Buyers DB'!$A:$A,'RAWDATA Cars Buyers DB'!F:F)</f>
        <v>High School</v>
      </c>
      <c r="G1019" s="8" t="str">
        <f>_xlfn.XLOOKUP($A1019,'RAWDATA Cars Buyers DB'!$A:$A,'RAWDATA Cars Buyers DB'!G:G)</f>
        <v>Professional</v>
      </c>
      <c r="H1019" s="8" t="str">
        <f>_xlfn.XLOOKUP($A1019,'RAWDATA Cars Buyers DB'!$A:$A,'RAWDATA Cars Buyers DB'!H:H)</f>
        <v>Yes</v>
      </c>
      <c r="I1019" s="8" t="str">
        <f>_xlfn.XLOOKUP($A1019,'RAWDATA Cars Buyers DB'!$A:$A,'RAWDATA Cars Buyers DB'!I:I)</f>
        <v>0–1 Kilometre</v>
      </c>
      <c r="J1019" s="8" t="str">
        <f>_xlfn.XLOOKUP($A1019,'RAWDATA Cars Buyers DB'!$A:$A,'RAWDATA Cars Buyers DB'!J:J)</f>
        <v>Hamburg</v>
      </c>
      <c r="K1019" s="8">
        <f>_xlfn.XLOOKUP($A1019,'RAWDATA Cars Buyers DB'!$A:$A,'RAWDATA Cars Buyers DB'!K:K)</f>
        <v>50</v>
      </c>
      <c r="L1019" s="10" t="str">
        <f>IF(_xlfn.XLOOKUP($A1019,'RAWDATA Cars Buyers DB'!$A:$A,'RAWDATA Cars Buyers DB'!K:K)&gt;54,"Old ",IF(_xlfn.XLOOKUP($A1019,'RAWDATA Cars Buyers DB'!$A:$A,'RAWDATA Cars Buyers DB'!K:K)&gt;=31,"Middle Age ",IF(_xlfn.XLOOKUP($A1019,'RAWDATA Cars Buyers DB'!$A:$A,'RAWDATA Cars Buyers DB'!K:K)&lt;31,"Adolescent","Invalid")))</f>
        <v xml:space="preserve">Middle Age </v>
      </c>
      <c r="M1019" s="8" t="str">
        <f>_xlfn.XLOOKUP($A1019,'RAWDATA Cars Buyers DB'!$A:$A,'RAWDATA Cars Buyers DB'!L:L)</f>
        <v>Yes</v>
      </c>
    </row>
    <row r="1020" spans="1:13">
      <c r="A1020" s="6">
        <v>77728</v>
      </c>
      <c r="B1020" s="10" t="str">
        <f>IF(_xlfn.XLOOKUP($A1020,'RAWDATA Cars Buyers DB'!$A:$A,'RAWDATA Cars Buyers DB'!B:B)="S","Single","Married")</f>
        <v>Single</v>
      </c>
      <c r="C1020" s="10" t="str">
        <f>IF(_xlfn.XLOOKUP($A1020,'RAWDATA Cars Buyers DB'!$A:$A,'RAWDATA Cars Buyers DB'!C:C)="F","Female","Male")</f>
        <v>Male</v>
      </c>
      <c r="D1020" s="7">
        <f>_xlfn.XLOOKUP($A1020,'RAWDATA Cars Buyers DB'!$A:$A,'RAWDATA Cars Buyers DB'!D:D)</f>
        <v>98958</v>
      </c>
      <c r="E1020" s="8">
        <f>_xlfn.XLOOKUP($A1020,'RAWDATA Cars Buyers DB'!$A:$A,'RAWDATA Cars Buyers DB'!E:E)</f>
        <v>5</v>
      </c>
      <c r="F1020" s="8" t="str">
        <f>_xlfn.XLOOKUP($A1020,'RAWDATA Cars Buyers DB'!$A:$A,'RAWDATA Cars Buyers DB'!F:F)</f>
        <v>Bachelors</v>
      </c>
      <c r="G1020" s="8" t="str">
        <f>_xlfn.XLOOKUP($A1020,'RAWDATA Cars Buyers DB'!$A:$A,'RAWDATA Cars Buyers DB'!G:G)</f>
        <v>Management</v>
      </c>
      <c r="H1020" s="8" t="str">
        <f>_xlfn.XLOOKUP($A1020,'RAWDATA Cars Buyers DB'!$A:$A,'RAWDATA Cars Buyers DB'!H:H)</f>
        <v>No</v>
      </c>
      <c r="I1020" s="8" t="str">
        <f>_xlfn.XLOOKUP($A1020,'RAWDATA Cars Buyers DB'!$A:$A,'RAWDATA Cars Buyers DB'!I:I)</f>
        <v>6+ Kilometre</v>
      </c>
      <c r="J1020" s="8" t="str">
        <f>_xlfn.XLOOKUP($A1020,'RAWDATA Cars Buyers DB'!$A:$A,'RAWDATA Cars Buyers DB'!J:J)</f>
        <v>Thuringia</v>
      </c>
      <c r="K1020" s="8">
        <f>_xlfn.XLOOKUP($A1020,'RAWDATA Cars Buyers DB'!$A:$A,'RAWDATA Cars Buyers DB'!K:K)</f>
        <v>23</v>
      </c>
      <c r="L1020" s="10" t="str">
        <f>IF(_xlfn.XLOOKUP($A1020,'RAWDATA Cars Buyers DB'!$A:$A,'RAWDATA Cars Buyers DB'!K:K)&gt;54,"Old ",IF(_xlfn.XLOOKUP($A1020,'RAWDATA Cars Buyers DB'!$A:$A,'RAWDATA Cars Buyers DB'!K:K)&gt;=31,"Middle Age ",IF(_xlfn.XLOOKUP($A1020,'RAWDATA Cars Buyers DB'!$A:$A,'RAWDATA Cars Buyers DB'!K:K)&lt;31,"Adolescent","Invalid")))</f>
        <v>Adolescent</v>
      </c>
      <c r="M1020" s="8" t="str">
        <f>_xlfn.XLOOKUP($A1020,'RAWDATA Cars Buyers DB'!$A:$A,'RAWDATA Cars Buyers DB'!L:L)</f>
        <v>No</v>
      </c>
    </row>
    <row r="1021" spans="1:13">
      <c r="A1021" s="6">
        <v>44016</v>
      </c>
      <c r="B1021" s="10" t="str">
        <f>IF(_xlfn.XLOOKUP($A1021,'RAWDATA Cars Buyers DB'!$A:$A,'RAWDATA Cars Buyers DB'!B:B)="S","Single","Married")</f>
        <v>Married</v>
      </c>
      <c r="C1021" s="10" t="str">
        <f>IF(_xlfn.XLOOKUP($A1021,'RAWDATA Cars Buyers DB'!$A:$A,'RAWDATA Cars Buyers DB'!C:C)="F","Female","Male")</f>
        <v>Female</v>
      </c>
      <c r="D1021" s="7">
        <f>_xlfn.XLOOKUP($A1021,'RAWDATA Cars Buyers DB'!$A:$A,'RAWDATA Cars Buyers DB'!D:D)</f>
        <v>52920</v>
      </c>
      <c r="E1021" s="8">
        <f>_xlfn.XLOOKUP($A1021,'RAWDATA Cars Buyers DB'!$A:$A,'RAWDATA Cars Buyers DB'!E:E)</f>
        <v>2</v>
      </c>
      <c r="F1021" s="8" t="str">
        <f>_xlfn.XLOOKUP($A1021,'RAWDATA Cars Buyers DB'!$A:$A,'RAWDATA Cars Buyers DB'!F:F)</f>
        <v>Bachelors</v>
      </c>
      <c r="G1021" s="8" t="str">
        <f>_xlfn.XLOOKUP($A1021,'RAWDATA Cars Buyers DB'!$A:$A,'RAWDATA Cars Buyers DB'!G:G)</f>
        <v>Professional</v>
      </c>
      <c r="H1021" s="8" t="str">
        <f>_xlfn.XLOOKUP($A1021,'RAWDATA Cars Buyers DB'!$A:$A,'RAWDATA Cars Buyers DB'!H:H)</f>
        <v>Yes</v>
      </c>
      <c r="I1021" s="8" t="str">
        <f>_xlfn.XLOOKUP($A1021,'RAWDATA Cars Buyers DB'!$A:$A,'RAWDATA Cars Buyers DB'!I:I)</f>
        <v>2–4 Kilometre</v>
      </c>
      <c r="J1021" s="8" t="str">
        <f>_xlfn.XLOOKUP($A1021,'RAWDATA Cars Buyers DB'!$A:$A,'RAWDATA Cars Buyers DB'!J:J)</f>
        <v>Saarland</v>
      </c>
      <c r="K1021" s="8">
        <f>_xlfn.XLOOKUP($A1021,'RAWDATA Cars Buyers DB'!$A:$A,'RAWDATA Cars Buyers DB'!K:K)</f>
        <v>57</v>
      </c>
      <c r="L1021" s="10" t="str">
        <f>IF(_xlfn.XLOOKUP($A1021,'RAWDATA Cars Buyers DB'!$A:$A,'RAWDATA Cars Buyers DB'!K:K)&gt;54,"Old ",IF(_xlfn.XLOOKUP($A1021,'RAWDATA Cars Buyers DB'!$A:$A,'RAWDATA Cars Buyers DB'!K:K)&gt;=31,"Middle Age ",IF(_xlfn.XLOOKUP($A1021,'RAWDATA Cars Buyers DB'!$A:$A,'RAWDATA Cars Buyers DB'!K:K)&lt;31,"Adolescent","Invalid")))</f>
        <v xml:space="preserve">Old </v>
      </c>
      <c r="M1021" s="8" t="str">
        <f>_xlfn.XLOOKUP($A1021,'RAWDATA Cars Buyers DB'!$A:$A,'RAWDATA Cars Buyers DB'!L:L)</f>
        <v>Yes</v>
      </c>
    </row>
    <row r="1022" spans="1:13">
      <c r="C1022" s="10"/>
      <c r="D1022" s="16"/>
      <c r="E1022" s="8"/>
      <c r="F1022" s="8"/>
      <c r="G1022" s="8"/>
      <c r="H1022" s="8"/>
      <c r="I1022" s="8"/>
      <c r="J1022" s="8"/>
      <c r="L1022" s="10"/>
      <c r="M1022" s="8"/>
    </row>
    <row r="1023" spans="1:13">
      <c r="C1023" s="10"/>
      <c r="D1023" s="16"/>
      <c r="E1023" s="8"/>
      <c r="F1023" s="8"/>
      <c r="G1023" s="8"/>
      <c r="H1023" s="8"/>
      <c r="I1023" s="8"/>
      <c r="J1023" s="8"/>
      <c r="L1023" s="10"/>
      <c r="M1023" s="8"/>
    </row>
  </sheetData>
  <conditionalFormatting sqref="A2:A1048576 C1024:C1048576">
    <cfRule type="duplicateValues" dxfId="88" priority="2"/>
  </conditionalFormatting>
  <conditionalFormatting sqref="A1">
    <cfRule type="duplicateValues" dxfId="8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L1029"/>
  <sheetViews>
    <sheetView workbookViewId="0"/>
  </sheetViews>
  <sheetFormatPr defaultColWidth="11.85546875" defaultRowHeight="15"/>
  <cols>
    <col min="9" max="9" width="18" bestFit="1" customWidth="1"/>
    <col min="12" max="12" width="15.42578125" customWidth="1"/>
  </cols>
  <sheetData>
    <row r="1" spans="1:12">
      <c r="A1" t="s">
        <v>0</v>
      </c>
      <c r="B1" t="s">
        <v>1</v>
      </c>
      <c r="C1" t="s">
        <v>2</v>
      </c>
      <c r="D1" t="s">
        <v>3</v>
      </c>
      <c r="E1" t="s">
        <v>4</v>
      </c>
      <c r="F1" t="s">
        <v>5</v>
      </c>
      <c r="G1" t="s">
        <v>6</v>
      </c>
      <c r="H1" t="s">
        <v>7</v>
      </c>
      <c r="I1" t="s">
        <v>8</v>
      </c>
      <c r="J1" t="s">
        <v>75</v>
      </c>
      <c r="K1" t="s">
        <v>9</v>
      </c>
      <c r="L1" t="s">
        <v>82</v>
      </c>
    </row>
    <row r="2" spans="1:12">
      <c r="A2">
        <v>25795</v>
      </c>
      <c r="B2" t="s">
        <v>21</v>
      </c>
      <c r="C2" t="s">
        <v>20</v>
      </c>
      <c r="D2" s="1">
        <v>105371</v>
      </c>
      <c r="E2">
        <v>2</v>
      </c>
      <c r="F2" t="s">
        <v>14</v>
      </c>
      <c r="G2" t="s">
        <v>15</v>
      </c>
      <c r="H2" t="s">
        <v>13</v>
      </c>
      <c r="I2" t="s">
        <v>77</v>
      </c>
      <c r="J2" t="s">
        <v>68</v>
      </c>
      <c r="K2">
        <v>48</v>
      </c>
      <c r="L2" t="s">
        <v>13</v>
      </c>
    </row>
    <row r="3" spans="1:12">
      <c r="A3">
        <v>10860</v>
      </c>
      <c r="B3" t="s">
        <v>21</v>
      </c>
      <c r="C3" t="s">
        <v>21</v>
      </c>
      <c r="D3" s="1">
        <v>49033</v>
      </c>
      <c r="E3">
        <v>4</v>
      </c>
      <c r="F3" t="s">
        <v>10</v>
      </c>
      <c r="G3" t="s">
        <v>18</v>
      </c>
      <c r="H3" t="s">
        <v>12</v>
      </c>
      <c r="I3" t="s">
        <v>78</v>
      </c>
      <c r="J3" t="s">
        <v>59</v>
      </c>
      <c r="K3">
        <v>23</v>
      </c>
      <c r="L3" t="s">
        <v>13</v>
      </c>
    </row>
    <row r="4" spans="1:12">
      <c r="A4">
        <v>86820</v>
      </c>
      <c r="B4" t="s">
        <v>21</v>
      </c>
      <c r="C4" t="s">
        <v>21</v>
      </c>
      <c r="D4" s="1">
        <v>44000</v>
      </c>
      <c r="E4">
        <v>4</v>
      </c>
      <c r="F4" t="s">
        <v>10</v>
      </c>
      <c r="G4" t="s">
        <v>16</v>
      </c>
      <c r="H4" t="s">
        <v>13</v>
      </c>
      <c r="I4" t="s">
        <v>79</v>
      </c>
      <c r="J4" t="s">
        <v>63</v>
      </c>
      <c r="K4">
        <v>29</v>
      </c>
      <c r="L4" t="s">
        <v>12</v>
      </c>
    </row>
    <row r="5" spans="1:12">
      <c r="A5">
        <v>64886</v>
      </c>
      <c r="B5" t="s">
        <v>21</v>
      </c>
      <c r="C5" t="s">
        <v>21</v>
      </c>
      <c r="D5" s="1">
        <v>95868</v>
      </c>
      <c r="E5">
        <v>5</v>
      </c>
      <c r="F5" t="s">
        <v>17</v>
      </c>
      <c r="G5" t="s">
        <v>11</v>
      </c>
      <c r="H5" t="s">
        <v>13</v>
      </c>
      <c r="I5" t="s">
        <v>77</v>
      </c>
      <c r="J5" t="s">
        <v>70</v>
      </c>
      <c r="K5">
        <v>44</v>
      </c>
      <c r="L5" t="s">
        <v>13</v>
      </c>
    </row>
    <row r="6" spans="1:12">
      <c r="A6">
        <v>16265</v>
      </c>
      <c r="B6" t="s">
        <v>21</v>
      </c>
      <c r="C6" t="s">
        <v>20</v>
      </c>
      <c r="D6" s="1">
        <v>62604</v>
      </c>
      <c r="E6">
        <v>0</v>
      </c>
      <c r="F6" t="s">
        <v>10</v>
      </c>
      <c r="G6" t="s">
        <v>11</v>
      </c>
      <c r="H6" t="s">
        <v>12</v>
      </c>
      <c r="I6" t="s">
        <v>78</v>
      </c>
      <c r="J6" t="s">
        <v>61</v>
      </c>
      <c r="K6">
        <v>50</v>
      </c>
      <c r="L6" t="s">
        <v>13</v>
      </c>
    </row>
    <row r="7" spans="1:12">
      <c r="A7">
        <v>92386</v>
      </c>
      <c r="B7" t="s">
        <v>21</v>
      </c>
      <c r="C7" t="s">
        <v>21</v>
      </c>
      <c r="D7" s="1">
        <v>88336</v>
      </c>
      <c r="E7">
        <v>0</v>
      </c>
      <c r="F7" t="s">
        <v>17</v>
      </c>
      <c r="G7" t="s">
        <v>11</v>
      </c>
      <c r="H7" t="s">
        <v>13</v>
      </c>
      <c r="I7" t="s">
        <v>79</v>
      </c>
      <c r="J7" t="s">
        <v>73</v>
      </c>
      <c r="K7">
        <v>22</v>
      </c>
      <c r="L7" t="s">
        <v>12</v>
      </c>
    </row>
    <row r="8" spans="1:12">
      <c r="A8">
        <v>10860</v>
      </c>
      <c r="B8" t="s">
        <v>21</v>
      </c>
      <c r="C8" t="s">
        <v>21</v>
      </c>
      <c r="D8" s="1">
        <v>49033</v>
      </c>
      <c r="E8">
        <v>4</v>
      </c>
      <c r="F8" t="s">
        <v>10</v>
      </c>
      <c r="G8" t="s">
        <v>18</v>
      </c>
      <c r="H8" t="s">
        <v>12</v>
      </c>
      <c r="I8" t="s">
        <v>78</v>
      </c>
      <c r="J8" t="s">
        <v>59</v>
      </c>
      <c r="K8">
        <v>23</v>
      </c>
      <c r="L8" t="s">
        <v>13</v>
      </c>
    </row>
    <row r="9" spans="1:12">
      <c r="A9">
        <v>47194</v>
      </c>
      <c r="B9" t="s">
        <v>21</v>
      </c>
      <c r="C9" t="s">
        <v>20</v>
      </c>
      <c r="D9" s="1">
        <v>115074</v>
      </c>
      <c r="E9">
        <v>0</v>
      </c>
      <c r="F9" t="s">
        <v>17</v>
      </c>
      <c r="G9" t="s">
        <v>16</v>
      </c>
      <c r="H9" t="s">
        <v>12</v>
      </c>
      <c r="I9" t="s">
        <v>80</v>
      </c>
      <c r="J9" t="s">
        <v>72</v>
      </c>
      <c r="K9">
        <v>66</v>
      </c>
      <c r="L9" t="s">
        <v>12</v>
      </c>
    </row>
    <row r="10" spans="1:12">
      <c r="A10">
        <v>97498</v>
      </c>
      <c r="B10" t="s">
        <v>22</v>
      </c>
      <c r="C10" t="s">
        <v>21</v>
      </c>
      <c r="D10" s="1">
        <v>115655</v>
      </c>
      <c r="E10">
        <v>2</v>
      </c>
      <c r="F10" t="s">
        <v>19</v>
      </c>
      <c r="G10" t="s">
        <v>18</v>
      </c>
      <c r="H10" t="s">
        <v>12</v>
      </c>
      <c r="I10" t="s">
        <v>79</v>
      </c>
      <c r="J10" t="s">
        <v>61</v>
      </c>
      <c r="K10">
        <v>21</v>
      </c>
      <c r="L10" t="s">
        <v>12</v>
      </c>
    </row>
    <row r="11" spans="1:12">
      <c r="A11">
        <v>54131</v>
      </c>
      <c r="B11" t="s">
        <v>22</v>
      </c>
      <c r="C11" t="s">
        <v>21</v>
      </c>
      <c r="D11" s="1">
        <v>93869</v>
      </c>
      <c r="E11">
        <v>3</v>
      </c>
      <c r="F11" t="s">
        <v>17</v>
      </c>
      <c r="G11" t="s">
        <v>18</v>
      </c>
      <c r="H11" t="s">
        <v>12</v>
      </c>
      <c r="I11" t="s">
        <v>81</v>
      </c>
      <c r="J11" t="s">
        <v>61</v>
      </c>
      <c r="K11">
        <v>44</v>
      </c>
      <c r="L11" t="s">
        <v>13</v>
      </c>
    </row>
    <row r="12" spans="1:12">
      <c r="A12">
        <v>70263</v>
      </c>
      <c r="B12" t="s">
        <v>21</v>
      </c>
      <c r="C12" t="s">
        <v>21</v>
      </c>
      <c r="D12" s="1">
        <v>25410</v>
      </c>
      <c r="E12">
        <v>0</v>
      </c>
      <c r="F12" t="s">
        <v>17</v>
      </c>
      <c r="G12" t="s">
        <v>15</v>
      </c>
      <c r="H12" t="s">
        <v>12</v>
      </c>
      <c r="I12" t="s">
        <v>79</v>
      </c>
      <c r="J12" t="s">
        <v>67</v>
      </c>
      <c r="K12">
        <v>68</v>
      </c>
      <c r="L12" t="s">
        <v>12</v>
      </c>
    </row>
    <row r="13" spans="1:12">
      <c r="A13">
        <v>26023</v>
      </c>
      <c r="B13" t="s">
        <v>22</v>
      </c>
      <c r="C13" t="s">
        <v>20</v>
      </c>
      <c r="D13" s="1">
        <v>103375</v>
      </c>
      <c r="E13">
        <v>0</v>
      </c>
      <c r="F13" t="s">
        <v>19</v>
      </c>
      <c r="G13" t="s">
        <v>16</v>
      </c>
      <c r="H13" t="s">
        <v>12</v>
      </c>
      <c r="I13" t="s">
        <v>81</v>
      </c>
      <c r="J13" t="s">
        <v>72</v>
      </c>
      <c r="K13">
        <v>25</v>
      </c>
      <c r="L13" t="s">
        <v>13</v>
      </c>
    </row>
    <row r="14" spans="1:12">
      <c r="A14">
        <v>51090</v>
      </c>
      <c r="B14" t="s">
        <v>21</v>
      </c>
      <c r="C14" t="s">
        <v>20</v>
      </c>
      <c r="D14" s="1">
        <v>76044</v>
      </c>
      <c r="E14">
        <v>1</v>
      </c>
      <c r="F14" t="s">
        <v>10</v>
      </c>
      <c r="G14" t="s">
        <v>18</v>
      </c>
      <c r="H14" t="s">
        <v>13</v>
      </c>
      <c r="I14" t="s">
        <v>78</v>
      </c>
      <c r="J14" t="s">
        <v>66</v>
      </c>
      <c r="K14">
        <v>45</v>
      </c>
      <c r="L14" t="s">
        <v>13</v>
      </c>
    </row>
    <row r="15" spans="1:12">
      <c r="A15">
        <v>77221</v>
      </c>
      <c r="B15" t="s">
        <v>22</v>
      </c>
      <c r="C15" t="s">
        <v>20</v>
      </c>
      <c r="D15" s="1">
        <v>83315</v>
      </c>
      <c r="E15">
        <v>2</v>
      </c>
      <c r="F15" t="s">
        <v>14</v>
      </c>
      <c r="G15" t="s">
        <v>16</v>
      </c>
      <c r="H15" t="s">
        <v>13</v>
      </c>
      <c r="I15" t="s">
        <v>79</v>
      </c>
      <c r="J15" t="s">
        <v>73</v>
      </c>
      <c r="K15">
        <v>27</v>
      </c>
      <c r="L15" t="s">
        <v>12</v>
      </c>
    </row>
    <row r="16" spans="1:12">
      <c r="A16">
        <v>74820</v>
      </c>
      <c r="B16" t="s">
        <v>22</v>
      </c>
      <c r="C16" t="s">
        <v>21</v>
      </c>
      <c r="D16" s="1">
        <v>116055</v>
      </c>
      <c r="E16">
        <v>5</v>
      </c>
      <c r="F16" t="s">
        <v>14</v>
      </c>
      <c r="G16" t="s">
        <v>15</v>
      </c>
      <c r="H16" t="s">
        <v>13</v>
      </c>
      <c r="I16" t="s">
        <v>78</v>
      </c>
      <c r="J16" t="s">
        <v>71</v>
      </c>
      <c r="K16">
        <v>54</v>
      </c>
      <c r="L16" t="s">
        <v>13</v>
      </c>
    </row>
    <row r="17" spans="1:12">
      <c r="A17">
        <v>10769</v>
      </c>
      <c r="B17" t="s">
        <v>22</v>
      </c>
      <c r="C17" t="s">
        <v>21</v>
      </c>
      <c r="D17" s="1">
        <v>91344</v>
      </c>
      <c r="E17">
        <v>0</v>
      </c>
      <c r="F17" t="s">
        <v>14</v>
      </c>
      <c r="G17" t="s">
        <v>15</v>
      </c>
      <c r="H17" t="s">
        <v>12</v>
      </c>
      <c r="I17" t="s">
        <v>78</v>
      </c>
      <c r="J17" t="s">
        <v>74</v>
      </c>
      <c r="K17">
        <v>46</v>
      </c>
      <c r="L17" t="s">
        <v>12</v>
      </c>
    </row>
    <row r="18" spans="1:12">
      <c r="A18">
        <v>69735</v>
      </c>
      <c r="B18" t="s">
        <v>22</v>
      </c>
      <c r="C18" t="s">
        <v>20</v>
      </c>
      <c r="D18" s="1">
        <v>26796</v>
      </c>
      <c r="E18">
        <v>1</v>
      </c>
      <c r="F18" t="s">
        <v>10</v>
      </c>
      <c r="G18" t="s">
        <v>15</v>
      </c>
      <c r="H18" t="s">
        <v>13</v>
      </c>
      <c r="I18" t="s">
        <v>77</v>
      </c>
      <c r="J18" t="s">
        <v>70</v>
      </c>
      <c r="K18">
        <v>44</v>
      </c>
      <c r="L18" t="s">
        <v>13</v>
      </c>
    </row>
    <row r="19" spans="1:12">
      <c r="A19">
        <v>72955</v>
      </c>
      <c r="B19" t="s">
        <v>22</v>
      </c>
      <c r="C19" t="s">
        <v>20</v>
      </c>
      <c r="D19" s="1">
        <v>106716</v>
      </c>
      <c r="E19">
        <v>4</v>
      </c>
      <c r="F19" t="s">
        <v>17</v>
      </c>
      <c r="G19" t="s">
        <v>11</v>
      </c>
      <c r="H19" t="s">
        <v>13</v>
      </c>
      <c r="I19" t="s">
        <v>78</v>
      </c>
      <c r="J19" t="s">
        <v>63</v>
      </c>
      <c r="K19">
        <v>37</v>
      </c>
      <c r="L19" t="s">
        <v>12</v>
      </c>
    </row>
    <row r="20" spans="1:12">
      <c r="A20">
        <v>74925</v>
      </c>
      <c r="B20" t="s">
        <v>22</v>
      </c>
      <c r="C20" t="s">
        <v>20</v>
      </c>
      <c r="D20" s="1">
        <v>74245</v>
      </c>
      <c r="E20">
        <v>5</v>
      </c>
      <c r="F20" t="s">
        <v>14</v>
      </c>
      <c r="G20" t="s">
        <v>16</v>
      </c>
      <c r="H20" t="s">
        <v>13</v>
      </c>
      <c r="I20" t="s">
        <v>78</v>
      </c>
      <c r="J20" t="s">
        <v>62</v>
      </c>
      <c r="K20">
        <v>20</v>
      </c>
      <c r="L20" t="s">
        <v>13</v>
      </c>
    </row>
    <row r="21" spans="1:12">
      <c r="A21">
        <v>77969</v>
      </c>
      <c r="B21" t="s">
        <v>21</v>
      </c>
      <c r="C21" t="s">
        <v>20</v>
      </c>
      <c r="D21" s="1">
        <v>63056</v>
      </c>
      <c r="E21">
        <v>0</v>
      </c>
      <c r="F21" t="s">
        <v>10</v>
      </c>
      <c r="G21" t="s">
        <v>15</v>
      </c>
      <c r="H21" t="s">
        <v>13</v>
      </c>
      <c r="I21" t="s">
        <v>79</v>
      </c>
      <c r="J21" t="s">
        <v>66</v>
      </c>
      <c r="K21">
        <v>67</v>
      </c>
      <c r="L21" t="s">
        <v>12</v>
      </c>
    </row>
    <row r="22" spans="1:12">
      <c r="A22">
        <v>15311</v>
      </c>
      <c r="B22" t="s">
        <v>21</v>
      </c>
      <c r="C22" t="s">
        <v>20</v>
      </c>
      <c r="D22" s="1">
        <v>37709</v>
      </c>
      <c r="E22">
        <v>0</v>
      </c>
      <c r="F22" t="s">
        <v>17</v>
      </c>
      <c r="G22" t="s">
        <v>16</v>
      </c>
      <c r="H22" t="s">
        <v>13</v>
      </c>
      <c r="I22" t="s">
        <v>79</v>
      </c>
      <c r="J22" t="s">
        <v>59</v>
      </c>
      <c r="K22">
        <v>58</v>
      </c>
      <c r="L22" t="s">
        <v>13</v>
      </c>
    </row>
    <row r="23" spans="1:12">
      <c r="A23">
        <v>93104</v>
      </c>
      <c r="B23" t="s">
        <v>22</v>
      </c>
      <c r="C23" t="s">
        <v>20</v>
      </c>
      <c r="D23" s="1">
        <v>78557</v>
      </c>
      <c r="E23">
        <v>1</v>
      </c>
      <c r="F23" t="s">
        <v>19</v>
      </c>
      <c r="G23" t="s">
        <v>11</v>
      </c>
      <c r="H23" t="s">
        <v>12</v>
      </c>
      <c r="I23" t="s">
        <v>80</v>
      </c>
      <c r="J23" t="s">
        <v>70</v>
      </c>
      <c r="K23">
        <v>22</v>
      </c>
      <c r="L23" t="s">
        <v>13</v>
      </c>
    </row>
    <row r="24" spans="1:12">
      <c r="A24">
        <v>63707</v>
      </c>
      <c r="B24" t="s">
        <v>21</v>
      </c>
      <c r="C24" t="s">
        <v>21</v>
      </c>
      <c r="D24" s="1">
        <v>37543</v>
      </c>
      <c r="E24">
        <v>2</v>
      </c>
      <c r="F24" t="s">
        <v>14</v>
      </c>
      <c r="G24" t="s">
        <v>11</v>
      </c>
      <c r="H24" t="s">
        <v>12</v>
      </c>
      <c r="I24" t="s">
        <v>77</v>
      </c>
      <c r="J24" t="s">
        <v>65</v>
      </c>
      <c r="K24">
        <v>23</v>
      </c>
      <c r="L24" t="s">
        <v>12</v>
      </c>
    </row>
    <row r="25" spans="1:12">
      <c r="A25">
        <v>95305</v>
      </c>
      <c r="B25" t="s">
        <v>22</v>
      </c>
      <c r="C25" t="s">
        <v>20</v>
      </c>
      <c r="D25" s="1">
        <v>57418</v>
      </c>
      <c r="E25">
        <v>0</v>
      </c>
      <c r="F25" t="s">
        <v>17</v>
      </c>
      <c r="G25" t="s">
        <v>15</v>
      </c>
      <c r="H25" t="s">
        <v>13</v>
      </c>
      <c r="I25" t="s">
        <v>78</v>
      </c>
      <c r="J25" t="s">
        <v>60</v>
      </c>
      <c r="K25">
        <v>60</v>
      </c>
      <c r="L25" t="s">
        <v>13</v>
      </c>
    </row>
    <row r="26" spans="1:12">
      <c r="A26">
        <v>38693</v>
      </c>
      <c r="B26" t="s">
        <v>21</v>
      </c>
      <c r="C26" t="s">
        <v>21</v>
      </c>
      <c r="D26" s="1">
        <v>114611</v>
      </c>
      <c r="E26">
        <v>4</v>
      </c>
      <c r="F26" t="s">
        <v>14</v>
      </c>
      <c r="G26" t="s">
        <v>15</v>
      </c>
      <c r="H26" t="s">
        <v>12</v>
      </c>
      <c r="I26" t="s">
        <v>77</v>
      </c>
      <c r="J26" t="s">
        <v>69</v>
      </c>
      <c r="K26">
        <v>56</v>
      </c>
      <c r="L26" t="s">
        <v>12</v>
      </c>
    </row>
    <row r="27" spans="1:12">
      <c r="A27">
        <v>81932</v>
      </c>
      <c r="B27" t="s">
        <v>21</v>
      </c>
      <c r="C27" t="s">
        <v>21</v>
      </c>
      <c r="D27" s="1">
        <v>116038</v>
      </c>
      <c r="E27">
        <v>0</v>
      </c>
      <c r="F27" t="s">
        <v>14</v>
      </c>
      <c r="G27" t="s">
        <v>18</v>
      </c>
      <c r="H27" t="s">
        <v>12</v>
      </c>
      <c r="I27" t="s">
        <v>81</v>
      </c>
      <c r="J27" t="s">
        <v>60</v>
      </c>
      <c r="K27">
        <v>34</v>
      </c>
      <c r="L27" t="s">
        <v>13</v>
      </c>
    </row>
    <row r="28" spans="1:12">
      <c r="A28">
        <v>35658</v>
      </c>
      <c r="B28" t="s">
        <v>21</v>
      </c>
      <c r="C28" t="s">
        <v>20</v>
      </c>
      <c r="D28" s="1">
        <v>36724</v>
      </c>
      <c r="E28">
        <v>4</v>
      </c>
      <c r="F28" t="s">
        <v>14</v>
      </c>
      <c r="G28" t="s">
        <v>16</v>
      </c>
      <c r="H28" t="s">
        <v>13</v>
      </c>
      <c r="I28" t="s">
        <v>78</v>
      </c>
      <c r="J28" t="s">
        <v>70</v>
      </c>
      <c r="K28">
        <v>27</v>
      </c>
      <c r="L28" t="s">
        <v>13</v>
      </c>
    </row>
    <row r="29" spans="1:12">
      <c r="A29">
        <v>94478</v>
      </c>
      <c r="B29" t="s">
        <v>21</v>
      </c>
      <c r="C29" t="s">
        <v>20</v>
      </c>
      <c r="D29" s="1">
        <v>23828</v>
      </c>
      <c r="E29">
        <v>5</v>
      </c>
      <c r="F29" t="s">
        <v>17</v>
      </c>
      <c r="G29" t="s">
        <v>15</v>
      </c>
      <c r="H29" t="s">
        <v>13</v>
      </c>
      <c r="I29" t="s">
        <v>77</v>
      </c>
      <c r="J29" t="s">
        <v>67</v>
      </c>
      <c r="K29">
        <v>57</v>
      </c>
      <c r="L29" t="s">
        <v>12</v>
      </c>
    </row>
    <row r="30" spans="1:12">
      <c r="A30">
        <v>28431</v>
      </c>
      <c r="B30" t="s">
        <v>22</v>
      </c>
      <c r="C30" t="s">
        <v>21</v>
      </c>
      <c r="D30" s="1">
        <v>37087</v>
      </c>
      <c r="E30">
        <v>5</v>
      </c>
      <c r="F30" t="s">
        <v>10</v>
      </c>
      <c r="G30" t="s">
        <v>18</v>
      </c>
      <c r="H30" t="s">
        <v>12</v>
      </c>
      <c r="I30" t="s">
        <v>80</v>
      </c>
      <c r="J30" t="s">
        <v>61</v>
      </c>
      <c r="K30">
        <v>69</v>
      </c>
      <c r="L30" t="s">
        <v>12</v>
      </c>
    </row>
    <row r="31" spans="1:12">
      <c r="A31">
        <v>12747</v>
      </c>
      <c r="B31" t="s">
        <v>21</v>
      </c>
      <c r="C31" t="s">
        <v>20</v>
      </c>
      <c r="D31" s="1">
        <v>32605</v>
      </c>
      <c r="E31">
        <v>3</v>
      </c>
      <c r="F31" t="s">
        <v>17</v>
      </c>
      <c r="G31" t="s">
        <v>16</v>
      </c>
      <c r="H31" t="s">
        <v>13</v>
      </c>
      <c r="I31" t="s">
        <v>80</v>
      </c>
      <c r="J31" t="s">
        <v>69</v>
      </c>
      <c r="K31">
        <v>38</v>
      </c>
      <c r="L31" t="s">
        <v>12</v>
      </c>
    </row>
    <row r="32" spans="1:12">
      <c r="A32">
        <v>69150</v>
      </c>
      <c r="B32" t="s">
        <v>21</v>
      </c>
      <c r="C32" t="s">
        <v>20</v>
      </c>
      <c r="D32" s="1">
        <v>51337</v>
      </c>
      <c r="E32">
        <v>3</v>
      </c>
      <c r="F32" t="s">
        <v>14</v>
      </c>
      <c r="G32" t="s">
        <v>15</v>
      </c>
      <c r="H32" t="s">
        <v>12</v>
      </c>
      <c r="I32" t="s">
        <v>78</v>
      </c>
      <c r="J32" t="s">
        <v>71</v>
      </c>
      <c r="K32">
        <v>66</v>
      </c>
      <c r="L32" t="s">
        <v>13</v>
      </c>
    </row>
    <row r="33" spans="1:12">
      <c r="A33">
        <v>75725</v>
      </c>
      <c r="B33" t="s">
        <v>21</v>
      </c>
      <c r="C33" t="s">
        <v>21</v>
      </c>
      <c r="D33" s="1">
        <v>25482</v>
      </c>
      <c r="E33">
        <v>4</v>
      </c>
      <c r="F33" t="s">
        <v>17</v>
      </c>
      <c r="G33" t="s">
        <v>18</v>
      </c>
      <c r="H33" t="s">
        <v>12</v>
      </c>
      <c r="I33" t="s">
        <v>81</v>
      </c>
      <c r="J33" t="s">
        <v>72</v>
      </c>
      <c r="K33">
        <v>45</v>
      </c>
      <c r="L33" t="s">
        <v>12</v>
      </c>
    </row>
    <row r="34" spans="1:12">
      <c r="A34">
        <v>94654</v>
      </c>
      <c r="B34" t="s">
        <v>21</v>
      </c>
      <c r="C34" t="s">
        <v>21</v>
      </c>
      <c r="D34" s="1">
        <v>85333</v>
      </c>
      <c r="E34">
        <v>2</v>
      </c>
      <c r="F34" t="s">
        <v>19</v>
      </c>
      <c r="G34" t="s">
        <v>18</v>
      </c>
      <c r="H34" t="s">
        <v>13</v>
      </c>
      <c r="I34" t="s">
        <v>80</v>
      </c>
      <c r="J34" t="s">
        <v>59</v>
      </c>
      <c r="K34">
        <v>58</v>
      </c>
      <c r="L34" t="s">
        <v>12</v>
      </c>
    </row>
    <row r="35" spans="1:12">
      <c r="A35">
        <v>45773</v>
      </c>
      <c r="B35" t="s">
        <v>22</v>
      </c>
      <c r="C35" t="s">
        <v>21</v>
      </c>
      <c r="D35" s="1">
        <v>112541</v>
      </c>
      <c r="E35">
        <v>0</v>
      </c>
      <c r="F35" t="s">
        <v>10</v>
      </c>
      <c r="G35" t="s">
        <v>16</v>
      </c>
      <c r="H35" t="s">
        <v>12</v>
      </c>
      <c r="I35" t="s">
        <v>80</v>
      </c>
      <c r="J35" t="s">
        <v>59</v>
      </c>
      <c r="K35">
        <v>29</v>
      </c>
      <c r="L35" t="s">
        <v>12</v>
      </c>
    </row>
    <row r="36" spans="1:12">
      <c r="A36">
        <v>77435</v>
      </c>
      <c r="B36" t="s">
        <v>21</v>
      </c>
      <c r="C36" t="s">
        <v>20</v>
      </c>
      <c r="D36" s="1">
        <v>108296</v>
      </c>
      <c r="E36">
        <v>0</v>
      </c>
      <c r="F36" t="s">
        <v>17</v>
      </c>
      <c r="G36" t="s">
        <v>18</v>
      </c>
      <c r="H36" t="s">
        <v>12</v>
      </c>
      <c r="I36" t="s">
        <v>81</v>
      </c>
      <c r="J36" t="s">
        <v>69</v>
      </c>
      <c r="K36">
        <v>57</v>
      </c>
      <c r="L36" t="s">
        <v>12</v>
      </c>
    </row>
    <row r="37" spans="1:12">
      <c r="A37">
        <v>66886</v>
      </c>
      <c r="B37" t="s">
        <v>22</v>
      </c>
      <c r="C37" t="s">
        <v>21</v>
      </c>
      <c r="D37" s="1">
        <v>70952</v>
      </c>
      <c r="E37">
        <v>3</v>
      </c>
      <c r="F37" t="s">
        <v>19</v>
      </c>
      <c r="G37" t="s">
        <v>16</v>
      </c>
      <c r="H37" t="s">
        <v>12</v>
      </c>
      <c r="I37" t="s">
        <v>77</v>
      </c>
      <c r="J37" t="s">
        <v>66</v>
      </c>
      <c r="K37">
        <v>33</v>
      </c>
      <c r="L37" t="s">
        <v>13</v>
      </c>
    </row>
    <row r="38" spans="1:12">
      <c r="A38">
        <v>76803</v>
      </c>
      <c r="B38" t="s">
        <v>22</v>
      </c>
      <c r="C38" t="s">
        <v>20</v>
      </c>
      <c r="D38" s="1">
        <v>25463</v>
      </c>
      <c r="E38">
        <v>4</v>
      </c>
      <c r="F38" t="s">
        <v>10</v>
      </c>
      <c r="G38" t="s">
        <v>16</v>
      </c>
      <c r="H38" t="s">
        <v>13</v>
      </c>
      <c r="I38" t="s">
        <v>80</v>
      </c>
      <c r="J38" t="s">
        <v>74</v>
      </c>
      <c r="K38">
        <v>68</v>
      </c>
      <c r="L38" t="s">
        <v>12</v>
      </c>
    </row>
    <row r="39" spans="1:12">
      <c r="A39">
        <v>41551</v>
      </c>
      <c r="B39" t="s">
        <v>22</v>
      </c>
      <c r="C39" t="s">
        <v>21</v>
      </c>
      <c r="D39" s="1">
        <v>90448</v>
      </c>
      <c r="E39">
        <v>0</v>
      </c>
      <c r="F39" t="s">
        <v>19</v>
      </c>
      <c r="G39" t="s">
        <v>16</v>
      </c>
      <c r="H39" t="s">
        <v>13</v>
      </c>
      <c r="I39" t="s">
        <v>79</v>
      </c>
      <c r="J39" t="s">
        <v>67</v>
      </c>
      <c r="K39">
        <v>60</v>
      </c>
      <c r="L39" t="s">
        <v>13</v>
      </c>
    </row>
    <row r="40" spans="1:12">
      <c r="A40">
        <v>21394</v>
      </c>
      <c r="B40" t="s">
        <v>22</v>
      </c>
      <c r="C40" t="s">
        <v>21</v>
      </c>
      <c r="D40" s="1">
        <v>24648</v>
      </c>
      <c r="E40">
        <v>0</v>
      </c>
      <c r="F40" t="s">
        <v>10</v>
      </c>
      <c r="G40" t="s">
        <v>11</v>
      </c>
      <c r="H40" t="s">
        <v>13</v>
      </c>
      <c r="I40" t="s">
        <v>80</v>
      </c>
      <c r="J40" t="s">
        <v>64</v>
      </c>
      <c r="K40">
        <v>38</v>
      </c>
      <c r="L40" t="s">
        <v>13</v>
      </c>
    </row>
    <row r="41" spans="1:12">
      <c r="A41">
        <v>79092</v>
      </c>
      <c r="B41" t="s">
        <v>22</v>
      </c>
      <c r="C41" t="s">
        <v>21</v>
      </c>
      <c r="D41" s="1">
        <v>53623</v>
      </c>
      <c r="E41">
        <v>2</v>
      </c>
      <c r="F41" t="s">
        <v>17</v>
      </c>
      <c r="G41" t="s">
        <v>18</v>
      </c>
      <c r="H41" t="s">
        <v>13</v>
      </c>
      <c r="I41" t="s">
        <v>77</v>
      </c>
      <c r="J41" t="s">
        <v>62</v>
      </c>
      <c r="K41">
        <v>49</v>
      </c>
      <c r="L41" t="s">
        <v>13</v>
      </c>
    </row>
    <row r="42" spans="1:12">
      <c r="A42">
        <v>13890</v>
      </c>
      <c r="B42" t="s">
        <v>22</v>
      </c>
      <c r="C42" t="s">
        <v>20</v>
      </c>
      <c r="D42" s="1">
        <v>79156</v>
      </c>
      <c r="E42">
        <v>1</v>
      </c>
      <c r="F42" t="s">
        <v>19</v>
      </c>
      <c r="G42" t="s">
        <v>16</v>
      </c>
      <c r="H42" t="s">
        <v>12</v>
      </c>
      <c r="I42" t="s">
        <v>77</v>
      </c>
      <c r="J42" t="s">
        <v>60</v>
      </c>
      <c r="K42">
        <v>24</v>
      </c>
      <c r="L42" t="s">
        <v>12</v>
      </c>
    </row>
    <row r="43" spans="1:12">
      <c r="A43">
        <v>51606</v>
      </c>
      <c r="B43" t="s">
        <v>21</v>
      </c>
      <c r="C43" t="s">
        <v>20</v>
      </c>
      <c r="D43" s="1">
        <v>55634</v>
      </c>
      <c r="E43">
        <v>3</v>
      </c>
      <c r="F43" t="s">
        <v>14</v>
      </c>
      <c r="G43" t="s">
        <v>15</v>
      </c>
      <c r="H43" t="s">
        <v>13</v>
      </c>
      <c r="I43" t="s">
        <v>78</v>
      </c>
      <c r="J43" t="s">
        <v>65</v>
      </c>
      <c r="K43">
        <v>50</v>
      </c>
      <c r="L43" t="s">
        <v>13</v>
      </c>
    </row>
    <row r="44" spans="1:12">
      <c r="A44">
        <v>90038</v>
      </c>
      <c r="B44" t="s">
        <v>21</v>
      </c>
      <c r="C44" t="s">
        <v>21</v>
      </c>
      <c r="D44" s="1">
        <v>64602</v>
      </c>
      <c r="E44">
        <v>3</v>
      </c>
      <c r="F44" t="s">
        <v>19</v>
      </c>
      <c r="G44" t="s">
        <v>11</v>
      </c>
      <c r="H44" t="s">
        <v>13</v>
      </c>
      <c r="I44" t="s">
        <v>79</v>
      </c>
      <c r="J44" t="s">
        <v>64</v>
      </c>
      <c r="K44">
        <v>26</v>
      </c>
      <c r="L44" t="s">
        <v>13</v>
      </c>
    </row>
    <row r="45" spans="1:12">
      <c r="A45">
        <v>97313</v>
      </c>
      <c r="B45" t="s">
        <v>21</v>
      </c>
      <c r="C45" t="s">
        <v>21</v>
      </c>
      <c r="D45" s="1">
        <v>69334</v>
      </c>
      <c r="E45">
        <v>1</v>
      </c>
      <c r="F45" t="s">
        <v>10</v>
      </c>
      <c r="G45" t="s">
        <v>11</v>
      </c>
      <c r="H45" t="s">
        <v>13</v>
      </c>
      <c r="I45" t="s">
        <v>77</v>
      </c>
      <c r="J45" t="s">
        <v>65</v>
      </c>
      <c r="K45">
        <v>38</v>
      </c>
      <c r="L45" t="s">
        <v>12</v>
      </c>
    </row>
    <row r="46" spans="1:12">
      <c r="A46">
        <v>20627</v>
      </c>
      <c r="B46" t="s">
        <v>21</v>
      </c>
      <c r="C46" t="s">
        <v>21</v>
      </c>
      <c r="D46" s="1">
        <v>88648</v>
      </c>
      <c r="E46">
        <v>0</v>
      </c>
      <c r="F46" t="s">
        <v>17</v>
      </c>
      <c r="G46" t="s">
        <v>18</v>
      </c>
      <c r="H46" t="s">
        <v>13</v>
      </c>
      <c r="I46" t="s">
        <v>81</v>
      </c>
      <c r="J46" t="s">
        <v>70</v>
      </c>
      <c r="K46">
        <v>50</v>
      </c>
      <c r="L46" t="s">
        <v>12</v>
      </c>
    </row>
    <row r="47" spans="1:12">
      <c r="A47">
        <v>18792</v>
      </c>
      <c r="B47" t="s">
        <v>22</v>
      </c>
      <c r="C47" t="s">
        <v>20</v>
      </c>
      <c r="D47" s="1">
        <v>42054</v>
      </c>
      <c r="E47">
        <v>2</v>
      </c>
      <c r="F47" t="s">
        <v>10</v>
      </c>
      <c r="G47" t="s">
        <v>16</v>
      </c>
      <c r="H47" t="s">
        <v>12</v>
      </c>
      <c r="I47" t="s">
        <v>79</v>
      </c>
      <c r="J47" t="s">
        <v>74</v>
      </c>
      <c r="K47">
        <v>58</v>
      </c>
      <c r="L47" t="s">
        <v>12</v>
      </c>
    </row>
    <row r="48" spans="1:12">
      <c r="A48">
        <v>83969</v>
      </c>
      <c r="B48" t="s">
        <v>22</v>
      </c>
      <c r="C48" t="s">
        <v>21</v>
      </c>
      <c r="D48" s="1">
        <v>90028</v>
      </c>
      <c r="E48">
        <v>2</v>
      </c>
      <c r="F48" t="s">
        <v>19</v>
      </c>
      <c r="G48" t="s">
        <v>18</v>
      </c>
      <c r="H48" t="s">
        <v>12</v>
      </c>
      <c r="I48" t="s">
        <v>79</v>
      </c>
      <c r="J48" t="s">
        <v>65</v>
      </c>
      <c r="K48">
        <v>43</v>
      </c>
      <c r="L48" t="s">
        <v>12</v>
      </c>
    </row>
    <row r="49" spans="1:12">
      <c r="A49">
        <v>53001</v>
      </c>
      <c r="B49" t="s">
        <v>21</v>
      </c>
      <c r="C49" t="s">
        <v>20</v>
      </c>
      <c r="D49" s="1">
        <v>42207</v>
      </c>
      <c r="E49">
        <v>3</v>
      </c>
      <c r="F49" t="s">
        <v>19</v>
      </c>
      <c r="G49" t="s">
        <v>11</v>
      </c>
      <c r="H49" t="s">
        <v>12</v>
      </c>
      <c r="I49" t="s">
        <v>81</v>
      </c>
      <c r="J49" t="s">
        <v>63</v>
      </c>
      <c r="K49">
        <v>53</v>
      </c>
      <c r="L49" t="s">
        <v>12</v>
      </c>
    </row>
    <row r="50" spans="1:12">
      <c r="A50">
        <v>86552</v>
      </c>
      <c r="B50" t="s">
        <v>21</v>
      </c>
      <c r="C50" t="s">
        <v>21</v>
      </c>
      <c r="D50" s="1">
        <v>100650</v>
      </c>
      <c r="E50">
        <v>2</v>
      </c>
      <c r="F50" t="s">
        <v>14</v>
      </c>
      <c r="G50" t="s">
        <v>16</v>
      </c>
      <c r="H50" t="s">
        <v>13</v>
      </c>
      <c r="I50" t="s">
        <v>80</v>
      </c>
      <c r="J50" t="s">
        <v>66</v>
      </c>
      <c r="K50">
        <v>42</v>
      </c>
      <c r="L50" t="s">
        <v>13</v>
      </c>
    </row>
    <row r="51" spans="1:12">
      <c r="A51">
        <v>33897</v>
      </c>
      <c r="B51" t="s">
        <v>21</v>
      </c>
      <c r="C51" t="s">
        <v>21</v>
      </c>
      <c r="D51" s="1">
        <v>119821</v>
      </c>
      <c r="E51">
        <v>5</v>
      </c>
      <c r="F51" t="s">
        <v>17</v>
      </c>
      <c r="G51" t="s">
        <v>15</v>
      </c>
      <c r="H51" t="s">
        <v>13</v>
      </c>
      <c r="I51" t="s">
        <v>81</v>
      </c>
      <c r="J51" t="s">
        <v>63</v>
      </c>
      <c r="K51">
        <v>67</v>
      </c>
      <c r="L51" t="s">
        <v>12</v>
      </c>
    </row>
    <row r="52" spans="1:12">
      <c r="A52">
        <v>78148</v>
      </c>
      <c r="B52" t="s">
        <v>22</v>
      </c>
      <c r="C52" t="s">
        <v>21</v>
      </c>
      <c r="D52" s="1">
        <v>101554</v>
      </c>
      <c r="E52">
        <v>1</v>
      </c>
      <c r="F52" t="s">
        <v>17</v>
      </c>
      <c r="G52" t="s">
        <v>16</v>
      </c>
      <c r="H52" t="s">
        <v>12</v>
      </c>
      <c r="I52" t="s">
        <v>81</v>
      </c>
      <c r="J52" t="s">
        <v>74</v>
      </c>
      <c r="K52">
        <v>64</v>
      </c>
      <c r="L52" t="s">
        <v>13</v>
      </c>
    </row>
    <row r="53" spans="1:12">
      <c r="A53">
        <v>33483</v>
      </c>
      <c r="B53" t="s">
        <v>22</v>
      </c>
      <c r="C53" t="s">
        <v>21</v>
      </c>
      <c r="D53" s="1">
        <v>41386</v>
      </c>
      <c r="E53">
        <v>0</v>
      </c>
      <c r="F53" t="s">
        <v>19</v>
      </c>
      <c r="G53" t="s">
        <v>11</v>
      </c>
      <c r="H53" t="s">
        <v>13</v>
      </c>
      <c r="I53" t="s">
        <v>80</v>
      </c>
      <c r="J53" t="s">
        <v>70</v>
      </c>
      <c r="K53">
        <v>59</v>
      </c>
      <c r="L53" t="s">
        <v>13</v>
      </c>
    </row>
    <row r="54" spans="1:12">
      <c r="A54">
        <v>58555</v>
      </c>
      <c r="B54" t="s">
        <v>21</v>
      </c>
      <c r="C54" t="s">
        <v>21</v>
      </c>
      <c r="D54" s="1">
        <v>103276</v>
      </c>
      <c r="E54">
        <v>5</v>
      </c>
      <c r="F54" t="s">
        <v>17</v>
      </c>
      <c r="G54" t="s">
        <v>15</v>
      </c>
      <c r="H54" t="s">
        <v>13</v>
      </c>
      <c r="I54" t="s">
        <v>80</v>
      </c>
      <c r="J54" t="s">
        <v>71</v>
      </c>
      <c r="K54">
        <v>25</v>
      </c>
      <c r="L54" t="s">
        <v>13</v>
      </c>
    </row>
    <row r="55" spans="1:12">
      <c r="A55">
        <v>27159</v>
      </c>
      <c r="B55" t="s">
        <v>22</v>
      </c>
      <c r="C55" t="s">
        <v>21</v>
      </c>
      <c r="D55" s="1">
        <v>79518</v>
      </c>
      <c r="E55">
        <v>1</v>
      </c>
      <c r="F55" t="s">
        <v>14</v>
      </c>
      <c r="G55" t="s">
        <v>16</v>
      </c>
      <c r="H55" t="s">
        <v>12</v>
      </c>
      <c r="I55" t="s">
        <v>80</v>
      </c>
      <c r="J55" t="s">
        <v>59</v>
      </c>
      <c r="K55">
        <v>57</v>
      </c>
      <c r="L55" t="s">
        <v>13</v>
      </c>
    </row>
    <row r="56" spans="1:12">
      <c r="A56">
        <v>90077</v>
      </c>
      <c r="B56" t="s">
        <v>22</v>
      </c>
      <c r="C56" t="s">
        <v>20</v>
      </c>
      <c r="D56" s="1">
        <v>72781</v>
      </c>
      <c r="E56">
        <v>4</v>
      </c>
      <c r="F56" t="s">
        <v>10</v>
      </c>
      <c r="G56" t="s">
        <v>15</v>
      </c>
      <c r="H56" t="s">
        <v>12</v>
      </c>
      <c r="I56" t="s">
        <v>80</v>
      </c>
      <c r="J56" t="s">
        <v>61</v>
      </c>
      <c r="K56">
        <v>60</v>
      </c>
      <c r="L56" t="s">
        <v>12</v>
      </c>
    </row>
    <row r="57" spans="1:12">
      <c r="A57">
        <v>45920</v>
      </c>
      <c r="B57" t="s">
        <v>21</v>
      </c>
      <c r="C57" t="s">
        <v>21</v>
      </c>
      <c r="D57" s="1">
        <v>72780</v>
      </c>
      <c r="E57">
        <v>3</v>
      </c>
      <c r="F57" t="s">
        <v>17</v>
      </c>
      <c r="G57" t="s">
        <v>15</v>
      </c>
      <c r="H57" t="s">
        <v>13</v>
      </c>
      <c r="I57" t="s">
        <v>80</v>
      </c>
      <c r="J57" t="s">
        <v>60</v>
      </c>
      <c r="K57">
        <v>55</v>
      </c>
      <c r="L57" t="s">
        <v>13</v>
      </c>
    </row>
    <row r="58" spans="1:12">
      <c r="A58">
        <v>77121</v>
      </c>
      <c r="B58" t="s">
        <v>22</v>
      </c>
      <c r="C58" t="s">
        <v>20</v>
      </c>
      <c r="D58" s="1">
        <v>81440</v>
      </c>
      <c r="E58">
        <v>2</v>
      </c>
      <c r="F58" t="s">
        <v>19</v>
      </c>
      <c r="G58" t="s">
        <v>11</v>
      </c>
      <c r="H58" t="s">
        <v>13</v>
      </c>
      <c r="I58" t="s">
        <v>81</v>
      </c>
      <c r="J58" t="s">
        <v>61</v>
      </c>
      <c r="K58">
        <v>46</v>
      </c>
      <c r="L58" t="s">
        <v>13</v>
      </c>
    </row>
    <row r="59" spans="1:12">
      <c r="A59">
        <v>79479</v>
      </c>
      <c r="B59" t="s">
        <v>22</v>
      </c>
      <c r="C59" t="s">
        <v>21</v>
      </c>
      <c r="D59" s="1">
        <v>64199</v>
      </c>
      <c r="E59">
        <v>4</v>
      </c>
      <c r="F59" t="s">
        <v>10</v>
      </c>
      <c r="G59" t="s">
        <v>15</v>
      </c>
      <c r="H59" t="s">
        <v>13</v>
      </c>
      <c r="I59" t="s">
        <v>78</v>
      </c>
      <c r="J59" t="s">
        <v>66</v>
      </c>
      <c r="K59">
        <v>30</v>
      </c>
      <c r="L59" t="s">
        <v>13</v>
      </c>
    </row>
    <row r="60" spans="1:12">
      <c r="A60">
        <v>99475</v>
      </c>
      <c r="B60" t="s">
        <v>21</v>
      </c>
      <c r="C60" t="s">
        <v>21</v>
      </c>
      <c r="D60" s="1">
        <v>81035</v>
      </c>
      <c r="E60">
        <v>2</v>
      </c>
      <c r="F60" t="s">
        <v>10</v>
      </c>
      <c r="G60" t="s">
        <v>18</v>
      </c>
      <c r="H60" t="s">
        <v>12</v>
      </c>
      <c r="I60" t="s">
        <v>78</v>
      </c>
      <c r="J60" t="s">
        <v>67</v>
      </c>
      <c r="K60">
        <v>24</v>
      </c>
      <c r="L60" t="s">
        <v>13</v>
      </c>
    </row>
    <row r="61" spans="1:12">
      <c r="A61">
        <v>29457</v>
      </c>
      <c r="B61" t="s">
        <v>21</v>
      </c>
      <c r="C61" t="s">
        <v>20</v>
      </c>
      <c r="D61" s="1">
        <v>28210</v>
      </c>
      <c r="E61">
        <v>5</v>
      </c>
      <c r="F61" t="s">
        <v>14</v>
      </c>
      <c r="G61" t="s">
        <v>11</v>
      </c>
      <c r="H61" t="s">
        <v>12</v>
      </c>
      <c r="I61" t="s">
        <v>77</v>
      </c>
      <c r="J61" t="s">
        <v>65</v>
      </c>
      <c r="K61">
        <v>36</v>
      </c>
      <c r="L61" t="s">
        <v>12</v>
      </c>
    </row>
    <row r="62" spans="1:12">
      <c r="A62">
        <v>76557</v>
      </c>
      <c r="B62" t="s">
        <v>21</v>
      </c>
      <c r="C62" t="s">
        <v>21</v>
      </c>
      <c r="D62" s="1">
        <v>64363</v>
      </c>
      <c r="E62">
        <v>0</v>
      </c>
      <c r="F62" t="s">
        <v>19</v>
      </c>
      <c r="G62" t="s">
        <v>18</v>
      </c>
      <c r="H62" t="s">
        <v>12</v>
      </c>
      <c r="I62" t="s">
        <v>78</v>
      </c>
      <c r="J62" t="s">
        <v>69</v>
      </c>
      <c r="K62">
        <v>26</v>
      </c>
      <c r="L62" t="s">
        <v>12</v>
      </c>
    </row>
    <row r="63" spans="1:12">
      <c r="A63">
        <v>72955</v>
      </c>
      <c r="B63" t="s">
        <v>22</v>
      </c>
      <c r="C63" t="s">
        <v>20</v>
      </c>
      <c r="D63" s="1">
        <v>106716</v>
      </c>
      <c r="E63">
        <v>4</v>
      </c>
      <c r="F63" t="s">
        <v>17</v>
      </c>
      <c r="G63" t="s">
        <v>11</v>
      </c>
      <c r="H63" t="s">
        <v>13</v>
      </c>
      <c r="I63" t="s">
        <v>78</v>
      </c>
      <c r="J63" t="s">
        <v>63</v>
      </c>
      <c r="K63">
        <v>37</v>
      </c>
      <c r="L63" t="s">
        <v>12</v>
      </c>
    </row>
    <row r="64" spans="1:12">
      <c r="A64">
        <v>87189</v>
      </c>
      <c r="B64" t="s">
        <v>21</v>
      </c>
      <c r="C64" t="s">
        <v>20</v>
      </c>
      <c r="D64" s="1">
        <v>98279</v>
      </c>
      <c r="E64">
        <v>0</v>
      </c>
      <c r="F64" t="s">
        <v>17</v>
      </c>
      <c r="G64" t="s">
        <v>15</v>
      </c>
      <c r="H64" t="s">
        <v>12</v>
      </c>
      <c r="I64" t="s">
        <v>78</v>
      </c>
      <c r="J64" t="s">
        <v>61</v>
      </c>
      <c r="K64">
        <v>46</v>
      </c>
      <c r="L64" t="s">
        <v>13</v>
      </c>
    </row>
    <row r="65" spans="1:12">
      <c r="A65">
        <v>88953</v>
      </c>
      <c r="B65" t="s">
        <v>22</v>
      </c>
      <c r="C65" t="s">
        <v>20</v>
      </c>
      <c r="D65" s="1">
        <v>80348</v>
      </c>
      <c r="E65">
        <v>0</v>
      </c>
      <c r="F65" t="s">
        <v>19</v>
      </c>
      <c r="G65" t="s">
        <v>18</v>
      </c>
      <c r="H65" t="s">
        <v>13</v>
      </c>
      <c r="I65" t="s">
        <v>81</v>
      </c>
      <c r="J65" t="s">
        <v>68</v>
      </c>
      <c r="K65">
        <v>66</v>
      </c>
      <c r="L65" t="s">
        <v>13</v>
      </c>
    </row>
    <row r="66" spans="1:12">
      <c r="A66">
        <v>62995</v>
      </c>
      <c r="B66" t="s">
        <v>22</v>
      </c>
      <c r="C66" t="s">
        <v>21</v>
      </c>
      <c r="D66" s="1">
        <v>75284</v>
      </c>
      <c r="E66">
        <v>2</v>
      </c>
      <c r="F66" t="s">
        <v>10</v>
      </c>
      <c r="G66" t="s">
        <v>16</v>
      </c>
      <c r="H66" t="s">
        <v>12</v>
      </c>
      <c r="I66" t="s">
        <v>80</v>
      </c>
      <c r="J66" t="s">
        <v>73</v>
      </c>
      <c r="K66">
        <v>34</v>
      </c>
      <c r="L66" t="s">
        <v>13</v>
      </c>
    </row>
    <row r="67" spans="1:12">
      <c r="A67">
        <v>50757</v>
      </c>
      <c r="B67" t="s">
        <v>21</v>
      </c>
      <c r="C67" t="s">
        <v>20</v>
      </c>
      <c r="D67" s="1">
        <v>92124</v>
      </c>
      <c r="E67">
        <v>4</v>
      </c>
      <c r="F67" t="s">
        <v>19</v>
      </c>
      <c r="G67" t="s">
        <v>15</v>
      </c>
      <c r="H67" t="s">
        <v>12</v>
      </c>
      <c r="I67" t="s">
        <v>80</v>
      </c>
      <c r="J67" t="s">
        <v>64</v>
      </c>
      <c r="K67">
        <v>65</v>
      </c>
      <c r="L67" t="s">
        <v>13</v>
      </c>
    </row>
    <row r="68" spans="1:12">
      <c r="A68">
        <v>19692</v>
      </c>
      <c r="B68" t="s">
        <v>21</v>
      </c>
      <c r="C68" t="s">
        <v>20</v>
      </c>
      <c r="D68" s="1">
        <v>88847</v>
      </c>
      <c r="E68">
        <v>0</v>
      </c>
      <c r="F68" t="s">
        <v>17</v>
      </c>
      <c r="G68" t="s">
        <v>16</v>
      </c>
      <c r="H68" t="s">
        <v>13</v>
      </c>
      <c r="I68" t="s">
        <v>81</v>
      </c>
      <c r="J68" t="s">
        <v>66</v>
      </c>
      <c r="K68">
        <v>32</v>
      </c>
      <c r="L68" t="s">
        <v>12</v>
      </c>
    </row>
    <row r="69" spans="1:12">
      <c r="A69">
        <v>55758</v>
      </c>
      <c r="B69" t="s">
        <v>21</v>
      </c>
      <c r="C69" t="s">
        <v>21</v>
      </c>
      <c r="D69" s="1">
        <v>42432</v>
      </c>
      <c r="E69">
        <v>4</v>
      </c>
      <c r="F69" t="s">
        <v>17</v>
      </c>
      <c r="G69" t="s">
        <v>18</v>
      </c>
      <c r="H69" t="s">
        <v>13</v>
      </c>
      <c r="I69" t="s">
        <v>78</v>
      </c>
      <c r="J69" t="s">
        <v>73</v>
      </c>
      <c r="K69">
        <v>30</v>
      </c>
      <c r="L69" t="s">
        <v>12</v>
      </c>
    </row>
    <row r="70" spans="1:12">
      <c r="A70">
        <v>82409</v>
      </c>
      <c r="B70" t="s">
        <v>21</v>
      </c>
      <c r="C70" t="s">
        <v>20</v>
      </c>
      <c r="D70" s="1">
        <v>84089</v>
      </c>
      <c r="E70">
        <v>2</v>
      </c>
      <c r="F70" t="s">
        <v>14</v>
      </c>
      <c r="G70" t="s">
        <v>16</v>
      </c>
      <c r="H70" t="s">
        <v>13</v>
      </c>
      <c r="I70" t="s">
        <v>81</v>
      </c>
      <c r="J70" t="s">
        <v>65</v>
      </c>
      <c r="K70">
        <v>64</v>
      </c>
      <c r="L70" t="s">
        <v>12</v>
      </c>
    </row>
    <row r="71" spans="1:12">
      <c r="A71">
        <v>81211</v>
      </c>
      <c r="B71" t="s">
        <v>22</v>
      </c>
      <c r="C71" t="s">
        <v>21</v>
      </c>
      <c r="D71" s="1">
        <v>75398</v>
      </c>
      <c r="E71">
        <v>5</v>
      </c>
      <c r="F71" t="s">
        <v>17</v>
      </c>
      <c r="G71" t="s">
        <v>15</v>
      </c>
      <c r="H71" t="s">
        <v>12</v>
      </c>
      <c r="I71" t="s">
        <v>77</v>
      </c>
      <c r="J71" t="s">
        <v>60</v>
      </c>
      <c r="K71">
        <v>45</v>
      </c>
      <c r="L71" t="s">
        <v>12</v>
      </c>
    </row>
    <row r="72" spans="1:12">
      <c r="A72">
        <v>75697</v>
      </c>
      <c r="B72" t="s">
        <v>21</v>
      </c>
      <c r="C72" t="s">
        <v>21</v>
      </c>
      <c r="D72" s="1">
        <v>119291</v>
      </c>
      <c r="E72">
        <v>4</v>
      </c>
      <c r="F72" t="s">
        <v>17</v>
      </c>
      <c r="G72" t="s">
        <v>16</v>
      </c>
      <c r="H72" t="s">
        <v>13</v>
      </c>
      <c r="I72" t="s">
        <v>80</v>
      </c>
      <c r="J72" t="s">
        <v>63</v>
      </c>
      <c r="K72">
        <v>41</v>
      </c>
      <c r="L72" t="s">
        <v>13</v>
      </c>
    </row>
    <row r="73" spans="1:12">
      <c r="A73">
        <v>47065</v>
      </c>
      <c r="B73" t="s">
        <v>21</v>
      </c>
      <c r="C73" t="s">
        <v>21</v>
      </c>
      <c r="D73" s="1">
        <v>23321</v>
      </c>
      <c r="E73">
        <v>5</v>
      </c>
      <c r="F73" t="s">
        <v>19</v>
      </c>
      <c r="G73" t="s">
        <v>18</v>
      </c>
      <c r="H73" t="s">
        <v>13</v>
      </c>
      <c r="I73" t="s">
        <v>79</v>
      </c>
      <c r="J73" t="s">
        <v>61</v>
      </c>
      <c r="K73">
        <v>47</v>
      </c>
      <c r="L73" t="s">
        <v>13</v>
      </c>
    </row>
    <row r="74" spans="1:12">
      <c r="A74">
        <v>42606</v>
      </c>
      <c r="B74" t="s">
        <v>21</v>
      </c>
      <c r="C74" t="s">
        <v>21</v>
      </c>
      <c r="D74" s="1">
        <v>101348</v>
      </c>
      <c r="E74">
        <v>2</v>
      </c>
      <c r="F74" t="s">
        <v>19</v>
      </c>
      <c r="G74" t="s">
        <v>18</v>
      </c>
      <c r="H74" t="s">
        <v>12</v>
      </c>
      <c r="I74" t="s">
        <v>77</v>
      </c>
      <c r="J74" t="s">
        <v>64</v>
      </c>
      <c r="K74">
        <v>43</v>
      </c>
      <c r="L74" t="s">
        <v>12</v>
      </c>
    </row>
    <row r="75" spans="1:12">
      <c r="A75">
        <v>62251</v>
      </c>
      <c r="B75" t="s">
        <v>21</v>
      </c>
      <c r="C75" t="s">
        <v>20</v>
      </c>
      <c r="D75" s="1">
        <v>96917</v>
      </c>
      <c r="E75">
        <v>4</v>
      </c>
      <c r="F75" t="s">
        <v>19</v>
      </c>
      <c r="G75" t="s">
        <v>15</v>
      </c>
      <c r="H75" t="s">
        <v>12</v>
      </c>
      <c r="I75" t="s">
        <v>78</v>
      </c>
      <c r="J75" t="s">
        <v>69</v>
      </c>
      <c r="K75">
        <v>48</v>
      </c>
      <c r="L75" t="s">
        <v>12</v>
      </c>
    </row>
    <row r="76" spans="1:12">
      <c r="A76">
        <v>50397</v>
      </c>
      <c r="B76" t="s">
        <v>21</v>
      </c>
      <c r="C76" t="s">
        <v>21</v>
      </c>
      <c r="D76" s="1">
        <v>98682</v>
      </c>
      <c r="E76">
        <v>3</v>
      </c>
      <c r="F76" t="s">
        <v>14</v>
      </c>
      <c r="G76" t="s">
        <v>15</v>
      </c>
      <c r="H76" t="s">
        <v>13</v>
      </c>
      <c r="I76" t="s">
        <v>81</v>
      </c>
      <c r="J76" t="s">
        <v>74</v>
      </c>
      <c r="K76">
        <v>28</v>
      </c>
      <c r="L76" t="s">
        <v>12</v>
      </c>
    </row>
    <row r="77" spans="1:12">
      <c r="A77">
        <v>11016</v>
      </c>
      <c r="B77" t="s">
        <v>22</v>
      </c>
      <c r="C77" t="s">
        <v>21</v>
      </c>
      <c r="D77" s="1">
        <v>99190</v>
      </c>
      <c r="E77">
        <v>2</v>
      </c>
      <c r="F77" t="s">
        <v>19</v>
      </c>
      <c r="G77" t="s">
        <v>18</v>
      </c>
      <c r="H77" t="s">
        <v>12</v>
      </c>
      <c r="I77" t="s">
        <v>78</v>
      </c>
      <c r="J77" t="s">
        <v>66</v>
      </c>
      <c r="K77">
        <v>61</v>
      </c>
      <c r="L77" t="s">
        <v>12</v>
      </c>
    </row>
    <row r="78" spans="1:12">
      <c r="A78">
        <v>99789</v>
      </c>
      <c r="B78" t="s">
        <v>21</v>
      </c>
      <c r="C78" t="s">
        <v>20</v>
      </c>
      <c r="D78" s="1">
        <v>72893</v>
      </c>
      <c r="E78">
        <v>2</v>
      </c>
      <c r="F78" t="s">
        <v>17</v>
      </c>
      <c r="G78" t="s">
        <v>15</v>
      </c>
      <c r="H78" t="s">
        <v>13</v>
      </c>
      <c r="I78" t="s">
        <v>80</v>
      </c>
      <c r="J78" t="s">
        <v>65</v>
      </c>
      <c r="K78">
        <v>23</v>
      </c>
      <c r="L78" t="s">
        <v>13</v>
      </c>
    </row>
    <row r="79" spans="1:12">
      <c r="A79">
        <v>65591</v>
      </c>
      <c r="B79" t="s">
        <v>22</v>
      </c>
      <c r="C79" t="s">
        <v>21</v>
      </c>
      <c r="D79" s="1">
        <v>55820</v>
      </c>
      <c r="E79">
        <v>1</v>
      </c>
      <c r="F79" t="s">
        <v>10</v>
      </c>
      <c r="G79" t="s">
        <v>16</v>
      </c>
      <c r="H79" t="s">
        <v>13</v>
      </c>
      <c r="I79" t="s">
        <v>79</v>
      </c>
      <c r="J79" t="s">
        <v>66</v>
      </c>
      <c r="K79">
        <v>68</v>
      </c>
      <c r="L79" t="s">
        <v>12</v>
      </c>
    </row>
    <row r="80" spans="1:12">
      <c r="A80">
        <v>99812</v>
      </c>
      <c r="B80" t="s">
        <v>22</v>
      </c>
      <c r="C80" t="s">
        <v>21</v>
      </c>
      <c r="D80" s="1">
        <v>86262</v>
      </c>
      <c r="E80">
        <v>0</v>
      </c>
      <c r="F80" t="s">
        <v>19</v>
      </c>
      <c r="G80" t="s">
        <v>18</v>
      </c>
      <c r="H80" t="s">
        <v>12</v>
      </c>
      <c r="I80" t="s">
        <v>77</v>
      </c>
      <c r="J80" t="s">
        <v>63</v>
      </c>
      <c r="K80">
        <v>65</v>
      </c>
      <c r="L80" t="s">
        <v>13</v>
      </c>
    </row>
    <row r="81" spans="1:12">
      <c r="A81">
        <v>33247</v>
      </c>
      <c r="B81" t="s">
        <v>21</v>
      </c>
      <c r="C81" t="s">
        <v>20</v>
      </c>
      <c r="D81" s="1">
        <v>23760</v>
      </c>
      <c r="E81">
        <v>3</v>
      </c>
      <c r="F81" t="s">
        <v>14</v>
      </c>
      <c r="G81" t="s">
        <v>16</v>
      </c>
      <c r="H81" t="s">
        <v>13</v>
      </c>
      <c r="I81" t="s">
        <v>79</v>
      </c>
      <c r="J81" t="s">
        <v>69</v>
      </c>
      <c r="K81">
        <v>37</v>
      </c>
      <c r="L81" t="s">
        <v>13</v>
      </c>
    </row>
    <row r="82" spans="1:12">
      <c r="A82">
        <v>34300</v>
      </c>
      <c r="B82" t="s">
        <v>21</v>
      </c>
      <c r="C82" t="s">
        <v>20</v>
      </c>
      <c r="D82" s="1">
        <v>42190</v>
      </c>
      <c r="E82">
        <v>3</v>
      </c>
      <c r="F82" t="s">
        <v>14</v>
      </c>
      <c r="G82" t="s">
        <v>11</v>
      </c>
      <c r="H82" t="s">
        <v>12</v>
      </c>
      <c r="I82" t="s">
        <v>78</v>
      </c>
      <c r="J82" t="s">
        <v>74</v>
      </c>
      <c r="K82">
        <v>62</v>
      </c>
      <c r="L82" t="s">
        <v>13</v>
      </c>
    </row>
    <row r="83" spans="1:12">
      <c r="A83">
        <v>84065</v>
      </c>
      <c r="B83" t="s">
        <v>22</v>
      </c>
      <c r="C83" t="s">
        <v>20</v>
      </c>
      <c r="D83" s="1">
        <v>87411</v>
      </c>
      <c r="E83">
        <v>3</v>
      </c>
      <c r="F83" t="s">
        <v>10</v>
      </c>
      <c r="G83" t="s">
        <v>16</v>
      </c>
      <c r="H83" t="s">
        <v>12</v>
      </c>
      <c r="I83" t="s">
        <v>78</v>
      </c>
      <c r="J83" t="s">
        <v>60</v>
      </c>
      <c r="K83">
        <v>35</v>
      </c>
      <c r="L83" t="s">
        <v>12</v>
      </c>
    </row>
    <row r="84" spans="1:12">
      <c r="A84">
        <v>92798</v>
      </c>
      <c r="B84" t="s">
        <v>22</v>
      </c>
      <c r="C84" t="s">
        <v>20</v>
      </c>
      <c r="D84" s="1">
        <v>43377</v>
      </c>
      <c r="E84">
        <v>1</v>
      </c>
      <c r="F84" t="s">
        <v>10</v>
      </c>
      <c r="G84" t="s">
        <v>11</v>
      </c>
      <c r="H84" t="s">
        <v>12</v>
      </c>
      <c r="I84" t="s">
        <v>79</v>
      </c>
      <c r="J84" t="s">
        <v>59</v>
      </c>
      <c r="K84">
        <v>52</v>
      </c>
      <c r="L84" t="s">
        <v>13</v>
      </c>
    </row>
    <row r="85" spans="1:12">
      <c r="A85">
        <v>19268</v>
      </c>
      <c r="B85" t="s">
        <v>21</v>
      </c>
      <c r="C85" t="s">
        <v>20</v>
      </c>
      <c r="D85" s="1">
        <v>66737</v>
      </c>
      <c r="E85">
        <v>5</v>
      </c>
      <c r="F85" t="s">
        <v>10</v>
      </c>
      <c r="G85" t="s">
        <v>16</v>
      </c>
      <c r="H85" t="s">
        <v>13</v>
      </c>
      <c r="I85" t="s">
        <v>80</v>
      </c>
      <c r="J85" t="s">
        <v>62</v>
      </c>
      <c r="K85">
        <v>48</v>
      </c>
      <c r="L85" t="s">
        <v>13</v>
      </c>
    </row>
    <row r="86" spans="1:12">
      <c r="A86">
        <v>96807</v>
      </c>
      <c r="B86" t="s">
        <v>21</v>
      </c>
      <c r="C86" t="s">
        <v>20</v>
      </c>
      <c r="D86" s="1">
        <v>89569</v>
      </c>
      <c r="E86">
        <v>2</v>
      </c>
      <c r="F86" t="s">
        <v>10</v>
      </c>
      <c r="G86" t="s">
        <v>15</v>
      </c>
      <c r="H86" t="s">
        <v>12</v>
      </c>
      <c r="I86" t="s">
        <v>78</v>
      </c>
      <c r="J86" t="s">
        <v>66</v>
      </c>
      <c r="K86">
        <v>58</v>
      </c>
      <c r="L86" t="s">
        <v>13</v>
      </c>
    </row>
    <row r="87" spans="1:12">
      <c r="A87">
        <v>22185</v>
      </c>
      <c r="B87" t="s">
        <v>22</v>
      </c>
      <c r="C87" t="s">
        <v>20</v>
      </c>
      <c r="D87" s="1">
        <v>58211</v>
      </c>
      <c r="E87">
        <v>0</v>
      </c>
      <c r="F87" t="s">
        <v>10</v>
      </c>
      <c r="G87" t="s">
        <v>16</v>
      </c>
      <c r="H87" t="s">
        <v>12</v>
      </c>
      <c r="I87" t="s">
        <v>79</v>
      </c>
      <c r="J87" t="s">
        <v>64</v>
      </c>
      <c r="K87">
        <v>29</v>
      </c>
      <c r="L87" t="s">
        <v>12</v>
      </c>
    </row>
    <row r="88" spans="1:12">
      <c r="A88">
        <v>73704</v>
      </c>
      <c r="B88" t="s">
        <v>22</v>
      </c>
      <c r="C88" t="s">
        <v>21</v>
      </c>
      <c r="D88" s="1">
        <v>102909</v>
      </c>
      <c r="E88">
        <v>4</v>
      </c>
      <c r="F88" t="s">
        <v>17</v>
      </c>
      <c r="G88" t="s">
        <v>15</v>
      </c>
      <c r="H88" t="s">
        <v>13</v>
      </c>
      <c r="I88" t="s">
        <v>77</v>
      </c>
      <c r="J88" t="s">
        <v>68</v>
      </c>
      <c r="K88">
        <v>28</v>
      </c>
      <c r="L88" t="s">
        <v>12</v>
      </c>
    </row>
    <row r="89" spans="1:12">
      <c r="A89">
        <v>96779</v>
      </c>
      <c r="B89" t="s">
        <v>21</v>
      </c>
      <c r="C89" t="s">
        <v>20</v>
      </c>
      <c r="D89" s="1">
        <v>23744</v>
      </c>
      <c r="E89">
        <v>5</v>
      </c>
      <c r="F89" t="s">
        <v>17</v>
      </c>
      <c r="G89" t="s">
        <v>15</v>
      </c>
      <c r="H89" t="s">
        <v>13</v>
      </c>
      <c r="I89" t="s">
        <v>79</v>
      </c>
      <c r="J89" t="s">
        <v>68</v>
      </c>
      <c r="K89">
        <v>50</v>
      </c>
      <c r="L89" t="s">
        <v>13</v>
      </c>
    </row>
    <row r="90" spans="1:12">
      <c r="A90">
        <v>49099</v>
      </c>
      <c r="B90" t="s">
        <v>22</v>
      </c>
      <c r="C90" t="s">
        <v>20</v>
      </c>
      <c r="D90" s="1">
        <v>44995</v>
      </c>
      <c r="E90">
        <v>2</v>
      </c>
      <c r="F90" t="s">
        <v>19</v>
      </c>
      <c r="G90" t="s">
        <v>18</v>
      </c>
      <c r="H90" t="s">
        <v>13</v>
      </c>
      <c r="I90" t="s">
        <v>79</v>
      </c>
      <c r="J90" t="s">
        <v>68</v>
      </c>
      <c r="K90">
        <v>47</v>
      </c>
      <c r="L90" t="s">
        <v>12</v>
      </c>
    </row>
    <row r="91" spans="1:12">
      <c r="A91">
        <v>47065</v>
      </c>
      <c r="B91" t="s">
        <v>21</v>
      </c>
      <c r="C91" t="s">
        <v>21</v>
      </c>
      <c r="D91" s="1">
        <v>23321</v>
      </c>
      <c r="E91">
        <v>5</v>
      </c>
      <c r="F91" t="s">
        <v>19</v>
      </c>
      <c r="G91" t="s">
        <v>18</v>
      </c>
      <c r="H91" t="s">
        <v>13</v>
      </c>
      <c r="I91" t="s">
        <v>79</v>
      </c>
      <c r="J91" t="s">
        <v>61</v>
      </c>
      <c r="K91">
        <v>47</v>
      </c>
      <c r="L91" t="s">
        <v>13</v>
      </c>
    </row>
    <row r="92" spans="1:12">
      <c r="A92">
        <v>48044</v>
      </c>
      <c r="B92" t="s">
        <v>22</v>
      </c>
      <c r="C92" t="s">
        <v>21</v>
      </c>
      <c r="D92" s="1">
        <v>117938</v>
      </c>
      <c r="E92">
        <v>2</v>
      </c>
      <c r="F92" t="s">
        <v>17</v>
      </c>
      <c r="G92" t="s">
        <v>11</v>
      </c>
      <c r="H92" t="s">
        <v>12</v>
      </c>
      <c r="I92" t="s">
        <v>78</v>
      </c>
      <c r="J92" t="s">
        <v>61</v>
      </c>
      <c r="K92">
        <v>33</v>
      </c>
      <c r="L92" t="s">
        <v>13</v>
      </c>
    </row>
    <row r="93" spans="1:12">
      <c r="A93">
        <v>61214</v>
      </c>
      <c r="B93" t="s">
        <v>21</v>
      </c>
      <c r="C93" t="s">
        <v>21</v>
      </c>
      <c r="D93" s="1">
        <v>54542</v>
      </c>
      <c r="E93">
        <v>2</v>
      </c>
      <c r="F93" t="s">
        <v>17</v>
      </c>
      <c r="G93" t="s">
        <v>18</v>
      </c>
      <c r="H93" t="s">
        <v>12</v>
      </c>
      <c r="I93" t="s">
        <v>80</v>
      </c>
      <c r="J93" t="s">
        <v>66</v>
      </c>
      <c r="K93">
        <v>44</v>
      </c>
      <c r="L93" t="s">
        <v>12</v>
      </c>
    </row>
    <row r="94" spans="1:12">
      <c r="A94">
        <v>71228</v>
      </c>
      <c r="B94" t="s">
        <v>21</v>
      </c>
      <c r="C94" t="s">
        <v>20</v>
      </c>
      <c r="D94" s="1">
        <v>30651</v>
      </c>
      <c r="E94">
        <v>1</v>
      </c>
      <c r="F94" t="s">
        <v>17</v>
      </c>
      <c r="G94" t="s">
        <v>18</v>
      </c>
      <c r="H94" t="s">
        <v>12</v>
      </c>
      <c r="I94" t="s">
        <v>80</v>
      </c>
      <c r="J94" t="s">
        <v>65</v>
      </c>
      <c r="K94">
        <v>34</v>
      </c>
      <c r="L94" t="s">
        <v>12</v>
      </c>
    </row>
    <row r="95" spans="1:12">
      <c r="A95">
        <v>58984</v>
      </c>
      <c r="B95" t="s">
        <v>21</v>
      </c>
      <c r="C95" t="s">
        <v>20</v>
      </c>
      <c r="D95" s="1">
        <v>119239</v>
      </c>
      <c r="E95">
        <v>3</v>
      </c>
      <c r="F95" t="s">
        <v>19</v>
      </c>
      <c r="G95" t="s">
        <v>16</v>
      </c>
      <c r="H95" t="s">
        <v>13</v>
      </c>
      <c r="I95" t="s">
        <v>81</v>
      </c>
      <c r="J95" t="s">
        <v>74</v>
      </c>
      <c r="K95">
        <v>21</v>
      </c>
      <c r="L95" t="s">
        <v>12</v>
      </c>
    </row>
    <row r="96" spans="1:12">
      <c r="A96">
        <v>50774</v>
      </c>
      <c r="B96" t="s">
        <v>22</v>
      </c>
      <c r="C96" t="s">
        <v>20</v>
      </c>
      <c r="D96" s="1">
        <v>98931</v>
      </c>
      <c r="E96">
        <v>3</v>
      </c>
      <c r="F96" t="s">
        <v>10</v>
      </c>
      <c r="G96" t="s">
        <v>15</v>
      </c>
      <c r="H96" t="s">
        <v>13</v>
      </c>
      <c r="I96" t="s">
        <v>80</v>
      </c>
      <c r="J96" t="s">
        <v>62</v>
      </c>
      <c r="K96">
        <v>43</v>
      </c>
      <c r="L96" t="s">
        <v>13</v>
      </c>
    </row>
    <row r="97" spans="1:12">
      <c r="A97">
        <v>12568</v>
      </c>
      <c r="B97" t="s">
        <v>21</v>
      </c>
      <c r="C97" t="s">
        <v>21</v>
      </c>
      <c r="D97" s="1">
        <v>115344</v>
      </c>
      <c r="E97">
        <v>0</v>
      </c>
      <c r="F97" t="s">
        <v>19</v>
      </c>
      <c r="G97" t="s">
        <v>15</v>
      </c>
      <c r="H97" t="s">
        <v>12</v>
      </c>
      <c r="I97" t="s">
        <v>79</v>
      </c>
      <c r="J97" t="s">
        <v>71</v>
      </c>
      <c r="K97">
        <v>33</v>
      </c>
      <c r="L97" t="s">
        <v>12</v>
      </c>
    </row>
    <row r="98" spans="1:12">
      <c r="A98">
        <v>72592</v>
      </c>
      <c r="B98" t="s">
        <v>21</v>
      </c>
      <c r="C98" t="s">
        <v>21</v>
      </c>
      <c r="D98" s="1">
        <v>36715</v>
      </c>
      <c r="E98">
        <v>0</v>
      </c>
      <c r="F98" t="s">
        <v>14</v>
      </c>
      <c r="G98" t="s">
        <v>11</v>
      </c>
      <c r="H98" t="s">
        <v>13</v>
      </c>
      <c r="I98" t="s">
        <v>81</v>
      </c>
      <c r="J98" t="s">
        <v>66</v>
      </c>
      <c r="K98">
        <v>67</v>
      </c>
      <c r="L98" t="s">
        <v>13</v>
      </c>
    </row>
    <row r="99" spans="1:12">
      <c r="A99">
        <v>77563</v>
      </c>
      <c r="B99" t="s">
        <v>21</v>
      </c>
      <c r="C99" t="s">
        <v>20</v>
      </c>
      <c r="D99" s="1">
        <v>64409</v>
      </c>
      <c r="E99">
        <v>3</v>
      </c>
      <c r="F99" t="s">
        <v>14</v>
      </c>
      <c r="G99" t="s">
        <v>16</v>
      </c>
      <c r="H99" t="s">
        <v>13</v>
      </c>
      <c r="I99" t="s">
        <v>77</v>
      </c>
      <c r="J99" t="s">
        <v>73</v>
      </c>
      <c r="K99">
        <v>26</v>
      </c>
      <c r="L99" t="s">
        <v>12</v>
      </c>
    </row>
    <row r="100" spans="1:12">
      <c r="A100">
        <v>12695</v>
      </c>
      <c r="B100" t="s">
        <v>21</v>
      </c>
      <c r="C100" t="s">
        <v>21</v>
      </c>
      <c r="D100" s="1">
        <v>44306</v>
      </c>
      <c r="E100">
        <v>5</v>
      </c>
      <c r="F100" t="s">
        <v>14</v>
      </c>
      <c r="G100" t="s">
        <v>16</v>
      </c>
      <c r="H100" t="s">
        <v>12</v>
      </c>
      <c r="I100" t="s">
        <v>78</v>
      </c>
      <c r="J100" t="s">
        <v>59</v>
      </c>
      <c r="K100">
        <v>55</v>
      </c>
      <c r="L100" t="s">
        <v>12</v>
      </c>
    </row>
    <row r="101" spans="1:12">
      <c r="A101">
        <v>58190</v>
      </c>
      <c r="B101" t="s">
        <v>22</v>
      </c>
      <c r="C101" t="s">
        <v>20</v>
      </c>
      <c r="D101" s="1">
        <v>39086</v>
      </c>
      <c r="E101">
        <v>4</v>
      </c>
      <c r="F101" t="s">
        <v>14</v>
      </c>
      <c r="G101" t="s">
        <v>18</v>
      </c>
      <c r="H101" t="s">
        <v>12</v>
      </c>
      <c r="I101" t="s">
        <v>78</v>
      </c>
      <c r="J101" t="s">
        <v>59</v>
      </c>
      <c r="K101">
        <v>69</v>
      </c>
      <c r="L101" t="s">
        <v>13</v>
      </c>
    </row>
    <row r="102" spans="1:12">
      <c r="A102">
        <v>15258</v>
      </c>
      <c r="B102" t="s">
        <v>21</v>
      </c>
      <c r="C102" t="s">
        <v>21</v>
      </c>
      <c r="D102" s="1">
        <v>34376</v>
      </c>
      <c r="E102">
        <v>2</v>
      </c>
      <c r="F102" t="s">
        <v>17</v>
      </c>
      <c r="G102" t="s">
        <v>18</v>
      </c>
      <c r="H102" t="s">
        <v>13</v>
      </c>
      <c r="I102" t="s">
        <v>78</v>
      </c>
      <c r="J102" t="s">
        <v>61</v>
      </c>
      <c r="K102">
        <v>43</v>
      </c>
      <c r="L102" t="s">
        <v>12</v>
      </c>
    </row>
    <row r="103" spans="1:12">
      <c r="A103">
        <v>97538</v>
      </c>
      <c r="B103" t="s">
        <v>22</v>
      </c>
      <c r="C103" t="s">
        <v>21</v>
      </c>
      <c r="D103" s="1">
        <v>81350</v>
      </c>
      <c r="E103">
        <v>4</v>
      </c>
      <c r="F103" t="s">
        <v>17</v>
      </c>
      <c r="G103" t="s">
        <v>18</v>
      </c>
      <c r="H103" t="s">
        <v>13</v>
      </c>
      <c r="I103" t="s">
        <v>79</v>
      </c>
      <c r="J103" t="s">
        <v>73</v>
      </c>
      <c r="K103">
        <v>46</v>
      </c>
      <c r="L103" t="s">
        <v>13</v>
      </c>
    </row>
    <row r="104" spans="1:12">
      <c r="A104">
        <v>49504</v>
      </c>
      <c r="B104" t="s">
        <v>22</v>
      </c>
      <c r="C104" t="s">
        <v>20</v>
      </c>
      <c r="D104" s="1">
        <v>91425</v>
      </c>
      <c r="E104">
        <v>2</v>
      </c>
      <c r="F104" t="s">
        <v>19</v>
      </c>
      <c r="G104" t="s">
        <v>11</v>
      </c>
      <c r="H104" t="s">
        <v>13</v>
      </c>
      <c r="I104" t="s">
        <v>77</v>
      </c>
      <c r="J104" t="s">
        <v>72</v>
      </c>
      <c r="K104">
        <v>56</v>
      </c>
      <c r="L104" t="s">
        <v>12</v>
      </c>
    </row>
    <row r="105" spans="1:12">
      <c r="A105">
        <v>43159</v>
      </c>
      <c r="B105" t="s">
        <v>21</v>
      </c>
      <c r="C105" t="s">
        <v>20</v>
      </c>
      <c r="D105" s="1">
        <v>56636</v>
      </c>
      <c r="E105">
        <v>3</v>
      </c>
      <c r="F105" t="s">
        <v>10</v>
      </c>
      <c r="G105" t="s">
        <v>11</v>
      </c>
      <c r="H105" t="s">
        <v>12</v>
      </c>
      <c r="I105" t="s">
        <v>81</v>
      </c>
      <c r="J105" t="s">
        <v>61</v>
      </c>
      <c r="K105">
        <v>57</v>
      </c>
      <c r="L105" t="s">
        <v>12</v>
      </c>
    </row>
    <row r="106" spans="1:12">
      <c r="A106">
        <v>23986</v>
      </c>
      <c r="B106" t="s">
        <v>21</v>
      </c>
      <c r="C106" t="s">
        <v>20</v>
      </c>
      <c r="D106" s="1">
        <v>106120</v>
      </c>
      <c r="E106">
        <v>0</v>
      </c>
      <c r="F106" t="s">
        <v>14</v>
      </c>
      <c r="G106" t="s">
        <v>18</v>
      </c>
      <c r="H106" t="s">
        <v>12</v>
      </c>
      <c r="I106" t="s">
        <v>81</v>
      </c>
      <c r="J106" t="s">
        <v>68</v>
      </c>
      <c r="K106">
        <v>49</v>
      </c>
      <c r="L106" t="s">
        <v>12</v>
      </c>
    </row>
    <row r="107" spans="1:12">
      <c r="A107">
        <v>71858</v>
      </c>
      <c r="B107" t="s">
        <v>21</v>
      </c>
      <c r="C107" t="s">
        <v>20</v>
      </c>
      <c r="D107" s="1">
        <v>71649</v>
      </c>
      <c r="E107">
        <v>5</v>
      </c>
      <c r="F107" t="s">
        <v>19</v>
      </c>
      <c r="G107" t="s">
        <v>16</v>
      </c>
      <c r="H107" t="s">
        <v>12</v>
      </c>
      <c r="I107" t="s">
        <v>78</v>
      </c>
      <c r="J107" t="s">
        <v>62</v>
      </c>
      <c r="K107">
        <v>46</v>
      </c>
      <c r="L107" t="s">
        <v>12</v>
      </c>
    </row>
    <row r="108" spans="1:12">
      <c r="A108">
        <v>22666</v>
      </c>
      <c r="B108" t="s">
        <v>21</v>
      </c>
      <c r="C108" t="s">
        <v>21</v>
      </c>
      <c r="D108" s="1">
        <v>54610</v>
      </c>
      <c r="E108">
        <v>0</v>
      </c>
      <c r="F108" t="s">
        <v>17</v>
      </c>
      <c r="G108" t="s">
        <v>11</v>
      </c>
      <c r="H108" t="s">
        <v>12</v>
      </c>
      <c r="I108" t="s">
        <v>77</v>
      </c>
      <c r="J108" t="s">
        <v>63</v>
      </c>
      <c r="K108">
        <v>58</v>
      </c>
      <c r="L108" t="s">
        <v>13</v>
      </c>
    </row>
    <row r="109" spans="1:12">
      <c r="A109">
        <v>48660</v>
      </c>
      <c r="B109" t="s">
        <v>21</v>
      </c>
      <c r="C109" t="s">
        <v>21</v>
      </c>
      <c r="D109" s="1">
        <v>30058</v>
      </c>
      <c r="E109">
        <v>4</v>
      </c>
      <c r="F109" t="s">
        <v>17</v>
      </c>
      <c r="G109" t="s">
        <v>16</v>
      </c>
      <c r="H109" t="s">
        <v>12</v>
      </c>
      <c r="I109" t="s">
        <v>77</v>
      </c>
      <c r="J109" t="s">
        <v>68</v>
      </c>
      <c r="K109">
        <v>34</v>
      </c>
      <c r="L109" t="s">
        <v>13</v>
      </c>
    </row>
    <row r="110" spans="1:12">
      <c r="A110">
        <v>13561</v>
      </c>
      <c r="B110" t="s">
        <v>21</v>
      </c>
      <c r="C110" t="s">
        <v>21</v>
      </c>
      <c r="D110" s="1">
        <v>94637</v>
      </c>
      <c r="E110">
        <v>0</v>
      </c>
      <c r="F110" t="s">
        <v>10</v>
      </c>
      <c r="G110" t="s">
        <v>16</v>
      </c>
      <c r="H110" t="s">
        <v>13</v>
      </c>
      <c r="I110" t="s">
        <v>77</v>
      </c>
      <c r="J110" t="s">
        <v>71</v>
      </c>
      <c r="K110">
        <v>45</v>
      </c>
      <c r="L110" t="s">
        <v>12</v>
      </c>
    </row>
    <row r="111" spans="1:12">
      <c r="A111">
        <v>36854</v>
      </c>
      <c r="B111" t="s">
        <v>22</v>
      </c>
      <c r="C111" t="s">
        <v>20</v>
      </c>
      <c r="D111" s="1">
        <v>98033</v>
      </c>
      <c r="E111">
        <v>3</v>
      </c>
      <c r="F111" t="s">
        <v>10</v>
      </c>
      <c r="G111" t="s">
        <v>15</v>
      </c>
      <c r="H111" t="s">
        <v>13</v>
      </c>
      <c r="I111" t="s">
        <v>80</v>
      </c>
      <c r="J111" t="s">
        <v>68</v>
      </c>
      <c r="K111">
        <v>20</v>
      </c>
      <c r="L111" t="s">
        <v>13</v>
      </c>
    </row>
    <row r="112" spans="1:12">
      <c r="A112">
        <v>74505</v>
      </c>
      <c r="B112" t="s">
        <v>21</v>
      </c>
      <c r="C112" t="s">
        <v>21</v>
      </c>
      <c r="D112" s="1">
        <v>90194</v>
      </c>
      <c r="E112">
        <v>5</v>
      </c>
      <c r="F112" t="s">
        <v>10</v>
      </c>
      <c r="G112" t="s">
        <v>18</v>
      </c>
      <c r="H112" t="s">
        <v>13</v>
      </c>
      <c r="I112" t="s">
        <v>80</v>
      </c>
      <c r="J112" t="s">
        <v>62</v>
      </c>
      <c r="K112">
        <v>23</v>
      </c>
      <c r="L112" t="s">
        <v>13</v>
      </c>
    </row>
    <row r="113" spans="1:12">
      <c r="A113">
        <v>62251</v>
      </c>
      <c r="B113" t="s">
        <v>21</v>
      </c>
      <c r="C113" t="s">
        <v>20</v>
      </c>
      <c r="D113" s="1">
        <v>96917</v>
      </c>
      <c r="E113">
        <v>4</v>
      </c>
      <c r="F113" t="s">
        <v>19</v>
      </c>
      <c r="G113" t="s">
        <v>15</v>
      </c>
      <c r="H113" t="s">
        <v>12</v>
      </c>
      <c r="I113" t="s">
        <v>78</v>
      </c>
      <c r="J113" t="s">
        <v>69</v>
      </c>
      <c r="K113">
        <v>48</v>
      </c>
      <c r="L113" t="s">
        <v>12</v>
      </c>
    </row>
    <row r="114" spans="1:12">
      <c r="A114">
        <v>32662</v>
      </c>
      <c r="B114" t="s">
        <v>22</v>
      </c>
      <c r="C114" t="s">
        <v>21</v>
      </c>
      <c r="D114" s="1">
        <v>84200</v>
      </c>
      <c r="E114">
        <v>5</v>
      </c>
      <c r="F114" t="s">
        <v>17</v>
      </c>
      <c r="G114" t="s">
        <v>18</v>
      </c>
      <c r="H114" t="s">
        <v>12</v>
      </c>
      <c r="I114" t="s">
        <v>77</v>
      </c>
      <c r="J114" t="s">
        <v>65</v>
      </c>
      <c r="K114">
        <v>20</v>
      </c>
      <c r="L114" t="s">
        <v>12</v>
      </c>
    </row>
    <row r="115" spans="1:12">
      <c r="A115">
        <v>18392</v>
      </c>
      <c r="B115" t="s">
        <v>21</v>
      </c>
      <c r="C115" t="s">
        <v>20</v>
      </c>
      <c r="D115" s="1">
        <v>66619</v>
      </c>
      <c r="E115">
        <v>2</v>
      </c>
      <c r="F115" t="s">
        <v>17</v>
      </c>
      <c r="G115" t="s">
        <v>18</v>
      </c>
      <c r="H115" t="s">
        <v>12</v>
      </c>
      <c r="I115" t="s">
        <v>77</v>
      </c>
      <c r="J115" t="s">
        <v>74</v>
      </c>
      <c r="K115">
        <v>62</v>
      </c>
      <c r="L115" t="s">
        <v>13</v>
      </c>
    </row>
    <row r="116" spans="1:12">
      <c r="A116">
        <v>40535</v>
      </c>
      <c r="B116" t="s">
        <v>22</v>
      </c>
      <c r="C116" t="s">
        <v>20</v>
      </c>
      <c r="D116" s="1">
        <v>37154</v>
      </c>
      <c r="E116">
        <v>0</v>
      </c>
      <c r="F116" t="s">
        <v>10</v>
      </c>
      <c r="G116" t="s">
        <v>16</v>
      </c>
      <c r="H116" t="s">
        <v>13</v>
      </c>
      <c r="I116" t="s">
        <v>81</v>
      </c>
      <c r="J116" t="s">
        <v>64</v>
      </c>
      <c r="K116">
        <v>69</v>
      </c>
      <c r="L116" t="s">
        <v>13</v>
      </c>
    </row>
    <row r="117" spans="1:12">
      <c r="A117">
        <v>88603</v>
      </c>
      <c r="B117" t="s">
        <v>22</v>
      </c>
      <c r="C117" t="s">
        <v>21</v>
      </c>
      <c r="D117" s="1">
        <v>39539</v>
      </c>
      <c r="E117">
        <v>5</v>
      </c>
      <c r="F117" t="s">
        <v>14</v>
      </c>
      <c r="G117" t="s">
        <v>18</v>
      </c>
      <c r="H117" t="s">
        <v>12</v>
      </c>
      <c r="I117" t="s">
        <v>81</v>
      </c>
      <c r="J117" t="s">
        <v>63</v>
      </c>
      <c r="K117">
        <v>65</v>
      </c>
      <c r="L117" t="s">
        <v>13</v>
      </c>
    </row>
    <row r="118" spans="1:12">
      <c r="A118">
        <v>62256</v>
      </c>
      <c r="B118" t="s">
        <v>21</v>
      </c>
      <c r="C118" t="s">
        <v>20</v>
      </c>
      <c r="D118" s="1">
        <v>80058</v>
      </c>
      <c r="E118">
        <v>1</v>
      </c>
      <c r="F118" t="s">
        <v>10</v>
      </c>
      <c r="G118" t="s">
        <v>16</v>
      </c>
      <c r="H118" t="s">
        <v>12</v>
      </c>
      <c r="I118" t="s">
        <v>78</v>
      </c>
      <c r="J118" t="s">
        <v>59</v>
      </c>
      <c r="K118">
        <v>41</v>
      </c>
      <c r="L118" t="s">
        <v>13</v>
      </c>
    </row>
    <row r="119" spans="1:12">
      <c r="A119">
        <v>99135</v>
      </c>
      <c r="B119" t="s">
        <v>22</v>
      </c>
      <c r="C119" t="s">
        <v>20</v>
      </c>
      <c r="D119" s="1">
        <v>82068</v>
      </c>
      <c r="E119">
        <v>0</v>
      </c>
      <c r="F119" t="s">
        <v>19</v>
      </c>
      <c r="G119" t="s">
        <v>16</v>
      </c>
      <c r="H119" t="s">
        <v>13</v>
      </c>
      <c r="I119" t="s">
        <v>77</v>
      </c>
      <c r="J119" t="s">
        <v>73</v>
      </c>
      <c r="K119">
        <v>30</v>
      </c>
      <c r="L119" t="s">
        <v>13</v>
      </c>
    </row>
    <row r="120" spans="1:12">
      <c r="A120">
        <v>45222</v>
      </c>
      <c r="B120" t="s">
        <v>21</v>
      </c>
      <c r="C120" t="s">
        <v>21</v>
      </c>
      <c r="D120" s="1">
        <v>97313</v>
      </c>
      <c r="E120">
        <v>2</v>
      </c>
      <c r="F120" t="s">
        <v>10</v>
      </c>
      <c r="G120" t="s">
        <v>18</v>
      </c>
      <c r="H120" t="s">
        <v>12</v>
      </c>
      <c r="I120" t="s">
        <v>78</v>
      </c>
      <c r="J120" t="s">
        <v>72</v>
      </c>
      <c r="K120">
        <v>29</v>
      </c>
      <c r="L120" t="s">
        <v>12</v>
      </c>
    </row>
    <row r="121" spans="1:12">
      <c r="A121">
        <v>87373</v>
      </c>
      <c r="B121" t="s">
        <v>21</v>
      </c>
      <c r="C121" t="s">
        <v>20</v>
      </c>
      <c r="D121" s="1">
        <v>119932</v>
      </c>
      <c r="E121">
        <v>5</v>
      </c>
      <c r="F121" t="s">
        <v>10</v>
      </c>
      <c r="G121" t="s">
        <v>16</v>
      </c>
      <c r="H121" t="s">
        <v>13</v>
      </c>
      <c r="I121" t="s">
        <v>81</v>
      </c>
      <c r="J121" t="s">
        <v>65</v>
      </c>
      <c r="K121">
        <v>36</v>
      </c>
      <c r="L121" t="s">
        <v>12</v>
      </c>
    </row>
    <row r="122" spans="1:12">
      <c r="A122">
        <v>89575</v>
      </c>
      <c r="B122" t="s">
        <v>21</v>
      </c>
      <c r="C122" t="s">
        <v>20</v>
      </c>
      <c r="D122" s="1">
        <v>50373</v>
      </c>
      <c r="E122">
        <v>4</v>
      </c>
      <c r="F122" t="s">
        <v>19</v>
      </c>
      <c r="G122" t="s">
        <v>16</v>
      </c>
      <c r="H122" t="s">
        <v>12</v>
      </c>
      <c r="I122" t="s">
        <v>81</v>
      </c>
      <c r="J122" t="s">
        <v>62</v>
      </c>
      <c r="K122">
        <v>55</v>
      </c>
      <c r="L122" t="s">
        <v>12</v>
      </c>
    </row>
    <row r="123" spans="1:12">
      <c r="A123">
        <v>94651</v>
      </c>
      <c r="B123" t="s">
        <v>21</v>
      </c>
      <c r="C123" t="s">
        <v>20</v>
      </c>
      <c r="D123" s="1">
        <v>53154</v>
      </c>
      <c r="E123">
        <v>2</v>
      </c>
      <c r="F123" t="s">
        <v>10</v>
      </c>
      <c r="G123" t="s">
        <v>16</v>
      </c>
      <c r="H123" t="s">
        <v>12</v>
      </c>
      <c r="I123" t="s">
        <v>80</v>
      </c>
      <c r="J123" t="s">
        <v>60</v>
      </c>
      <c r="K123">
        <v>66</v>
      </c>
      <c r="L123" t="s">
        <v>13</v>
      </c>
    </row>
    <row r="124" spans="1:12">
      <c r="A124">
        <v>73335</v>
      </c>
      <c r="B124" t="s">
        <v>22</v>
      </c>
      <c r="C124" t="s">
        <v>21</v>
      </c>
      <c r="D124" s="1">
        <v>26031</v>
      </c>
      <c r="E124">
        <v>1</v>
      </c>
      <c r="F124" t="s">
        <v>17</v>
      </c>
      <c r="G124" t="s">
        <v>11</v>
      </c>
      <c r="H124" t="s">
        <v>13</v>
      </c>
      <c r="I124" t="s">
        <v>78</v>
      </c>
      <c r="J124" t="s">
        <v>70</v>
      </c>
      <c r="K124">
        <v>45</v>
      </c>
      <c r="L124" t="s">
        <v>13</v>
      </c>
    </row>
    <row r="125" spans="1:12">
      <c r="A125">
        <v>20965</v>
      </c>
      <c r="B125" t="s">
        <v>21</v>
      </c>
      <c r="C125" t="s">
        <v>21</v>
      </c>
      <c r="D125" s="1">
        <v>113533</v>
      </c>
      <c r="E125">
        <v>5</v>
      </c>
      <c r="F125" t="s">
        <v>14</v>
      </c>
      <c r="G125" t="s">
        <v>16</v>
      </c>
      <c r="H125" t="s">
        <v>13</v>
      </c>
      <c r="I125" t="s">
        <v>78</v>
      </c>
      <c r="J125" t="s">
        <v>70</v>
      </c>
      <c r="K125">
        <v>67</v>
      </c>
      <c r="L125" t="s">
        <v>13</v>
      </c>
    </row>
    <row r="126" spans="1:12">
      <c r="A126">
        <v>34538</v>
      </c>
      <c r="B126" t="s">
        <v>21</v>
      </c>
      <c r="C126" t="s">
        <v>20</v>
      </c>
      <c r="D126" s="1">
        <v>91975</v>
      </c>
      <c r="E126">
        <v>3</v>
      </c>
      <c r="F126" t="s">
        <v>10</v>
      </c>
      <c r="G126" t="s">
        <v>11</v>
      </c>
      <c r="H126" t="s">
        <v>13</v>
      </c>
      <c r="I126" t="s">
        <v>77</v>
      </c>
      <c r="J126" t="s">
        <v>64</v>
      </c>
      <c r="K126">
        <v>40</v>
      </c>
      <c r="L126" t="s">
        <v>13</v>
      </c>
    </row>
    <row r="127" spans="1:12">
      <c r="A127">
        <v>80592</v>
      </c>
      <c r="B127" t="s">
        <v>21</v>
      </c>
      <c r="C127" t="s">
        <v>21</v>
      </c>
      <c r="D127" s="1">
        <v>42785</v>
      </c>
      <c r="E127">
        <v>0</v>
      </c>
      <c r="F127" t="s">
        <v>19</v>
      </c>
      <c r="G127" t="s">
        <v>11</v>
      </c>
      <c r="H127" t="s">
        <v>13</v>
      </c>
      <c r="I127" t="s">
        <v>77</v>
      </c>
      <c r="J127" t="s">
        <v>69</v>
      </c>
      <c r="K127">
        <v>32</v>
      </c>
      <c r="L127" t="s">
        <v>13</v>
      </c>
    </row>
    <row r="128" spans="1:12">
      <c r="A128">
        <v>18110</v>
      </c>
      <c r="B128" t="s">
        <v>22</v>
      </c>
      <c r="C128" t="s">
        <v>20</v>
      </c>
      <c r="D128" s="1">
        <v>98928</v>
      </c>
      <c r="E128">
        <v>4</v>
      </c>
      <c r="F128" t="s">
        <v>14</v>
      </c>
      <c r="G128" t="s">
        <v>16</v>
      </c>
      <c r="H128" t="s">
        <v>13</v>
      </c>
      <c r="I128" t="s">
        <v>80</v>
      </c>
      <c r="J128" t="s">
        <v>70</v>
      </c>
      <c r="K128">
        <v>28</v>
      </c>
      <c r="L128" t="s">
        <v>13</v>
      </c>
    </row>
    <row r="129" spans="1:12">
      <c r="A129">
        <v>89309</v>
      </c>
      <c r="B129" t="s">
        <v>21</v>
      </c>
      <c r="C129" t="s">
        <v>20</v>
      </c>
      <c r="D129" s="1">
        <v>48669</v>
      </c>
      <c r="E129">
        <v>3</v>
      </c>
      <c r="F129" t="s">
        <v>19</v>
      </c>
      <c r="G129" t="s">
        <v>16</v>
      </c>
      <c r="H129" t="s">
        <v>13</v>
      </c>
      <c r="I129" t="s">
        <v>79</v>
      </c>
      <c r="J129" t="s">
        <v>70</v>
      </c>
      <c r="K129">
        <v>30</v>
      </c>
      <c r="L129" t="s">
        <v>12</v>
      </c>
    </row>
    <row r="130" spans="1:12">
      <c r="A130">
        <v>37266</v>
      </c>
      <c r="B130" t="s">
        <v>22</v>
      </c>
      <c r="C130" t="s">
        <v>20</v>
      </c>
      <c r="D130" s="1">
        <v>114475</v>
      </c>
      <c r="E130">
        <v>5</v>
      </c>
      <c r="F130" t="s">
        <v>14</v>
      </c>
      <c r="G130" t="s">
        <v>11</v>
      </c>
      <c r="H130" t="s">
        <v>12</v>
      </c>
      <c r="I130" t="s">
        <v>79</v>
      </c>
      <c r="J130" t="s">
        <v>73</v>
      </c>
      <c r="K130">
        <v>30</v>
      </c>
      <c r="L130" t="s">
        <v>13</v>
      </c>
    </row>
    <row r="131" spans="1:12">
      <c r="A131">
        <v>62992</v>
      </c>
      <c r="B131" t="s">
        <v>21</v>
      </c>
      <c r="C131" t="s">
        <v>20</v>
      </c>
      <c r="D131" s="1">
        <v>22282</v>
      </c>
      <c r="E131">
        <v>5</v>
      </c>
      <c r="F131" t="s">
        <v>14</v>
      </c>
      <c r="G131" t="s">
        <v>11</v>
      </c>
      <c r="H131" t="s">
        <v>12</v>
      </c>
      <c r="I131" t="s">
        <v>79</v>
      </c>
      <c r="J131" t="s">
        <v>69</v>
      </c>
      <c r="K131">
        <v>25</v>
      </c>
      <c r="L131" t="s">
        <v>13</v>
      </c>
    </row>
    <row r="132" spans="1:12">
      <c r="A132">
        <v>92948</v>
      </c>
      <c r="B132" t="s">
        <v>22</v>
      </c>
      <c r="C132" t="s">
        <v>20</v>
      </c>
      <c r="D132" s="1">
        <v>54624</v>
      </c>
      <c r="E132">
        <v>2</v>
      </c>
      <c r="F132" t="s">
        <v>10</v>
      </c>
      <c r="G132" t="s">
        <v>16</v>
      </c>
      <c r="H132" t="s">
        <v>13</v>
      </c>
      <c r="I132" t="s">
        <v>78</v>
      </c>
      <c r="J132" t="s">
        <v>63</v>
      </c>
      <c r="K132">
        <v>20</v>
      </c>
      <c r="L132" t="s">
        <v>12</v>
      </c>
    </row>
    <row r="133" spans="1:12">
      <c r="A133">
        <v>16910</v>
      </c>
      <c r="B133" t="s">
        <v>22</v>
      </c>
      <c r="C133" t="s">
        <v>21</v>
      </c>
      <c r="D133" s="1">
        <v>68438</v>
      </c>
      <c r="E133">
        <v>5</v>
      </c>
      <c r="F133" t="s">
        <v>17</v>
      </c>
      <c r="G133" t="s">
        <v>16</v>
      </c>
      <c r="H133" t="s">
        <v>12</v>
      </c>
      <c r="I133" t="s">
        <v>78</v>
      </c>
      <c r="J133" t="s">
        <v>73</v>
      </c>
      <c r="K133">
        <v>25</v>
      </c>
      <c r="L133" t="s">
        <v>13</v>
      </c>
    </row>
    <row r="134" spans="1:12">
      <c r="A134">
        <v>10206</v>
      </c>
      <c r="B134" t="s">
        <v>22</v>
      </c>
      <c r="C134" t="s">
        <v>20</v>
      </c>
      <c r="D134" s="1">
        <v>109900</v>
      </c>
      <c r="E134">
        <v>4</v>
      </c>
      <c r="F134" t="s">
        <v>10</v>
      </c>
      <c r="G134" t="s">
        <v>18</v>
      </c>
      <c r="H134" t="s">
        <v>13</v>
      </c>
      <c r="I134" t="s">
        <v>81</v>
      </c>
      <c r="J134" t="s">
        <v>63</v>
      </c>
      <c r="K134">
        <v>32</v>
      </c>
      <c r="L134" t="s">
        <v>13</v>
      </c>
    </row>
    <row r="135" spans="1:12">
      <c r="A135">
        <v>97054</v>
      </c>
      <c r="B135" t="s">
        <v>22</v>
      </c>
      <c r="C135" t="s">
        <v>21</v>
      </c>
      <c r="D135" s="1">
        <v>87534</v>
      </c>
      <c r="E135">
        <v>3</v>
      </c>
      <c r="F135" t="s">
        <v>19</v>
      </c>
      <c r="G135" t="s">
        <v>11</v>
      </c>
      <c r="H135" t="s">
        <v>12</v>
      </c>
      <c r="I135" t="s">
        <v>78</v>
      </c>
      <c r="J135" t="s">
        <v>65</v>
      </c>
      <c r="K135">
        <v>41</v>
      </c>
      <c r="L135" t="s">
        <v>12</v>
      </c>
    </row>
    <row r="136" spans="1:12">
      <c r="A136">
        <v>97897</v>
      </c>
      <c r="B136" t="s">
        <v>21</v>
      </c>
      <c r="C136" t="s">
        <v>21</v>
      </c>
      <c r="D136" s="1">
        <v>51705</v>
      </c>
      <c r="E136">
        <v>4</v>
      </c>
      <c r="F136" t="s">
        <v>19</v>
      </c>
      <c r="G136" t="s">
        <v>11</v>
      </c>
      <c r="H136" t="s">
        <v>13</v>
      </c>
      <c r="I136" t="s">
        <v>78</v>
      </c>
      <c r="J136" t="s">
        <v>64</v>
      </c>
      <c r="K136">
        <v>50</v>
      </c>
      <c r="L136" t="s">
        <v>12</v>
      </c>
    </row>
    <row r="137" spans="1:12">
      <c r="A137">
        <v>33419</v>
      </c>
      <c r="B137" t="s">
        <v>22</v>
      </c>
      <c r="C137" t="s">
        <v>20</v>
      </c>
      <c r="D137" s="1">
        <v>58244</v>
      </c>
      <c r="E137">
        <v>1</v>
      </c>
      <c r="F137" t="s">
        <v>14</v>
      </c>
      <c r="G137" t="s">
        <v>18</v>
      </c>
      <c r="H137" t="s">
        <v>12</v>
      </c>
      <c r="I137" t="s">
        <v>78</v>
      </c>
      <c r="J137" t="s">
        <v>60</v>
      </c>
      <c r="K137">
        <v>41</v>
      </c>
      <c r="L137" t="s">
        <v>13</v>
      </c>
    </row>
    <row r="138" spans="1:12">
      <c r="A138">
        <v>60636</v>
      </c>
      <c r="B138" t="s">
        <v>21</v>
      </c>
      <c r="C138" t="s">
        <v>20</v>
      </c>
      <c r="D138" s="1">
        <v>94964</v>
      </c>
      <c r="E138">
        <v>1</v>
      </c>
      <c r="F138" t="s">
        <v>14</v>
      </c>
      <c r="G138" t="s">
        <v>11</v>
      </c>
      <c r="H138" t="s">
        <v>12</v>
      </c>
      <c r="I138" t="s">
        <v>80</v>
      </c>
      <c r="J138" t="s">
        <v>66</v>
      </c>
      <c r="K138">
        <v>56</v>
      </c>
      <c r="L138" t="s">
        <v>13</v>
      </c>
    </row>
    <row r="139" spans="1:12">
      <c r="A139">
        <v>60015</v>
      </c>
      <c r="B139" t="s">
        <v>21</v>
      </c>
      <c r="C139" t="s">
        <v>21</v>
      </c>
      <c r="D139" s="1">
        <v>57437</v>
      </c>
      <c r="E139">
        <v>0</v>
      </c>
      <c r="F139" t="s">
        <v>17</v>
      </c>
      <c r="G139" t="s">
        <v>15</v>
      </c>
      <c r="H139" t="s">
        <v>12</v>
      </c>
      <c r="I139" t="s">
        <v>78</v>
      </c>
      <c r="J139" t="s">
        <v>64</v>
      </c>
      <c r="K139">
        <v>66</v>
      </c>
      <c r="L139" t="s">
        <v>13</v>
      </c>
    </row>
    <row r="140" spans="1:12">
      <c r="A140">
        <v>64268</v>
      </c>
      <c r="B140" t="s">
        <v>21</v>
      </c>
      <c r="C140" t="s">
        <v>21</v>
      </c>
      <c r="D140" s="1">
        <v>97872</v>
      </c>
      <c r="E140">
        <v>0</v>
      </c>
      <c r="F140" t="s">
        <v>10</v>
      </c>
      <c r="G140" t="s">
        <v>11</v>
      </c>
      <c r="H140" t="s">
        <v>12</v>
      </c>
      <c r="I140" t="s">
        <v>77</v>
      </c>
      <c r="J140" t="s">
        <v>74</v>
      </c>
      <c r="K140">
        <v>46</v>
      </c>
      <c r="L140" t="s">
        <v>12</v>
      </c>
    </row>
    <row r="141" spans="1:12">
      <c r="A141">
        <v>97939</v>
      </c>
      <c r="B141" t="s">
        <v>22</v>
      </c>
      <c r="C141" t="s">
        <v>21</v>
      </c>
      <c r="D141" s="1">
        <v>94878</v>
      </c>
      <c r="E141">
        <v>1</v>
      </c>
      <c r="F141" t="s">
        <v>19</v>
      </c>
      <c r="G141" t="s">
        <v>18</v>
      </c>
      <c r="H141" t="s">
        <v>12</v>
      </c>
      <c r="I141" t="s">
        <v>77</v>
      </c>
      <c r="J141" t="s">
        <v>61</v>
      </c>
      <c r="K141">
        <v>69</v>
      </c>
      <c r="L141" t="s">
        <v>12</v>
      </c>
    </row>
    <row r="142" spans="1:12">
      <c r="A142">
        <v>28141</v>
      </c>
      <c r="B142" t="s">
        <v>21</v>
      </c>
      <c r="C142" t="s">
        <v>20</v>
      </c>
      <c r="D142" s="1">
        <v>92982</v>
      </c>
      <c r="E142">
        <v>5</v>
      </c>
      <c r="F142" t="s">
        <v>14</v>
      </c>
      <c r="G142" t="s">
        <v>15</v>
      </c>
      <c r="H142" t="s">
        <v>13</v>
      </c>
      <c r="I142" t="s">
        <v>81</v>
      </c>
      <c r="J142" t="s">
        <v>69</v>
      </c>
      <c r="K142">
        <v>33</v>
      </c>
      <c r="L142" t="s">
        <v>12</v>
      </c>
    </row>
    <row r="143" spans="1:12">
      <c r="A143">
        <v>90356</v>
      </c>
      <c r="B143" t="s">
        <v>22</v>
      </c>
      <c r="C143" t="s">
        <v>21</v>
      </c>
      <c r="D143" s="1">
        <v>70583</v>
      </c>
      <c r="E143">
        <v>4</v>
      </c>
      <c r="F143" t="s">
        <v>17</v>
      </c>
      <c r="G143" t="s">
        <v>16</v>
      </c>
      <c r="H143" t="s">
        <v>13</v>
      </c>
      <c r="I143" t="s">
        <v>80</v>
      </c>
      <c r="J143" t="s">
        <v>74</v>
      </c>
      <c r="K143">
        <v>66</v>
      </c>
      <c r="L143" t="s">
        <v>12</v>
      </c>
    </row>
    <row r="144" spans="1:12">
      <c r="A144">
        <v>81910</v>
      </c>
      <c r="B144" t="s">
        <v>22</v>
      </c>
      <c r="C144" t="s">
        <v>20</v>
      </c>
      <c r="D144" s="1">
        <v>58392</v>
      </c>
      <c r="E144">
        <v>1</v>
      </c>
      <c r="F144" t="s">
        <v>19</v>
      </c>
      <c r="G144" t="s">
        <v>18</v>
      </c>
      <c r="H144" t="s">
        <v>13</v>
      </c>
      <c r="I144" t="s">
        <v>77</v>
      </c>
      <c r="J144" t="s">
        <v>60</v>
      </c>
      <c r="K144">
        <v>24</v>
      </c>
      <c r="L144" t="s">
        <v>12</v>
      </c>
    </row>
    <row r="145" spans="1:12">
      <c r="A145">
        <v>66044</v>
      </c>
      <c r="B145" t="s">
        <v>22</v>
      </c>
      <c r="C145" t="s">
        <v>20</v>
      </c>
      <c r="D145" s="1">
        <v>27461</v>
      </c>
      <c r="E145">
        <v>0</v>
      </c>
      <c r="F145" t="s">
        <v>14</v>
      </c>
      <c r="G145" t="s">
        <v>18</v>
      </c>
      <c r="H145" t="s">
        <v>12</v>
      </c>
      <c r="I145" t="s">
        <v>80</v>
      </c>
      <c r="J145" t="s">
        <v>59</v>
      </c>
      <c r="K145">
        <v>55</v>
      </c>
      <c r="L145" t="s">
        <v>13</v>
      </c>
    </row>
    <row r="146" spans="1:12">
      <c r="A146">
        <v>77214</v>
      </c>
      <c r="B146" t="s">
        <v>22</v>
      </c>
      <c r="C146" t="s">
        <v>20</v>
      </c>
      <c r="D146" s="1">
        <v>30516</v>
      </c>
      <c r="E146">
        <v>1</v>
      </c>
      <c r="F146" t="s">
        <v>19</v>
      </c>
      <c r="G146" t="s">
        <v>16</v>
      </c>
      <c r="H146" t="s">
        <v>13</v>
      </c>
      <c r="I146" t="s">
        <v>80</v>
      </c>
      <c r="J146" t="s">
        <v>69</v>
      </c>
      <c r="K146">
        <v>51</v>
      </c>
      <c r="L146" t="s">
        <v>12</v>
      </c>
    </row>
    <row r="147" spans="1:12">
      <c r="A147">
        <v>43827</v>
      </c>
      <c r="B147" t="s">
        <v>22</v>
      </c>
      <c r="C147" t="s">
        <v>21</v>
      </c>
      <c r="D147" s="1">
        <v>99285</v>
      </c>
      <c r="E147">
        <v>5</v>
      </c>
      <c r="F147" t="s">
        <v>17</v>
      </c>
      <c r="G147" t="s">
        <v>18</v>
      </c>
      <c r="H147" t="s">
        <v>12</v>
      </c>
      <c r="I147" t="s">
        <v>81</v>
      </c>
      <c r="J147" t="s">
        <v>62</v>
      </c>
      <c r="K147">
        <v>53</v>
      </c>
      <c r="L147" t="s">
        <v>12</v>
      </c>
    </row>
    <row r="148" spans="1:12">
      <c r="A148">
        <v>65820</v>
      </c>
      <c r="B148" t="s">
        <v>22</v>
      </c>
      <c r="C148" t="s">
        <v>20</v>
      </c>
      <c r="D148" s="1">
        <v>37514</v>
      </c>
      <c r="E148">
        <v>1</v>
      </c>
      <c r="F148" t="s">
        <v>17</v>
      </c>
      <c r="G148" t="s">
        <v>11</v>
      </c>
      <c r="H148" t="s">
        <v>12</v>
      </c>
      <c r="I148" t="s">
        <v>80</v>
      </c>
      <c r="J148" t="s">
        <v>66</v>
      </c>
      <c r="K148">
        <v>26</v>
      </c>
      <c r="L148" t="s">
        <v>12</v>
      </c>
    </row>
    <row r="149" spans="1:12">
      <c r="A149">
        <v>72623</v>
      </c>
      <c r="B149" t="s">
        <v>22</v>
      </c>
      <c r="C149" t="s">
        <v>20</v>
      </c>
      <c r="D149" s="1">
        <v>56268</v>
      </c>
      <c r="E149">
        <v>4</v>
      </c>
      <c r="F149" t="s">
        <v>19</v>
      </c>
      <c r="G149" t="s">
        <v>16</v>
      </c>
      <c r="H149" t="s">
        <v>12</v>
      </c>
      <c r="I149" t="s">
        <v>78</v>
      </c>
      <c r="J149" t="s">
        <v>63</v>
      </c>
      <c r="K149">
        <v>61</v>
      </c>
      <c r="L149" t="s">
        <v>12</v>
      </c>
    </row>
    <row r="150" spans="1:12">
      <c r="A150">
        <v>91734</v>
      </c>
      <c r="B150" t="s">
        <v>22</v>
      </c>
      <c r="C150" t="s">
        <v>20</v>
      </c>
      <c r="D150" s="1">
        <v>110486</v>
      </c>
      <c r="E150">
        <v>3</v>
      </c>
      <c r="F150" t="s">
        <v>10</v>
      </c>
      <c r="G150" t="s">
        <v>18</v>
      </c>
      <c r="H150" t="s">
        <v>13</v>
      </c>
      <c r="I150" t="s">
        <v>80</v>
      </c>
      <c r="J150" t="s">
        <v>73</v>
      </c>
      <c r="K150">
        <v>67</v>
      </c>
      <c r="L150" t="s">
        <v>13</v>
      </c>
    </row>
    <row r="151" spans="1:12">
      <c r="A151">
        <v>85450</v>
      </c>
      <c r="B151" t="s">
        <v>22</v>
      </c>
      <c r="C151" t="s">
        <v>20</v>
      </c>
      <c r="D151" s="1">
        <v>56788</v>
      </c>
      <c r="E151">
        <v>5</v>
      </c>
      <c r="F151" t="s">
        <v>19</v>
      </c>
      <c r="G151" t="s">
        <v>16</v>
      </c>
      <c r="H151" t="s">
        <v>12</v>
      </c>
      <c r="I151" t="s">
        <v>81</v>
      </c>
      <c r="J151" t="s">
        <v>72</v>
      </c>
      <c r="K151">
        <v>29</v>
      </c>
      <c r="L151" t="s">
        <v>13</v>
      </c>
    </row>
    <row r="152" spans="1:12">
      <c r="A152">
        <v>32299</v>
      </c>
      <c r="B152" t="s">
        <v>22</v>
      </c>
      <c r="C152" t="s">
        <v>20</v>
      </c>
      <c r="D152" s="1">
        <v>95749</v>
      </c>
      <c r="E152">
        <v>0</v>
      </c>
      <c r="F152" t="s">
        <v>14</v>
      </c>
      <c r="G152" t="s">
        <v>16</v>
      </c>
      <c r="H152" t="s">
        <v>13</v>
      </c>
      <c r="I152" t="s">
        <v>81</v>
      </c>
      <c r="J152" t="s">
        <v>67</v>
      </c>
      <c r="K152">
        <v>69</v>
      </c>
      <c r="L152" t="s">
        <v>13</v>
      </c>
    </row>
    <row r="153" spans="1:12">
      <c r="A153">
        <v>53585</v>
      </c>
      <c r="B153" t="s">
        <v>21</v>
      </c>
      <c r="C153" t="s">
        <v>21</v>
      </c>
      <c r="D153" s="1">
        <v>81049</v>
      </c>
      <c r="E153">
        <v>4</v>
      </c>
      <c r="F153" t="s">
        <v>10</v>
      </c>
      <c r="G153" t="s">
        <v>16</v>
      </c>
      <c r="H153" t="s">
        <v>13</v>
      </c>
      <c r="I153" t="s">
        <v>81</v>
      </c>
      <c r="J153" t="s">
        <v>63</v>
      </c>
      <c r="K153">
        <v>36</v>
      </c>
      <c r="L153" t="s">
        <v>12</v>
      </c>
    </row>
    <row r="154" spans="1:12">
      <c r="A154">
        <v>74044</v>
      </c>
      <c r="B154" t="s">
        <v>21</v>
      </c>
      <c r="C154" t="s">
        <v>20</v>
      </c>
      <c r="D154" s="1">
        <v>82493</v>
      </c>
      <c r="E154">
        <v>1</v>
      </c>
      <c r="F154" t="s">
        <v>14</v>
      </c>
      <c r="G154" t="s">
        <v>15</v>
      </c>
      <c r="H154" t="s">
        <v>12</v>
      </c>
      <c r="I154" t="s">
        <v>77</v>
      </c>
      <c r="J154" t="s">
        <v>60</v>
      </c>
      <c r="K154">
        <v>49</v>
      </c>
      <c r="L154" t="s">
        <v>12</v>
      </c>
    </row>
    <row r="155" spans="1:12">
      <c r="A155">
        <v>52557</v>
      </c>
      <c r="B155" t="s">
        <v>21</v>
      </c>
      <c r="C155" t="s">
        <v>20</v>
      </c>
      <c r="D155" s="1">
        <v>56027</v>
      </c>
      <c r="E155">
        <v>1</v>
      </c>
      <c r="F155" t="s">
        <v>19</v>
      </c>
      <c r="G155" t="s">
        <v>18</v>
      </c>
      <c r="H155" t="s">
        <v>12</v>
      </c>
      <c r="I155" t="s">
        <v>78</v>
      </c>
      <c r="J155" t="s">
        <v>66</v>
      </c>
      <c r="K155">
        <v>40</v>
      </c>
      <c r="L155" t="s">
        <v>13</v>
      </c>
    </row>
    <row r="156" spans="1:12">
      <c r="A156">
        <v>59080</v>
      </c>
      <c r="B156" t="s">
        <v>21</v>
      </c>
      <c r="C156" t="s">
        <v>21</v>
      </c>
      <c r="D156" s="1">
        <v>113547</v>
      </c>
      <c r="E156">
        <v>3</v>
      </c>
      <c r="F156" t="s">
        <v>10</v>
      </c>
      <c r="G156" t="s">
        <v>15</v>
      </c>
      <c r="H156" t="s">
        <v>13</v>
      </c>
      <c r="I156" t="s">
        <v>77</v>
      </c>
      <c r="J156" t="s">
        <v>64</v>
      </c>
      <c r="K156">
        <v>32</v>
      </c>
      <c r="L156" t="s">
        <v>12</v>
      </c>
    </row>
    <row r="157" spans="1:12">
      <c r="A157">
        <v>12693</v>
      </c>
      <c r="B157" t="s">
        <v>22</v>
      </c>
      <c r="C157" t="s">
        <v>20</v>
      </c>
      <c r="D157" s="1">
        <v>62849</v>
      </c>
      <c r="E157">
        <v>0</v>
      </c>
      <c r="F157" t="s">
        <v>14</v>
      </c>
      <c r="G157" t="s">
        <v>18</v>
      </c>
      <c r="H157" t="s">
        <v>13</v>
      </c>
      <c r="I157" t="s">
        <v>79</v>
      </c>
      <c r="J157" t="s">
        <v>74</v>
      </c>
      <c r="K157">
        <v>20</v>
      </c>
      <c r="L157" t="s">
        <v>13</v>
      </c>
    </row>
    <row r="158" spans="1:12">
      <c r="A158">
        <v>79163</v>
      </c>
      <c r="B158" t="s">
        <v>22</v>
      </c>
      <c r="C158" t="s">
        <v>21</v>
      </c>
      <c r="D158" s="1">
        <v>37858</v>
      </c>
      <c r="E158">
        <v>0</v>
      </c>
      <c r="F158" t="s">
        <v>19</v>
      </c>
      <c r="G158" t="s">
        <v>11</v>
      </c>
      <c r="H158" t="s">
        <v>13</v>
      </c>
      <c r="I158" t="s">
        <v>78</v>
      </c>
      <c r="J158" t="s">
        <v>67</v>
      </c>
      <c r="K158">
        <v>20</v>
      </c>
      <c r="L158" t="s">
        <v>12</v>
      </c>
    </row>
    <row r="159" spans="1:12">
      <c r="A159">
        <v>35939</v>
      </c>
      <c r="B159" t="s">
        <v>22</v>
      </c>
      <c r="C159" t="s">
        <v>20</v>
      </c>
      <c r="D159" s="1">
        <v>104162</v>
      </c>
      <c r="E159">
        <v>2</v>
      </c>
      <c r="F159" t="s">
        <v>19</v>
      </c>
      <c r="G159" t="s">
        <v>11</v>
      </c>
      <c r="H159" t="s">
        <v>13</v>
      </c>
      <c r="I159" t="s">
        <v>80</v>
      </c>
      <c r="J159" t="s">
        <v>60</v>
      </c>
      <c r="K159">
        <v>66</v>
      </c>
      <c r="L159" t="s">
        <v>13</v>
      </c>
    </row>
    <row r="160" spans="1:12">
      <c r="A160">
        <v>58925</v>
      </c>
      <c r="B160" t="s">
        <v>21</v>
      </c>
      <c r="C160" t="s">
        <v>21</v>
      </c>
      <c r="D160" s="1">
        <v>99003</v>
      </c>
      <c r="E160">
        <v>0</v>
      </c>
      <c r="F160" t="s">
        <v>10</v>
      </c>
      <c r="G160" t="s">
        <v>11</v>
      </c>
      <c r="H160" t="s">
        <v>13</v>
      </c>
      <c r="I160" t="s">
        <v>81</v>
      </c>
      <c r="J160" t="s">
        <v>70</v>
      </c>
      <c r="K160">
        <v>52</v>
      </c>
      <c r="L160" t="s">
        <v>12</v>
      </c>
    </row>
    <row r="161" spans="1:12">
      <c r="A161">
        <v>52941</v>
      </c>
      <c r="B161" t="s">
        <v>22</v>
      </c>
      <c r="C161" t="s">
        <v>21</v>
      </c>
      <c r="D161" s="1">
        <v>72395</v>
      </c>
      <c r="E161">
        <v>3</v>
      </c>
      <c r="F161" t="s">
        <v>19</v>
      </c>
      <c r="G161" t="s">
        <v>18</v>
      </c>
      <c r="H161" t="s">
        <v>13</v>
      </c>
      <c r="I161" t="s">
        <v>79</v>
      </c>
      <c r="J161" t="s">
        <v>71</v>
      </c>
      <c r="K161">
        <v>57</v>
      </c>
      <c r="L161" t="s">
        <v>13</v>
      </c>
    </row>
    <row r="162" spans="1:12">
      <c r="A162">
        <v>31834</v>
      </c>
      <c r="B162" t="s">
        <v>22</v>
      </c>
      <c r="C162" t="s">
        <v>20</v>
      </c>
      <c r="D162" s="1">
        <v>59758</v>
      </c>
      <c r="E162">
        <v>2</v>
      </c>
      <c r="F162" t="s">
        <v>17</v>
      </c>
      <c r="G162" t="s">
        <v>16</v>
      </c>
      <c r="H162" t="s">
        <v>12</v>
      </c>
      <c r="I162" t="s">
        <v>78</v>
      </c>
      <c r="J162" t="s">
        <v>73</v>
      </c>
      <c r="K162">
        <v>44</v>
      </c>
      <c r="L162" t="s">
        <v>13</v>
      </c>
    </row>
    <row r="163" spans="1:12">
      <c r="A163">
        <v>28047</v>
      </c>
      <c r="B163" t="s">
        <v>22</v>
      </c>
      <c r="C163" t="s">
        <v>20</v>
      </c>
      <c r="D163" s="1">
        <v>74312</v>
      </c>
      <c r="E163">
        <v>2</v>
      </c>
      <c r="F163" t="s">
        <v>14</v>
      </c>
      <c r="G163" t="s">
        <v>16</v>
      </c>
      <c r="H163" t="s">
        <v>13</v>
      </c>
      <c r="I163" t="s">
        <v>77</v>
      </c>
      <c r="J163" t="s">
        <v>59</v>
      </c>
      <c r="K163">
        <v>45</v>
      </c>
      <c r="L163" t="s">
        <v>13</v>
      </c>
    </row>
    <row r="164" spans="1:12">
      <c r="A164">
        <v>36105</v>
      </c>
      <c r="B164" t="s">
        <v>22</v>
      </c>
      <c r="C164" t="s">
        <v>20</v>
      </c>
      <c r="D164" s="1">
        <v>88670</v>
      </c>
      <c r="E164">
        <v>1</v>
      </c>
      <c r="F164" t="s">
        <v>14</v>
      </c>
      <c r="G164" t="s">
        <v>15</v>
      </c>
      <c r="H164" t="s">
        <v>13</v>
      </c>
      <c r="I164" t="s">
        <v>81</v>
      </c>
      <c r="J164" t="s">
        <v>60</v>
      </c>
      <c r="K164">
        <v>32</v>
      </c>
      <c r="L164" t="s">
        <v>13</v>
      </c>
    </row>
    <row r="165" spans="1:12">
      <c r="A165">
        <v>85766</v>
      </c>
      <c r="B165" t="s">
        <v>22</v>
      </c>
      <c r="C165" t="s">
        <v>21</v>
      </c>
      <c r="D165" s="1">
        <v>102279</v>
      </c>
      <c r="E165">
        <v>1</v>
      </c>
      <c r="F165" t="s">
        <v>19</v>
      </c>
      <c r="G165" t="s">
        <v>15</v>
      </c>
      <c r="H165" t="s">
        <v>13</v>
      </c>
      <c r="I165" t="s">
        <v>77</v>
      </c>
      <c r="J165" t="s">
        <v>60</v>
      </c>
      <c r="K165">
        <v>47</v>
      </c>
      <c r="L165" t="s">
        <v>13</v>
      </c>
    </row>
    <row r="166" spans="1:12">
      <c r="A166">
        <v>25707</v>
      </c>
      <c r="B166" t="s">
        <v>21</v>
      </c>
      <c r="C166" t="s">
        <v>21</v>
      </c>
      <c r="D166" s="1">
        <v>35434</v>
      </c>
      <c r="E166">
        <v>0</v>
      </c>
      <c r="F166" t="s">
        <v>19</v>
      </c>
      <c r="G166" t="s">
        <v>11</v>
      </c>
      <c r="H166" t="s">
        <v>13</v>
      </c>
      <c r="I166" t="s">
        <v>78</v>
      </c>
      <c r="J166" t="s">
        <v>69</v>
      </c>
      <c r="K166">
        <v>52</v>
      </c>
      <c r="L166" t="s">
        <v>13</v>
      </c>
    </row>
    <row r="167" spans="1:12">
      <c r="A167">
        <v>31976</v>
      </c>
      <c r="B167" t="s">
        <v>22</v>
      </c>
      <c r="C167" t="s">
        <v>21</v>
      </c>
      <c r="D167" s="1">
        <v>84047</v>
      </c>
      <c r="E167">
        <v>2</v>
      </c>
      <c r="F167" t="s">
        <v>17</v>
      </c>
      <c r="G167" t="s">
        <v>15</v>
      </c>
      <c r="H167" t="s">
        <v>12</v>
      </c>
      <c r="I167" t="s">
        <v>78</v>
      </c>
      <c r="J167" t="s">
        <v>61</v>
      </c>
      <c r="K167">
        <v>56</v>
      </c>
      <c r="L167" t="s">
        <v>12</v>
      </c>
    </row>
    <row r="168" spans="1:12">
      <c r="A168">
        <v>54262</v>
      </c>
      <c r="B168" t="s">
        <v>21</v>
      </c>
      <c r="C168" t="s">
        <v>20</v>
      </c>
      <c r="D168" s="1">
        <v>67775</v>
      </c>
      <c r="E168">
        <v>1</v>
      </c>
      <c r="F168" t="s">
        <v>10</v>
      </c>
      <c r="G168" t="s">
        <v>18</v>
      </c>
      <c r="H168" t="s">
        <v>12</v>
      </c>
      <c r="I168" t="s">
        <v>79</v>
      </c>
      <c r="J168" t="s">
        <v>59</v>
      </c>
      <c r="K168">
        <v>60</v>
      </c>
      <c r="L168" t="s">
        <v>12</v>
      </c>
    </row>
    <row r="169" spans="1:12">
      <c r="A169">
        <v>33776</v>
      </c>
      <c r="B169" t="s">
        <v>21</v>
      </c>
      <c r="C169" t="s">
        <v>21</v>
      </c>
      <c r="D169" s="1">
        <v>95769</v>
      </c>
      <c r="E169">
        <v>3</v>
      </c>
      <c r="F169" t="s">
        <v>19</v>
      </c>
      <c r="G169" t="s">
        <v>18</v>
      </c>
      <c r="H169" t="s">
        <v>13</v>
      </c>
      <c r="I169" t="s">
        <v>80</v>
      </c>
      <c r="J169" t="s">
        <v>69</v>
      </c>
      <c r="K169">
        <v>49</v>
      </c>
      <c r="L169" t="s">
        <v>13</v>
      </c>
    </row>
    <row r="170" spans="1:12">
      <c r="A170">
        <v>40080</v>
      </c>
      <c r="B170" t="s">
        <v>22</v>
      </c>
      <c r="C170" t="s">
        <v>21</v>
      </c>
      <c r="D170" s="1">
        <v>86677</v>
      </c>
      <c r="E170">
        <v>1</v>
      </c>
      <c r="F170" t="s">
        <v>19</v>
      </c>
      <c r="G170" t="s">
        <v>15</v>
      </c>
      <c r="H170" t="s">
        <v>13</v>
      </c>
      <c r="I170" t="s">
        <v>77</v>
      </c>
      <c r="J170" t="s">
        <v>62</v>
      </c>
      <c r="K170">
        <v>68</v>
      </c>
      <c r="L170" t="s">
        <v>13</v>
      </c>
    </row>
    <row r="171" spans="1:12">
      <c r="A171">
        <v>76842</v>
      </c>
      <c r="B171" t="s">
        <v>21</v>
      </c>
      <c r="C171" t="s">
        <v>20</v>
      </c>
      <c r="D171" s="1">
        <v>103555</v>
      </c>
      <c r="E171">
        <v>5</v>
      </c>
      <c r="F171" t="s">
        <v>19</v>
      </c>
      <c r="G171" t="s">
        <v>15</v>
      </c>
      <c r="H171" t="s">
        <v>13</v>
      </c>
      <c r="I171" t="s">
        <v>79</v>
      </c>
      <c r="J171" t="s">
        <v>68</v>
      </c>
      <c r="K171">
        <v>67</v>
      </c>
      <c r="L171" t="s">
        <v>12</v>
      </c>
    </row>
    <row r="172" spans="1:12">
      <c r="A172">
        <v>71373</v>
      </c>
      <c r="B172" t="s">
        <v>22</v>
      </c>
      <c r="C172" t="s">
        <v>21</v>
      </c>
      <c r="D172" s="1">
        <v>105920</v>
      </c>
      <c r="E172">
        <v>5</v>
      </c>
      <c r="F172" t="s">
        <v>19</v>
      </c>
      <c r="G172" t="s">
        <v>15</v>
      </c>
      <c r="H172" t="s">
        <v>12</v>
      </c>
      <c r="I172" t="s">
        <v>81</v>
      </c>
      <c r="J172" t="s">
        <v>74</v>
      </c>
      <c r="K172">
        <v>27</v>
      </c>
      <c r="L172" t="s">
        <v>12</v>
      </c>
    </row>
    <row r="173" spans="1:12">
      <c r="A173">
        <v>16776</v>
      </c>
      <c r="B173" t="s">
        <v>21</v>
      </c>
      <c r="C173" t="s">
        <v>21</v>
      </c>
      <c r="D173" s="1">
        <v>65734</v>
      </c>
      <c r="E173">
        <v>1</v>
      </c>
      <c r="F173" t="s">
        <v>14</v>
      </c>
      <c r="G173" t="s">
        <v>15</v>
      </c>
      <c r="H173" t="s">
        <v>12</v>
      </c>
      <c r="I173" t="s">
        <v>80</v>
      </c>
      <c r="J173" t="s">
        <v>63</v>
      </c>
      <c r="K173">
        <v>68</v>
      </c>
      <c r="L173" t="s">
        <v>13</v>
      </c>
    </row>
    <row r="174" spans="1:12">
      <c r="A174">
        <v>65016</v>
      </c>
      <c r="B174" t="s">
        <v>22</v>
      </c>
      <c r="C174" t="s">
        <v>20</v>
      </c>
      <c r="D174" s="1">
        <v>108503</v>
      </c>
      <c r="E174">
        <v>2</v>
      </c>
      <c r="F174" t="s">
        <v>19</v>
      </c>
      <c r="G174" t="s">
        <v>11</v>
      </c>
      <c r="H174" t="s">
        <v>12</v>
      </c>
      <c r="I174" t="s">
        <v>79</v>
      </c>
      <c r="J174" t="s">
        <v>60</v>
      </c>
      <c r="K174">
        <v>66</v>
      </c>
      <c r="L174" t="s">
        <v>12</v>
      </c>
    </row>
    <row r="175" spans="1:12">
      <c r="A175">
        <v>19474</v>
      </c>
      <c r="B175" t="s">
        <v>21</v>
      </c>
      <c r="C175" t="s">
        <v>21</v>
      </c>
      <c r="D175" s="1">
        <v>60603</v>
      </c>
      <c r="E175">
        <v>2</v>
      </c>
      <c r="F175" t="s">
        <v>14</v>
      </c>
      <c r="G175" t="s">
        <v>11</v>
      </c>
      <c r="H175" t="s">
        <v>12</v>
      </c>
      <c r="I175" t="s">
        <v>77</v>
      </c>
      <c r="J175" t="s">
        <v>67</v>
      </c>
      <c r="K175">
        <v>20</v>
      </c>
      <c r="L175" t="s">
        <v>12</v>
      </c>
    </row>
    <row r="176" spans="1:12">
      <c r="A176">
        <v>68053</v>
      </c>
      <c r="B176" t="s">
        <v>22</v>
      </c>
      <c r="C176" t="s">
        <v>20</v>
      </c>
      <c r="D176" s="1">
        <v>96708</v>
      </c>
      <c r="E176">
        <v>4</v>
      </c>
      <c r="F176" t="s">
        <v>19</v>
      </c>
      <c r="G176" t="s">
        <v>15</v>
      </c>
      <c r="H176" t="s">
        <v>12</v>
      </c>
      <c r="I176" t="s">
        <v>78</v>
      </c>
      <c r="J176" t="s">
        <v>74</v>
      </c>
      <c r="K176">
        <v>31</v>
      </c>
      <c r="L176" t="s">
        <v>12</v>
      </c>
    </row>
    <row r="177" spans="1:12">
      <c r="A177">
        <v>31959</v>
      </c>
      <c r="B177" t="s">
        <v>22</v>
      </c>
      <c r="C177" t="s">
        <v>20</v>
      </c>
      <c r="D177" s="1">
        <v>101926</v>
      </c>
      <c r="E177">
        <v>5</v>
      </c>
      <c r="F177" t="s">
        <v>10</v>
      </c>
      <c r="G177" t="s">
        <v>18</v>
      </c>
      <c r="H177" t="s">
        <v>12</v>
      </c>
      <c r="I177" t="s">
        <v>81</v>
      </c>
      <c r="J177" t="s">
        <v>59</v>
      </c>
      <c r="K177">
        <v>24</v>
      </c>
      <c r="L177" t="s">
        <v>13</v>
      </c>
    </row>
    <row r="178" spans="1:12">
      <c r="A178">
        <v>15530</v>
      </c>
      <c r="B178" t="s">
        <v>21</v>
      </c>
      <c r="C178" t="s">
        <v>20</v>
      </c>
      <c r="D178" s="1">
        <v>88803</v>
      </c>
      <c r="E178">
        <v>3</v>
      </c>
      <c r="F178" t="s">
        <v>17</v>
      </c>
      <c r="G178" t="s">
        <v>11</v>
      </c>
      <c r="H178" t="s">
        <v>13</v>
      </c>
      <c r="I178" t="s">
        <v>77</v>
      </c>
      <c r="J178" t="s">
        <v>63</v>
      </c>
      <c r="K178">
        <v>43</v>
      </c>
      <c r="L178" t="s">
        <v>12</v>
      </c>
    </row>
    <row r="179" spans="1:12">
      <c r="A179">
        <v>13748</v>
      </c>
      <c r="B179" t="s">
        <v>22</v>
      </c>
      <c r="C179" t="s">
        <v>20</v>
      </c>
      <c r="D179" s="1">
        <v>59332</v>
      </c>
      <c r="E179">
        <v>2</v>
      </c>
      <c r="F179" t="s">
        <v>10</v>
      </c>
      <c r="G179" t="s">
        <v>18</v>
      </c>
      <c r="H179" t="s">
        <v>12</v>
      </c>
      <c r="I179" t="s">
        <v>80</v>
      </c>
      <c r="J179" t="s">
        <v>62</v>
      </c>
      <c r="K179">
        <v>25</v>
      </c>
      <c r="L179" t="s">
        <v>13</v>
      </c>
    </row>
    <row r="180" spans="1:12">
      <c r="A180">
        <v>23545</v>
      </c>
      <c r="B180" t="s">
        <v>22</v>
      </c>
      <c r="C180" t="s">
        <v>20</v>
      </c>
      <c r="D180" s="1">
        <v>111703</v>
      </c>
      <c r="E180">
        <v>0</v>
      </c>
      <c r="F180" t="s">
        <v>19</v>
      </c>
      <c r="G180" t="s">
        <v>16</v>
      </c>
      <c r="H180" t="s">
        <v>12</v>
      </c>
      <c r="I180" t="s">
        <v>80</v>
      </c>
      <c r="J180" t="s">
        <v>65</v>
      </c>
      <c r="K180">
        <v>44</v>
      </c>
      <c r="L180" t="s">
        <v>12</v>
      </c>
    </row>
    <row r="181" spans="1:12">
      <c r="A181">
        <v>76199</v>
      </c>
      <c r="B181" t="s">
        <v>21</v>
      </c>
      <c r="C181" t="s">
        <v>21</v>
      </c>
      <c r="D181" s="1">
        <v>41312</v>
      </c>
      <c r="E181">
        <v>5</v>
      </c>
      <c r="F181" t="s">
        <v>19</v>
      </c>
      <c r="G181" t="s">
        <v>18</v>
      </c>
      <c r="H181" t="s">
        <v>13</v>
      </c>
      <c r="I181" t="s">
        <v>78</v>
      </c>
      <c r="J181" t="s">
        <v>62</v>
      </c>
      <c r="K181">
        <v>20</v>
      </c>
      <c r="L181" t="s">
        <v>13</v>
      </c>
    </row>
    <row r="182" spans="1:12">
      <c r="A182">
        <v>44766</v>
      </c>
      <c r="B182" t="s">
        <v>21</v>
      </c>
      <c r="C182" t="s">
        <v>21</v>
      </c>
      <c r="D182" s="1">
        <v>113376</v>
      </c>
      <c r="E182">
        <v>3</v>
      </c>
      <c r="F182" t="s">
        <v>19</v>
      </c>
      <c r="G182" t="s">
        <v>15</v>
      </c>
      <c r="H182" t="s">
        <v>12</v>
      </c>
      <c r="I182" t="s">
        <v>78</v>
      </c>
      <c r="J182" t="s">
        <v>63</v>
      </c>
      <c r="K182">
        <v>44</v>
      </c>
      <c r="L182" t="s">
        <v>13</v>
      </c>
    </row>
    <row r="183" spans="1:12">
      <c r="A183">
        <v>83530</v>
      </c>
      <c r="B183" t="s">
        <v>21</v>
      </c>
      <c r="C183" t="s">
        <v>20</v>
      </c>
      <c r="D183" s="1">
        <v>104526</v>
      </c>
      <c r="E183">
        <v>3</v>
      </c>
      <c r="F183" t="s">
        <v>10</v>
      </c>
      <c r="G183" t="s">
        <v>16</v>
      </c>
      <c r="H183" t="s">
        <v>13</v>
      </c>
      <c r="I183" t="s">
        <v>81</v>
      </c>
      <c r="J183" t="s">
        <v>69</v>
      </c>
      <c r="K183">
        <v>20</v>
      </c>
      <c r="L183" t="s">
        <v>12</v>
      </c>
    </row>
    <row r="184" spans="1:12">
      <c r="A184">
        <v>71087</v>
      </c>
      <c r="B184" t="s">
        <v>21</v>
      </c>
      <c r="C184" t="s">
        <v>20</v>
      </c>
      <c r="D184" s="1">
        <v>64179</v>
      </c>
      <c r="E184">
        <v>2</v>
      </c>
      <c r="F184" t="s">
        <v>19</v>
      </c>
      <c r="G184" t="s">
        <v>11</v>
      </c>
      <c r="H184" t="s">
        <v>12</v>
      </c>
      <c r="I184" t="s">
        <v>81</v>
      </c>
      <c r="J184" t="s">
        <v>71</v>
      </c>
      <c r="K184">
        <v>51</v>
      </c>
      <c r="L184" t="s">
        <v>13</v>
      </c>
    </row>
    <row r="185" spans="1:12">
      <c r="A185">
        <v>78840</v>
      </c>
      <c r="B185" t="s">
        <v>22</v>
      </c>
      <c r="C185" t="s">
        <v>21</v>
      </c>
      <c r="D185" s="1">
        <v>91442</v>
      </c>
      <c r="E185">
        <v>3</v>
      </c>
      <c r="F185" t="s">
        <v>10</v>
      </c>
      <c r="G185" t="s">
        <v>11</v>
      </c>
      <c r="H185" t="s">
        <v>13</v>
      </c>
      <c r="I185" t="s">
        <v>78</v>
      </c>
      <c r="J185" t="s">
        <v>70</v>
      </c>
      <c r="K185">
        <v>61</v>
      </c>
      <c r="L185" t="s">
        <v>12</v>
      </c>
    </row>
    <row r="186" spans="1:12">
      <c r="A186">
        <v>64384</v>
      </c>
      <c r="B186" t="s">
        <v>22</v>
      </c>
      <c r="C186" t="s">
        <v>20</v>
      </c>
      <c r="D186" s="1">
        <v>60379</v>
      </c>
      <c r="E186">
        <v>2</v>
      </c>
      <c r="F186" t="s">
        <v>14</v>
      </c>
      <c r="G186" t="s">
        <v>16</v>
      </c>
      <c r="H186" t="s">
        <v>13</v>
      </c>
      <c r="I186" t="s">
        <v>78</v>
      </c>
      <c r="J186" t="s">
        <v>60</v>
      </c>
      <c r="K186">
        <v>61</v>
      </c>
      <c r="L186" t="s">
        <v>12</v>
      </c>
    </row>
    <row r="187" spans="1:12">
      <c r="A187">
        <v>61005</v>
      </c>
      <c r="B187" t="s">
        <v>21</v>
      </c>
      <c r="C187" t="s">
        <v>20</v>
      </c>
      <c r="D187" s="1">
        <v>37297</v>
      </c>
      <c r="E187">
        <v>1</v>
      </c>
      <c r="F187" t="s">
        <v>17</v>
      </c>
      <c r="G187" t="s">
        <v>18</v>
      </c>
      <c r="H187" t="s">
        <v>13</v>
      </c>
      <c r="I187" t="s">
        <v>80</v>
      </c>
      <c r="J187" t="s">
        <v>69</v>
      </c>
      <c r="K187">
        <v>22</v>
      </c>
      <c r="L187" t="s">
        <v>13</v>
      </c>
    </row>
    <row r="188" spans="1:12">
      <c r="A188">
        <v>56576</v>
      </c>
      <c r="B188" t="s">
        <v>21</v>
      </c>
      <c r="C188" t="s">
        <v>20</v>
      </c>
      <c r="D188" s="1">
        <v>22011</v>
      </c>
      <c r="E188">
        <v>5</v>
      </c>
      <c r="F188" t="s">
        <v>17</v>
      </c>
      <c r="G188" t="s">
        <v>11</v>
      </c>
      <c r="H188" t="s">
        <v>13</v>
      </c>
      <c r="I188" t="s">
        <v>78</v>
      </c>
      <c r="J188" t="s">
        <v>67</v>
      </c>
      <c r="K188">
        <v>68</v>
      </c>
      <c r="L188" t="s">
        <v>12</v>
      </c>
    </row>
    <row r="189" spans="1:12">
      <c r="A189">
        <v>49353</v>
      </c>
      <c r="B189" t="s">
        <v>22</v>
      </c>
      <c r="C189" t="s">
        <v>21</v>
      </c>
      <c r="D189" s="1">
        <v>64014</v>
      </c>
      <c r="E189">
        <v>4</v>
      </c>
      <c r="F189" t="s">
        <v>10</v>
      </c>
      <c r="G189" t="s">
        <v>15</v>
      </c>
      <c r="H189" t="s">
        <v>13</v>
      </c>
      <c r="I189" t="s">
        <v>79</v>
      </c>
      <c r="J189" t="s">
        <v>66</v>
      </c>
      <c r="K189">
        <v>38</v>
      </c>
      <c r="L189" t="s">
        <v>13</v>
      </c>
    </row>
    <row r="190" spans="1:12">
      <c r="A190">
        <v>72003</v>
      </c>
      <c r="B190" t="s">
        <v>21</v>
      </c>
      <c r="C190" t="s">
        <v>21</v>
      </c>
      <c r="D190" s="1">
        <v>31738</v>
      </c>
      <c r="E190">
        <v>1</v>
      </c>
      <c r="F190" t="s">
        <v>14</v>
      </c>
      <c r="G190" t="s">
        <v>16</v>
      </c>
      <c r="H190" t="s">
        <v>12</v>
      </c>
      <c r="I190" t="s">
        <v>77</v>
      </c>
      <c r="J190" t="s">
        <v>60</v>
      </c>
      <c r="K190">
        <v>62</v>
      </c>
      <c r="L190" t="s">
        <v>12</v>
      </c>
    </row>
    <row r="191" spans="1:12">
      <c r="A191">
        <v>93211</v>
      </c>
      <c r="B191" t="s">
        <v>21</v>
      </c>
      <c r="C191" t="s">
        <v>20</v>
      </c>
      <c r="D191" s="1">
        <v>114333</v>
      </c>
      <c r="E191">
        <v>5</v>
      </c>
      <c r="F191" t="s">
        <v>10</v>
      </c>
      <c r="G191" t="s">
        <v>15</v>
      </c>
      <c r="H191" t="s">
        <v>12</v>
      </c>
      <c r="I191" t="s">
        <v>78</v>
      </c>
      <c r="J191" t="s">
        <v>59</v>
      </c>
      <c r="K191">
        <v>48</v>
      </c>
      <c r="L191" t="s">
        <v>12</v>
      </c>
    </row>
    <row r="192" spans="1:12">
      <c r="A192">
        <v>62733</v>
      </c>
      <c r="B192" t="s">
        <v>22</v>
      </c>
      <c r="C192" t="s">
        <v>20</v>
      </c>
      <c r="D192" s="1">
        <v>67498</v>
      </c>
      <c r="E192">
        <v>2</v>
      </c>
      <c r="F192" t="s">
        <v>14</v>
      </c>
      <c r="G192" t="s">
        <v>16</v>
      </c>
      <c r="H192" t="s">
        <v>13</v>
      </c>
      <c r="I192" t="s">
        <v>81</v>
      </c>
      <c r="J192" t="s">
        <v>74</v>
      </c>
      <c r="K192">
        <v>69</v>
      </c>
      <c r="L192" t="s">
        <v>12</v>
      </c>
    </row>
    <row r="193" spans="1:12">
      <c r="A193">
        <v>75318</v>
      </c>
      <c r="B193" t="s">
        <v>22</v>
      </c>
      <c r="C193" t="s">
        <v>21</v>
      </c>
      <c r="D193" s="1">
        <v>31120</v>
      </c>
      <c r="E193">
        <v>5</v>
      </c>
      <c r="F193" t="s">
        <v>19</v>
      </c>
      <c r="G193" t="s">
        <v>11</v>
      </c>
      <c r="H193" t="s">
        <v>13</v>
      </c>
      <c r="I193" t="s">
        <v>79</v>
      </c>
      <c r="J193" t="s">
        <v>68</v>
      </c>
      <c r="K193">
        <v>21</v>
      </c>
      <c r="L193" t="s">
        <v>13</v>
      </c>
    </row>
    <row r="194" spans="1:12">
      <c r="A194">
        <v>99474</v>
      </c>
      <c r="B194" t="s">
        <v>22</v>
      </c>
      <c r="C194" t="s">
        <v>21</v>
      </c>
      <c r="D194" s="1">
        <v>28767</v>
      </c>
      <c r="E194">
        <v>2</v>
      </c>
      <c r="F194" t="s">
        <v>14</v>
      </c>
      <c r="G194" t="s">
        <v>18</v>
      </c>
      <c r="H194" t="s">
        <v>13</v>
      </c>
      <c r="I194" t="s">
        <v>81</v>
      </c>
      <c r="J194" t="s">
        <v>60</v>
      </c>
      <c r="K194">
        <v>28</v>
      </c>
      <c r="L194" t="s">
        <v>12</v>
      </c>
    </row>
    <row r="195" spans="1:12">
      <c r="A195">
        <v>33664</v>
      </c>
      <c r="B195" t="s">
        <v>22</v>
      </c>
      <c r="C195" t="s">
        <v>20</v>
      </c>
      <c r="D195" s="1">
        <v>42852</v>
      </c>
      <c r="E195">
        <v>1</v>
      </c>
      <c r="F195" t="s">
        <v>14</v>
      </c>
      <c r="G195" t="s">
        <v>16</v>
      </c>
      <c r="H195" t="s">
        <v>12</v>
      </c>
      <c r="I195" t="s">
        <v>79</v>
      </c>
      <c r="J195" t="s">
        <v>67</v>
      </c>
      <c r="K195">
        <v>36</v>
      </c>
      <c r="L195" t="s">
        <v>13</v>
      </c>
    </row>
    <row r="196" spans="1:12">
      <c r="A196">
        <v>77172</v>
      </c>
      <c r="B196" t="s">
        <v>21</v>
      </c>
      <c r="C196" t="s">
        <v>20</v>
      </c>
      <c r="D196" s="1">
        <v>99239</v>
      </c>
      <c r="E196">
        <v>0</v>
      </c>
      <c r="F196" t="s">
        <v>14</v>
      </c>
      <c r="G196" t="s">
        <v>16</v>
      </c>
      <c r="H196" t="s">
        <v>13</v>
      </c>
      <c r="I196" t="s">
        <v>78</v>
      </c>
      <c r="J196" t="s">
        <v>73</v>
      </c>
      <c r="K196">
        <v>65</v>
      </c>
      <c r="L196" t="s">
        <v>12</v>
      </c>
    </row>
    <row r="197" spans="1:12">
      <c r="A197">
        <v>95616</v>
      </c>
      <c r="B197" t="s">
        <v>22</v>
      </c>
      <c r="C197" t="s">
        <v>21</v>
      </c>
      <c r="D197" s="1">
        <v>20929</v>
      </c>
      <c r="E197">
        <v>0</v>
      </c>
      <c r="F197" t="s">
        <v>17</v>
      </c>
      <c r="G197" t="s">
        <v>15</v>
      </c>
      <c r="H197" t="s">
        <v>13</v>
      </c>
      <c r="I197" t="s">
        <v>77</v>
      </c>
      <c r="J197" t="s">
        <v>72</v>
      </c>
      <c r="K197">
        <v>55</v>
      </c>
      <c r="L197" t="s">
        <v>12</v>
      </c>
    </row>
    <row r="198" spans="1:12">
      <c r="A198">
        <v>36736</v>
      </c>
      <c r="B198" t="s">
        <v>21</v>
      </c>
      <c r="C198" t="s">
        <v>21</v>
      </c>
      <c r="D198" s="1">
        <v>97487</v>
      </c>
      <c r="E198">
        <v>5</v>
      </c>
      <c r="F198" t="s">
        <v>14</v>
      </c>
      <c r="G198" t="s">
        <v>11</v>
      </c>
      <c r="H198" t="s">
        <v>13</v>
      </c>
      <c r="I198" t="s">
        <v>81</v>
      </c>
      <c r="J198" t="s">
        <v>73</v>
      </c>
      <c r="K198">
        <v>36</v>
      </c>
      <c r="L198" t="s">
        <v>13</v>
      </c>
    </row>
    <row r="199" spans="1:12">
      <c r="A199">
        <v>10854</v>
      </c>
      <c r="B199" t="s">
        <v>21</v>
      </c>
      <c r="C199" t="s">
        <v>21</v>
      </c>
      <c r="D199" s="1">
        <v>111575</v>
      </c>
      <c r="E199">
        <v>0</v>
      </c>
      <c r="F199" t="s">
        <v>19</v>
      </c>
      <c r="G199" t="s">
        <v>15</v>
      </c>
      <c r="H199" t="s">
        <v>13</v>
      </c>
      <c r="I199" t="s">
        <v>79</v>
      </c>
      <c r="J199" t="s">
        <v>62</v>
      </c>
      <c r="K199">
        <v>68</v>
      </c>
      <c r="L199" t="s">
        <v>13</v>
      </c>
    </row>
    <row r="200" spans="1:12">
      <c r="A200">
        <v>48623</v>
      </c>
      <c r="B200" t="s">
        <v>21</v>
      </c>
      <c r="C200" t="s">
        <v>20</v>
      </c>
      <c r="D200" s="1">
        <v>115040</v>
      </c>
      <c r="E200">
        <v>2</v>
      </c>
      <c r="F200" t="s">
        <v>19</v>
      </c>
      <c r="G200" t="s">
        <v>11</v>
      </c>
      <c r="H200" t="s">
        <v>12</v>
      </c>
      <c r="I200" t="s">
        <v>80</v>
      </c>
      <c r="J200" t="s">
        <v>64</v>
      </c>
      <c r="K200">
        <v>31</v>
      </c>
      <c r="L200" t="s">
        <v>12</v>
      </c>
    </row>
    <row r="201" spans="1:12">
      <c r="A201">
        <v>17392</v>
      </c>
      <c r="B201" t="s">
        <v>21</v>
      </c>
      <c r="C201" t="s">
        <v>21</v>
      </c>
      <c r="D201" s="1">
        <v>37438</v>
      </c>
      <c r="E201">
        <v>3</v>
      </c>
      <c r="F201" t="s">
        <v>19</v>
      </c>
      <c r="G201" t="s">
        <v>15</v>
      </c>
      <c r="H201" t="s">
        <v>13</v>
      </c>
      <c r="I201" t="s">
        <v>78</v>
      </c>
      <c r="J201" t="s">
        <v>64</v>
      </c>
      <c r="K201">
        <v>39</v>
      </c>
      <c r="L201" t="s">
        <v>13</v>
      </c>
    </row>
    <row r="202" spans="1:12">
      <c r="A202">
        <v>65680</v>
      </c>
      <c r="B202" t="s">
        <v>22</v>
      </c>
      <c r="C202" t="s">
        <v>20</v>
      </c>
      <c r="D202" s="1">
        <v>68515</v>
      </c>
      <c r="E202">
        <v>2</v>
      </c>
      <c r="F202" t="s">
        <v>14</v>
      </c>
      <c r="G202" t="s">
        <v>16</v>
      </c>
      <c r="H202" t="s">
        <v>13</v>
      </c>
      <c r="I202" t="s">
        <v>77</v>
      </c>
      <c r="J202" t="s">
        <v>70</v>
      </c>
      <c r="K202">
        <v>69</v>
      </c>
      <c r="L202" t="s">
        <v>12</v>
      </c>
    </row>
    <row r="203" spans="1:12">
      <c r="A203">
        <v>56717</v>
      </c>
      <c r="B203" t="s">
        <v>21</v>
      </c>
      <c r="C203" t="s">
        <v>21</v>
      </c>
      <c r="D203" s="1">
        <v>25744</v>
      </c>
      <c r="E203">
        <v>3</v>
      </c>
      <c r="F203" t="s">
        <v>10</v>
      </c>
      <c r="G203" t="s">
        <v>15</v>
      </c>
      <c r="H203" t="s">
        <v>12</v>
      </c>
      <c r="I203" t="s">
        <v>78</v>
      </c>
      <c r="J203" t="s">
        <v>60</v>
      </c>
      <c r="K203">
        <v>22</v>
      </c>
      <c r="L203" t="s">
        <v>13</v>
      </c>
    </row>
    <row r="204" spans="1:12">
      <c r="A204">
        <v>97092</v>
      </c>
      <c r="B204" t="s">
        <v>21</v>
      </c>
      <c r="C204" t="s">
        <v>21</v>
      </c>
      <c r="D204" s="1">
        <v>103820</v>
      </c>
      <c r="E204">
        <v>1</v>
      </c>
      <c r="F204" t="s">
        <v>10</v>
      </c>
      <c r="G204" t="s">
        <v>18</v>
      </c>
      <c r="H204" t="s">
        <v>13</v>
      </c>
      <c r="I204" t="s">
        <v>80</v>
      </c>
      <c r="J204" t="s">
        <v>69</v>
      </c>
      <c r="K204">
        <v>62</v>
      </c>
      <c r="L204" t="s">
        <v>13</v>
      </c>
    </row>
    <row r="205" spans="1:12">
      <c r="A205">
        <v>60859</v>
      </c>
      <c r="B205" t="s">
        <v>21</v>
      </c>
      <c r="C205" t="s">
        <v>21</v>
      </c>
      <c r="D205" s="1">
        <v>62417</v>
      </c>
      <c r="E205">
        <v>4</v>
      </c>
      <c r="F205" t="s">
        <v>19</v>
      </c>
      <c r="G205" t="s">
        <v>11</v>
      </c>
      <c r="H205" t="s">
        <v>13</v>
      </c>
      <c r="I205" t="s">
        <v>77</v>
      </c>
      <c r="J205" t="s">
        <v>73</v>
      </c>
      <c r="K205">
        <v>69</v>
      </c>
      <c r="L205" t="s">
        <v>13</v>
      </c>
    </row>
    <row r="206" spans="1:12">
      <c r="A206">
        <v>36309</v>
      </c>
      <c r="B206" t="s">
        <v>21</v>
      </c>
      <c r="C206" t="s">
        <v>21</v>
      </c>
      <c r="D206" s="1">
        <v>27069</v>
      </c>
      <c r="E206">
        <v>3</v>
      </c>
      <c r="F206" t="s">
        <v>17</v>
      </c>
      <c r="G206" t="s">
        <v>11</v>
      </c>
      <c r="H206" t="s">
        <v>12</v>
      </c>
      <c r="I206" t="s">
        <v>80</v>
      </c>
      <c r="J206" t="s">
        <v>61</v>
      </c>
      <c r="K206">
        <v>23</v>
      </c>
      <c r="L206" t="s">
        <v>13</v>
      </c>
    </row>
    <row r="207" spans="1:12">
      <c r="A207">
        <v>97455</v>
      </c>
      <c r="B207" t="s">
        <v>22</v>
      </c>
      <c r="C207" t="s">
        <v>20</v>
      </c>
      <c r="D207" s="1">
        <v>62359</v>
      </c>
      <c r="E207">
        <v>0</v>
      </c>
      <c r="F207" t="s">
        <v>10</v>
      </c>
      <c r="G207" t="s">
        <v>16</v>
      </c>
      <c r="H207" t="s">
        <v>12</v>
      </c>
      <c r="I207" t="s">
        <v>78</v>
      </c>
      <c r="J207" t="s">
        <v>70</v>
      </c>
      <c r="K207">
        <v>36</v>
      </c>
      <c r="L207" t="s">
        <v>12</v>
      </c>
    </row>
    <row r="208" spans="1:12">
      <c r="A208">
        <v>73734</v>
      </c>
      <c r="B208" t="s">
        <v>21</v>
      </c>
      <c r="C208" t="s">
        <v>20</v>
      </c>
      <c r="D208" s="1">
        <v>39799</v>
      </c>
      <c r="E208">
        <v>2</v>
      </c>
      <c r="F208" t="s">
        <v>14</v>
      </c>
      <c r="G208" t="s">
        <v>11</v>
      </c>
      <c r="H208" t="s">
        <v>12</v>
      </c>
      <c r="I208" t="s">
        <v>79</v>
      </c>
      <c r="J208" t="s">
        <v>72</v>
      </c>
      <c r="K208">
        <v>69</v>
      </c>
      <c r="L208" t="s">
        <v>13</v>
      </c>
    </row>
    <row r="209" spans="1:12">
      <c r="A209">
        <v>80467</v>
      </c>
      <c r="B209" t="s">
        <v>22</v>
      </c>
      <c r="C209" t="s">
        <v>21</v>
      </c>
      <c r="D209" s="1">
        <v>118746</v>
      </c>
      <c r="E209">
        <v>1</v>
      </c>
      <c r="F209" t="s">
        <v>10</v>
      </c>
      <c r="G209" t="s">
        <v>18</v>
      </c>
      <c r="H209" t="s">
        <v>13</v>
      </c>
      <c r="I209" t="s">
        <v>78</v>
      </c>
      <c r="J209" t="s">
        <v>67</v>
      </c>
      <c r="K209">
        <v>56</v>
      </c>
      <c r="L209" t="s">
        <v>13</v>
      </c>
    </row>
    <row r="210" spans="1:12">
      <c r="A210">
        <v>62662</v>
      </c>
      <c r="B210" t="s">
        <v>21</v>
      </c>
      <c r="C210" t="s">
        <v>20</v>
      </c>
      <c r="D210" s="1">
        <v>113762</v>
      </c>
      <c r="E210">
        <v>0</v>
      </c>
      <c r="F210" t="s">
        <v>19</v>
      </c>
      <c r="G210" t="s">
        <v>15</v>
      </c>
      <c r="H210" t="s">
        <v>13</v>
      </c>
      <c r="I210" t="s">
        <v>78</v>
      </c>
      <c r="J210" t="s">
        <v>63</v>
      </c>
      <c r="K210">
        <v>65</v>
      </c>
      <c r="L210" t="s">
        <v>12</v>
      </c>
    </row>
    <row r="211" spans="1:12">
      <c r="A211">
        <v>22688</v>
      </c>
      <c r="B211" t="s">
        <v>22</v>
      </c>
      <c r="C211" t="s">
        <v>21</v>
      </c>
      <c r="D211" s="1">
        <v>90188</v>
      </c>
      <c r="E211">
        <v>1</v>
      </c>
      <c r="F211" t="s">
        <v>17</v>
      </c>
      <c r="G211" t="s">
        <v>16</v>
      </c>
      <c r="H211" t="s">
        <v>12</v>
      </c>
      <c r="I211" t="s">
        <v>78</v>
      </c>
      <c r="J211" t="s">
        <v>62</v>
      </c>
      <c r="K211">
        <v>61</v>
      </c>
      <c r="L211" t="s">
        <v>12</v>
      </c>
    </row>
    <row r="212" spans="1:12">
      <c r="A212">
        <v>35342</v>
      </c>
      <c r="B212" t="s">
        <v>22</v>
      </c>
      <c r="C212" t="s">
        <v>21</v>
      </c>
      <c r="D212" s="1">
        <v>109859</v>
      </c>
      <c r="E212">
        <v>4</v>
      </c>
      <c r="F212" t="s">
        <v>10</v>
      </c>
      <c r="G212" t="s">
        <v>18</v>
      </c>
      <c r="H212" t="s">
        <v>12</v>
      </c>
      <c r="I212" t="s">
        <v>81</v>
      </c>
      <c r="J212" t="s">
        <v>63</v>
      </c>
      <c r="K212">
        <v>34</v>
      </c>
      <c r="L212" t="s">
        <v>13</v>
      </c>
    </row>
    <row r="213" spans="1:12">
      <c r="A213">
        <v>47157</v>
      </c>
      <c r="B213" t="s">
        <v>21</v>
      </c>
      <c r="C213" t="s">
        <v>21</v>
      </c>
      <c r="D213" s="1">
        <v>27597</v>
      </c>
      <c r="E213">
        <v>2</v>
      </c>
      <c r="F213" t="s">
        <v>10</v>
      </c>
      <c r="G213" t="s">
        <v>11</v>
      </c>
      <c r="H213" t="s">
        <v>12</v>
      </c>
      <c r="I213" t="s">
        <v>80</v>
      </c>
      <c r="J213" t="s">
        <v>72</v>
      </c>
      <c r="K213">
        <v>52</v>
      </c>
      <c r="L213" t="s">
        <v>13</v>
      </c>
    </row>
    <row r="214" spans="1:12">
      <c r="A214">
        <v>77863</v>
      </c>
      <c r="B214" t="s">
        <v>22</v>
      </c>
      <c r="C214" t="s">
        <v>21</v>
      </c>
      <c r="D214" s="1">
        <v>67093</v>
      </c>
      <c r="E214">
        <v>5</v>
      </c>
      <c r="F214" t="s">
        <v>19</v>
      </c>
      <c r="G214" t="s">
        <v>11</v>
      </c>
      <c r="H214" t="s">
        <v>13</v>
      </c>
      <c r="I214" t="s">
        <v>80</v>
      </c>
      <c r="J214" t="s">
        <v>74</v>
      </c>
      <c r="K214">
        <v>35</v>
      </c>
      <c r="L214" t="s">
        <v>12</v>
      </c>
    </row>
    <row r="215" spans="1:12">
      <c r="A215">
        <v>62083</v>
      </c>
      <c r="B215" t="s">
        <v>21</v>
      </c>
      <c r="C215" t="s">
        <v>20</v>
      </c>
      <c r="D215" s="1">
        <v>57226</v>
      </c>
      <c r="E215">
        <v>2</v>
      </c>
      <c r="F215" t="s">
        <v>17</v>
      </c>
      <c r="G215" t="s">
        <v>18</v>
      </c>
      <c r="H215" t="s">
        <v>13</v>
      </c>
      <c r="I215" t="s">
        <v>80</v>
      </c>
      <c r="J215" t="s">
        <v>74</v>
      </c>
      <c r="K215">
        <v>30</v>
      </c>
      <c r="L215" t="s">
        <v>13</v>
      </c>
    </row>
    <row r="216" spans="1:12">
      <c r="A216">
        <v>75733</v>
      </c>
      <c r="B216" t="s">
        <v>21</v>
      </c>
      <c r="C216" t="s">
        <v>21</v>
      </c>
      <c r="D216" s="1">
        <v>92127</v>
      </c>
      <c r="E216">
        <v>4</v>
      </c>
      <c r="F216" t="s">
        <v>17</v>
      </c>
      <c r="G216" t="s">
        <v>15</v>
      </c>
      <c r="H216" t="s">
        <v>12</v>
      </c>
      <c r="I216" t="s">
        <v>81</v>
      </c>
      <c r="J216" t="s">
        <v>60</v>
      </c>
      <c r="K216">
        <v>39</v>
      </c>
      <c r="L216" t="s">
        <v>13</v>
      </c>
    </row>
    <row r="217" spans="1:12">
      <c r="A217">
        <v>99045</v>
      </c>
      <c r="B217" t="s">
        <v>22</v>
      </c>
      <c r="C217" t="s">
        <v>21</v>
      </c>
      <c r="D217" s="1">
        <v>111369</v>
      </c>
      <c r="E217">
        <v>2</v>
      </c>
      <c r="F217" t="s">
        <v>19</v>
      </c>
      <c r="G217" t="s">
        <v>15</v>
      </c>
      <c r="H217" t="s">
        <v>13</v>
      </c>
      <c r="I217" t="s">
        <v>79</v>
      </c>
      <c r="J217" t="s">
        <v>62</v>
      </c>
      <c r="K217">
        <v>57</v>
      </c>
      <c r="L217" t="s">
        <v>12</v>
      </c>
    </row>
    <row r="218" spans="1:12">
      <c r="A218">
        <v>44698</v>
      </c>
      <c r="B218" t="s">
        <v>21</v>
      </c>
      <c r="C218" t="s">
        <v>20</v>
      </c>
      <c r="D218" s="1">
        <v>97362</v>
      </c>
      <c r="E218">
        <v>5</v>
      </c>
      <c r="F218" t="s">
        <v>14</v>
      </c>
      <c r="G218" t="s">
        <v>16</v>
      </c>
      <c r="H218" t="s">
        <v>12</v>
      </c>
      <c r="I218" t="s">
        <v>78</v>
      </c>
      <c r="J218" t="s">
        <v>69</v>
      </c>
      <c r="K218">
        <v>43</v>
      </c>
      <c r="L218" t="s">
        <v>12</v>
      </c>
    </row>
    <row r="219" spans="1:12">
      <c r="A219">
        <v>90623</v>
      </c>
      <c r="B219" t="s">
        <v>21</v>
      </c>
      <c r="C219" t="s">
        <v>21</v>
      </c>
      <c r="D219" s="1">
        <v>46417</v>
      </c>
      <c r="E219">
        <v>3</v>
      </c>
      <c r="F219" t="s">
        <v>10</v>
      </c>
      <c r="G219" t="s">
        <v>11</v>
      </c>
      <c r="H219" t="s">
        <v>13</v>
      </c>
      <c r="I219" t="s">
        <v>79</v>
      </c>
      <c r="J219" t="s">
        <v>74</v>
      </c>
      <c r="K219">
        <v>35</v>
      </c>
      <c r="L219" t="s">
        <v>13</v>
      </c>
    </row>
    <row r="220" spans="1:12">
      <c r="A220">
        <v>32671</v>
      </c>
      <c r="B220" t="s">
        <v>22</v>
      </c>
      <c r="C220" t="s">
        <v>21</v>
      </c>
      <c r="D220" s="1">
        <v>38693</v>
      </c>
      <c r="E220">
        <v>1</v>
      </c>
      <c r="F220" t="s">
        <v>14</v>
      </c>
      <c r="G220" t="s">
        <v>18</v>
      </c>
      <c r="H220" t="s">
        <v>13</v>
      </c>
      <c r="I220" t="s">
        <v>81</v>
      </c>
      <c r="J220" t="s">
        <v>74</v>
      </c>
      <c r="K220">
        <v>49</v>
      </c>
      <c r="L220" t="s">
        <v>12</v>
      </c>
    </row>
    <row r="221" spans="1:12">
      <c r="A221">
        <v>35184</v>
      </c>
      <c r="B221" t="s">
        <v>21</v>
      </c>
      <c r="C221" t="s">
        <v>21</v>
      </c>
      <c r="D221" s="1">
        <v>99674</v>
      </c>
      <c r="E221">
        <v>5</v>
      </c>
      <c r="F221" t="s">
        <v>10</v>
      </c>
      <c r="G221" t="s">
        <v>15</v>
      </c>
      <c r="H221" t="s">
        <v>13</v>
      </c>
      <c r="I221" t="s">
        <v>80</v>
      </c>
      <c r="J221" t="s">
        <v>73</v>
      </c>
      <c r="K221">
        <v>53</v>
      </c>
      <c r="L221" t="s">
        <v>12</v>
      </c>
    </row>
    <row r="222" spans="1:12">
      <c r="A222">
        <v>52107</v>
      </c>
      <c r="B222" t="s">
        <v>22</v>
      </c>
      <c r="C222" t="s">
        <v>20</v>
      </c>
      <c r="D222" s="1">
        <v>73161</v>
      </c>
      <c r="E222">
        <v>0</v>
      </c>
      <c r="F222" t="s">
        <v>10</v>
      </c>
      <c r="G222" t="s">
        <v>16</v>
      </c>
      <c r="H222" t="s">
        <v>13</v>
      </c>
      <c r="I222" t="s">
        <v>78</v>
      </c>
      <c r="J222" t="s">
        <v>67</v>
      </c>
      <c r="K222">
        <v>20</v>
      </c>
      <c r="L222" t="s">
        <v>13</v>
      </c>
    </row>
    <row r="223" spans="1:12">
      <c r="A223">
        <v>96202</v>
      </c>
      <c r="B223" t="s">
        <v>21</v>
      </c>
      <c r="C223" t="s">
        <v>21</v>
      </c>
      <c r="D223" s="1">
        <v>22169</v>
      </c>
      <c r="E223">
        <v>4</v>
      </c>
      <c r="F223" t="s">
        <v>14</v>
      </c>
      <c r="G223" t="s">
        <v>11</v>
      </c>
      <c r="H223" t="s">
        <v>12</v>
      </c>
      <c r="I223" t="s">
        <v>77</v>
      </c>
      <c r="J223" t="s">
        <v>69</v>
      </c>
      <c r="K223">
        <v>43</v>
      </c>
      <c r="L223" t="s">
        <v>13</v>
      </c>
    </row>
    <row r="224" spans="1:12">
      <c r="A224">
        <v>61663</v>
      </c>
      <c r="B224" t="s">
        <v>22</v>
      </c>
      <c r="C224" t="s">
        <v>20</v>
      </c>
      <c r="D224" s="1">
        <v>104092</v>
      </c>
      <c r="E224">
        <v>3</v>
      </c>
      <c r="F224" t="s">
        <v>19</v>
      </c>
      <c r="G224" t="s">
        <v>11</v>
      </c>
      <c r="H224" t="s">
        <v>13</v>
      </c>
      <c r="I224" t="s">
        <v>77</v>
      </c>
      <c r="J224" t="s">
        <v>73</v>
      </c>
      <c r="K224">
        <v>43</v>
      </c>
      <c r="L224" t="s">
        <v>13</v>
      </c>
    </row>
    <row r="225" spans="1:12">
      <c r="A225">
        <v>25708</v>
      </c>
      <c r="B225" t="s">
        <v>22</v>
      </c>
      <c r="C225" t="s">
        <v>21</v>
      </c>
      <c r="D225" s="1">
        <v>42052</v>
      </c>
      <c r="E225">
        <v>0</v>
      </c>
      <c r="F225" t="s">
        <v>19</v>
      </c>
      <c r="G225" t="s">
        <v>16</v>
      </c>
      <c r="H225" t="s">
        <v>13</v>
      </c>
      <c r="I225" t="s">
        <v>79</v>
      </c>
      <c r="J225" t="s">
        <v>64</v>
      </c>
      <c r="K225">
        <v>28</v>
      </c>
      <c r="L225" t="s">
        <v>13</v>
      </c>
    </row>
    <row r="226" spans="1:12">
      <c r="A226">
        <v>59811</v>
      </c>
      <c r="B226" t="s">
        <v>22</v>
      </c>
      <c r="C226" t="s">
        <v>21</v>
      </c>
      <c r="D226" s="1">
        <v>91849</v>
      </c>
      <c r="E226">
        <v>0</v>
      </c>
      <c r="F226" t="s">
        <v>10</v>
      </c>
      <c r="G226" t="s">
        <v>16</v>
      </c>
      <c r="H226" t="s">
        <v>12</v>
      </c>
      <c r="I226" t="s">
        <v>80</v>
      </c>
      <c r="J226" t="s">
        <v>63</v>
      </c>
      <c r="K226">
        <v>41</v>
      </c>
      <c r="L226" t="s">
        <v>12</v>
      </c>
    </row>
    <row r="227" spans="1:12">
      <c r="A227">
        <v>12811</v>
      </c>
      <c r="B227" t="s">
        <v>22</v>
      </c>
      <c r="C227" t="s">
        <v>20</v>
      </c>
      <c r="D227" s="1">
        <v>93851</v>
      </c>
      <c r="E227">
        <v>4</v>
      </c>
      <c r="F227" t="s">
        <v>19</v>
      </c>
      <c r="G227" t="s">
        <v>15</v>
      </c>
      <c r="H227" t="s">
        <v>13</v>
      </c>
      <c r="I227" t="s">
        <v>77</v>
      </c>
      <c r="J227" t="s">
        <v>69</v>
      </c>
      <c r="K227">
        <v>31</v>
      </c>
      <c r="L227" t="s">
        <v>12</v>
      </c>
    </row>
    <row r="228" spans="1:12">
      <c r="A228">
        <v>66250</v>
      </c>
      <c r="B228" t="s">
        <v>21</v>
      </c>
      <c r="C228" t="s">
        <v>21</v>
      </c>
      <c r="D228" s="1">
        <v>28036</v>
      </c>
      <c r="E228">
        <v>3</v>
      </c>
      <c r="F228" t="s">
        <v>10</v>
      </c>
      <c r="G228" t="s">
        <v>18</v>
      </c>
      <c r="H228" t="s">
        <v>12</v>
      </c>
      <c r="I228" t="s">
        <v>79</v>
      </c>
      <c r="J228" t="s">
        <v>69</v>
      </c>
      <c r="K228">
        <v>36</v>
      </c>
      <c r="L228" t="s">
        <v>13</v>
      </c>
    </row>
    <row r="229" spans="1:12">
      <c r="A229">
        <v>82082</v>
      </c>
      <c r="B229" t="s">
        <v>22</v>
      </c>
      <c r="C229" t="s">
        <v>21</v>
      </c>
      <c r="D229" s="1">
        <v>51778</v>
      </c>
      <c r="E229">
        <v>0</v>
      </c>
      <c r="F229" t="s">
        <v>19</v>
      </c>
      <c r="G229" t="s">
        <v>11</v>
      </c>
      <c r="H229" t="s">
        <v>12</v>
      </c>
      <c r="I229" t="s">
        <v>81</v>
      </c>
      <c r="J229" t="s">
        <v>67</v>
      </c>
      <c r="K229">
        <v>44</v>
      </c>
      <c r="L229" t="s">
        <v>12</v>
      </c>
    </row>
    <row r="230" spans="1:12">
      <c r="A230">
        <v>44754</v>
      </c>
      <c r="B230" t="s">
        <v>21</v>
      </c>
      <c r="C230" t="s">
        <v>20</v>
      </c>
      <c r="D230" s="1">
        <v>47734</v>
      </c>
      <c r="E230">
        <v>0</v>
      </c>
      <c r="F230" t="s">
        <v>10</v>
      </c>
      <c r="G230" t="s">
        <v>18</v>
      </c>
      <c r="H230" t="s">
        <v>13</v>
      </c>
      <c r="I230" t="s">
        <v>79</v>
      </c>
      <c r="J230" t="s">
        <v>74</v>
      </c>
      <c r="K230">
        <v>47</v>
      </c>
      <c r="L230" t="s">
        <v>13</v>
      </c>
    </row>
    <row r="231" spans="1:12">
      <c r="A231">
        <v>21411</v>
      </c>
      <c r="B231" t="s">
        <v>21</v>
      </c>
      <c r="C231" t="s">
        <v>20</v>
      </c>
      <c r="D231" s="1">
        <v>43173</v>
      </c>
      <c r="E231">
        <v>3</v>
      </c>
      <c r="F231" t="s">
        <v>19</v>
      </c>
      <c r="G231" t="s">
        <v>11</v>
      </c>
      <c r="H231" t="s">
        <v>13</v>
      </c>
      <c r="I231" t="s">
        <v>79</v>
      </c>
      <c r="J231" t="s">
        <v>59</v>
      </c>
      <c r="K231">
        <v>34</v>
      </c>
      <c r="L231" t="s">
        <v>12</v>
      </c>
    </row>
    <row r="232" spans="1:12">
      <c r="A232">
        <v>12911</v>
      </c>
      <c r="B232" t="s">
        <v>21</v>
      </c>
      <c r="C232" t="s">
        <v>20</v>
      </c>
      <c r="D232" s="1">
        <v>50403</v>
      </c>
      <c r="E232">
        <v>2</v>
      </c>
      <c r="F232" t="s">
        <v>17</v>
      </c>
      <c r="G232" t="s">
        <v>11</v>
      </c>
      <c r="H232" t="s">
        <v>12</v>
      </c>
      <c r="I232" t="s">
        <v>79</v>
      </c>
      <c r="J232" t="s">
        <v>59</v>
      </c>
      <c r="K232">
        <v>49</v>
      </c>
      <c r="L232" t="s">
        <v>12</v>
      </c>
    </row>
    <row r="233" spans="1:12">
      <c r="A233">
        <v>77270</v>
      </c>
      <c r="B233" t="s">
        <v>21</v>
      </c>
      <c r="C233" t="s">
        <v>20</v>
      </c>
      <c r="D233" s="1">
        <v>86321</v>
      </c>
      <c r="E233">
        <v>0</v>
      </c>
      <c r="F233" t="s">
        <v>14</v>
      </c>
      <c r="G233" t="s">
        <v>18</v>
      </c>
      <c r="H233" t="s">
        <v>12</v>
      </c>
      <c r="I233" t="s">
        <v>78</v>
      </c>
      <c r="J233" t="s">
        <v>72</v>
      </c>
      <c r="K233">
        <v>46</v>
      </c>
      <c r="L233" t="s">
        <v>12</v>
      </c>
    </row>
    <row r="234" spans="1:12">
      <c r="A234">
        <v>93763</v>
      </c>
      <c r="B234" t="s">
        <v>21</v>
      </c>
      <c r="C234" t="s">
        <v>20</v>
      </c>
      <c r="D234" s="1">
        <v>91675</v>
      </c>
      <c r="E234">
        <v>1</v>
      </c>
      <c r="F234" t="s">
        <v>17</v>
      </c>
      <c r="G234" t="s">
        <v>16</v>
      </c>
      <c r="H234" t="s">
        <v>12</v>
      </c>
      <c r="I234" t="s">
        <v>79</v>
      </c>
      <c r="J234" t="s">
        <v>66</v>
      </c>
      <c r="K234">
        <v>41</v>
      </c>
      <c r="L234" t="s">
        <v>13</v>
      </c>
    </row>
    <row r="235" spans="1:12">
      <c r="A235">
        <v>18680</v>
      </c>
      <c r="B235" t="s">
        <v>22</v>
      </c>
      <c r="C235" t="s">
        <v>21</v>
      </c>
      <c r="D235" s="1">
        <v>26344</v>
      </c>
      <c r="E235">
        <v>3</v>
      </c>
      <c r="F235" t="s">
        <v>14</v>
      </c>
      <c r="G235" t="s">
        <v>15</v>
      </c>
      <c r="H235" t="s">
        <v>13</v>
      </c>
      <c r="I235" t="s">
        <v>79</v>
      </c>
      <c r="J235" t="s">
        <v>63</v>
      </c>
      <c r="K235">
        <v>29</v>
      </c>
      <c r="L235" t="s">
        <v>12</v>
      </c>
    </row>
    <row r="236" spans="1:12">
      <c r="A236">
        <v>94896</v>
      </c>
      <c r="B236" t="s">
        <v>22</v>
      </c>
      <c r="C236" t="s">
        <v>20</v>
      </c>
      <c r="D236" s="1">
        <v>38800</v>
      </c>
      <c r="E236">
        <v>0</v>
      </c>
      <c r="F236" t="s">
        <v>14</v>
      </c>
      <c r="G236" t="s">
        <v>11</v>
      </c>
      <c r="H236" t="s">
        <v>12</v>
      </c>
      <c r="I236" t="s">
        <v>78</v>
      </c>
      <c r="J236" t="s">
        <v>69</v>
      </c>
      <c r="K236">
        <v>50</v>
      </c>
      <c r="L236" t="s">
        <v>12</v>
      </c>
    </row>
    <row r="237" spans="1:12">
      <c r="A237">
        <v>93879</v>
      </c>
      <c r="B237" t="s">
        <v>22</v>
      </c>
      <c r="C237" t="s">
        <v>21</v>
      </c>
      <c r="D237" s="1">
        <v>45372</v>
      </c>
      <c r="E237">
        <v>4</v>
      </c>
      <c r="F237" t="s">
        <v>10</v>
      </c>
      <c r="G237" t="s">
        <v>16</v>
      </c>
      <c r="H237" t="s">
        <v>12</v>
      </c>
      <c r="I237" t="s">
        <v>78</v>
      </c>
      <c r="J237" t="s">
        <v>64</v>
      </c>
      <c r="K237">
        <v>46</v>
      </c>
      <c r="L237" t="s">
        <v>12</v>
      </c>
    </row>
    <row r="238" spans="1:12">
      <c r="A238">
        <v>81295</v>
      </c>
      <c r="B238" t="s">
        <v>21</v>
      </c>
      <c r="C238" t="s">
        <v>21</v>
      </c>
      <c r="D238" s="1">
        <v>81516</v>
      </c>
      <c r="E238">
        <v>5</v>
      </c>
      <c r="F238" t="s">
        <v>14</v>
      </c>
      <c r="G238" t="s">
        <v>11</v>
      </c>
      <c r="H238" t="s">
        <v>12</v>
      </c>
      <c r="I238" t="s">
        <v>81</v>
      </c>
      <c r="J238" t="s">
        <v>59</v>
      </c>
      <c r="K238">
        <v>31</v>
      </c>
      <c r="L238" t="s">
        <v>13</v>
      </c>
    </row>
    <row r="239" spans="1:12">
      <c r="A239">
        <v>98614</v>
      </c>
      <c r="B239" t="s">
        <v>22</v>
      </c>
      <c r="C239" t="s">
        <v>21</v>
      </c>
      <c r="D239" s="1">
        <v>40538</v>
      </c>
      <c r="E239">
        <v>1</v>
      </c>
      <c r="F239" t="s">
        <v>17</v>
      </c>
      <c r="G239" t="s">
        <v>15</v>
      </c>
      <c r="H239" t="s">
        <v>13</v>
      </c>
      <c r="I239" t="s">
        <v>80</v>
      </c>
      <c r="J239" t="s">
        <v>68</v>
      </c>
      <c r="K239">
        <v>65</v>
      </c>
      <c r="L239" t="s">
        <v>12</v>
      </c>
    </row>
    <row r="240" spans="1:12">
      <c r="A240">
        <v>21111</v>
      </c>
      <c r="B240" t="s">
        <v>21</v>
      </c>
      <c r="C240" t="s">
        <v>20</v>
      </c>
      <c r="D240" s="1">
        <v>83918</v>
      </c>
      <c r="E240">
        <v>5</v>
      </c>
      <c r="F240" t="s">
        <v>17</v>
      </c>
      <c r="G240" t="s">
        <v>11</v>
      </c>
      <c r="H240" t="s">
        <v>12</v>
      </c>
      <c r="I240" t="s">
        <v>77</v>
      </c>
      <c r="J240" t="s">
        <v>71</v>
      </c>
      <c r="K240">
        <v>50</v>
      </c>
      <c r="L240" t="s">
        <v>12</v>
      </c>
    </row>
    <row r="241" spans="1:12">
      <c r="A241">
        <v>47504</v>
      </c>
      <c r="B241" t="s">
        <v>21</v>
      </c>
      <c r="C241" t="s">
        <v>20</v>
      </c>
      <c r="D241" s="1">
        <v>34973</v>
      </c>
      <c r="E241">
        <v>5</v>
      </c>
      <c r="F241" t="s">
        <v>19</v>
      </c>
      <c r="G241" t="s">
        <v>15</v>
      </c>
      <c r="H241" t="s">
        <v>13</v>
      </c>
      <c r="I241" t="s">
        <v>77</v>
      </c>
      <c r="J241" t="s">
        <v>62</v>
      </c>
      <c r="K241">
        <v>51</v>
      </c>
      <c r="L241" t="s">
        <v>12</v>
      </c>
    </row>
    <row r="242" spans="1:12">
      <c r="A242">
        <v>11802</v>
      </c>
      <c r="B242" t="s">
        <v>21</v>
      </c>
      <c r="C242" t="s">
        <v>21</v>
      </c>
      <c r="D242" s="1">
        <v>91155</v>
      </c>
      <c r="E242">
        <v>0</v>
      </c>
      <c r="F242" t="s">
        <v>17</v>
      </c>
      <c r="G242" t="s">
        <v>15</v>
      </c>
      <c r="H242" t="s">
        <v>13</v>
      </c>
      <c r="I242" t="s">
        <v>79</v>
      </c>
      <c r="J242" t="s">
        <v>71</v>
      </c>
      <c r="K242">
        <v>51</v>
      </c>
      <c r="L242" t="s">
        <v>13</v>
      </c>
    </row>
    <row r="243" spans="1:12">
      <c r="A243">
        <v>18155</v>
      </c>
      <c r="B243" t="s">
        <v>21</v>
      </c>
      <c r="C243" t="s">
        <v>20</v>
      </c>
      <c r="D243" s="1">
        <v>79500</v>
      </c>
      <c r="E243">
        <v>1</v>
      </c>
      <c r="F243" t="s">
        <v>19</v>
      </c>
      <c r="G243" t="s">
        <v>11</v>
      </c>
      <c r="H243" t="s">
        <v>12</v>
      </c>
      <c r="I243" t="s">
        <v>81</v>
      </c>
      <c r="J243" t="s">
        <v>70</v>
      </c>
      <c r="K243">
        <v>60</v>
      </c>
      <c r="L243" t="s">
        <v>12</v>
      </c>
    </row>
    <row r="244" spans="1:12">
      <c r="A244">
        <v>83656</v>
      </c>
      <c r="B244" t="s">
        <v>22</v>
      </c>
      <c r="C244" t="s">
        <v>20</v>
      </c>
      <c r="D244" s="1">
        <v>56575</v>
      </c>
      <c r="E244">
        <v>1</v>
      </c>
      <c r="F244" t="s">
        <v>14</v>
      </c>
      <c r="G244" t="s">
        <v>11</v>
      </c>
      <c r="H244" t="s">
        <v>13</v>
      </c>
      <c r="I244" t="s">
        <v>79</v>
      </c>
      <c r="J244" t="s">
        <v>68</v>
      </c>
      <c r="K244">
        <v>64</v>
      </c>
      <c r="L244" t="s">
        <v>12</v>
      </c>
    </row>
    <row r="245" spans="1:12">
      <c r="A245">
        <v>49384</v>
      </c>
      <c r="B245" t="s">
        <v>22</v>
      </c>
      <c r="C245" t="s">
        <v>20</v>
      </c>
      <c r="D245" s="1">
        <v>62261</v>
      </c>
      <c r="E245">
        <v>2</v>
      </c>
      <c r="F245" t="s">
        <v>17</v>
      </c>
      <c r="G245" t="s">
        <v>15</v>
      </c>
      <c r="H245" t="s">
        <v>12</v>
      </c>
      <c r="I245" t="s">
        <v>77</v>
      </c>
      <c r="J245" t="s">
        <v>61</v>
      </c>
      <c r="K245">
        <v>54</v>
      </c>
      <c r="L245" t="s">
        <v>12</v>
      </c>
    </row>
    <row r="246" spans="1:12">
      <c r="A246">
        <v>57254</v>
      </c>
      <c r="B246" t="s">
        <v>21</v>
      </c>
      <c r="C246" t="s">
        <v>20</v>
      </c>
      <c r="D246" s="1">
        <v>47716</v>
      </c>
      <c r="E246">
        <v>5</v>
      </c>
      <c r="F246" t="s">
        <v>14</v>
      </c>
      <c r="G246" t="s">
        <v>16</v>
      </c>
      <c r="H246" t="s">
        <v>13</v>
      </c>
      <c r="I246" t="s">
        <v>78</v>
      </c>
      <c r="J246" t="s">
        <v>65</v>
      </c>
      <c r="K246">
        <v>65</v>
      </c>
      <c r="L246" t="s">
        <v>13</v>
      </c>
    </row>
    <row r="247" spans="1:12">
      <c r="A247">
        <v>31918</v>
      </c>
      <c r="B247" t="s">
        <v>21</v>
      </c>
      <c r="C247" t="s">
        <v>21</v>
      </c>
      <c r="D247" s="1">
        <v>23236</v>
      </c>
      <c r="E247">
        <v>1</v>
      </c>
      <c r="F247" t="s">
        <v>17</v>
      </c>
      <c r="G247" t="s">
        <v>18</v>
      </c>
      <c r="H247" t="s">
        <v>13</v>
      </c>
      <c r="I247" t="s">
        <v>80</v>
      </c>
      <c r="J247" t="s">
        <v>68</v>
      </c>
      <c r="K247">
        <v>40</v>
      </c>
      <c r="L247" t="s">
        <v>13</v>
      </c>
    </row>
    <row r="248" spans="1:12">
      <c r="A248">
        <v>95981</v>
      </c>
      <c r="B248" t="s">
        <v>21</v>
      </c>
      <c r="C248" t="s">
        <v>21</v>
      </c>
      <c r="D248" s="1">
        <v>35848</v>
      </c>
      <c r="E248">
        <v>2</v>
      </c>
      <c r="F248" t="s">
        <v>17</v>
      </c>
      <c r="G248" t="s">
        <v>15</v>
      </c>
      <c r="H248" t="s">
        <v>12</v>
      </c>
      <c r="I248" t="s">
        <v>81</v>
      </c>
      <c r="J248" t="s">
        <v>69</v>
      </c>
      <c r="K248">
        <v>29</v>
      </c>
      <c r="L248" t="s">
        <v>13</v>
      </c>
    </row>
    <row r="249" spans="1:12">
      <c r="A249">
        <v>70713</v>
      </c>
      <c r="B249" t="s">
        <v>21</v>
      </c>
      <c r="C249" t="s">
        <v>20</v>
      </c>
      <c r="D249" s="1">
        <v>22352</v>
      </c>
      <c r="E249">
        <v>3</v>
      </c>
      <c r="F249" t="s">
        <v>19</v>
      </c>
      <c r="G249" t="s">
        <v>11</v>
      </c>
      <c r="H249" t="s">
        <v>12</v>
      </c>
      <c r="I249" t="s">
        <v>78</v>
      </c>
      <c r="J249" t="s">
        <v>61</v>
      </c>
      <c r="K249">
        <v>35</v>
      </c>
      <c r="L249" t="s">
        <v>13</v>
      </c>
    </row>
    <row r="250" spans="1:12">
      <c r="A250">
        <v>40306</v>
      </c>
      <c r="B250" t="s">
        <v>22</v>
      </c>
      <c r="C250" t="s">
        <v>21</v>
      </c>
      <c r="D250" s="1">
        <v>21932</v>
      </c>
      <c r="E250">
        <v>2</v>
      </c>
      <c r="F250" t="s">
        <v>14</v>
      </c>
      <c r="G250" t="s">
        <v>11</v>
      </c>
      <c r="H250" t="s">
        <v>12</v>
      </c>
      <c r="I250" t="s">
        <v>80</v>
      </c>
      <c r="J250" t="s">
        <v>74</v>
      </c>
      <c r="K250">
        <v>26</v>
      </c>
      <c r="L250" t="s">
        <v>13</v>
      </c>
    </row>
    <row r="251" spans="1:12">
      <c r="A251">
        <v>26646</v>
      </c>
      <c r="B251" t="s">
        <v>21</v>
      </c>
      <c r="C251" t="s">
        <v>20</v>
      </c>
      <c r="D251" s="1">
        <v>96449</v>
      </c>
      <c r="E251">
        <v>4</v>
      </c>
      <c r="F251" t="s">
        <v>17</v>
      </c>
      <c r="G251" t="s">
        <v>16</v>
      </c>
      <c r="H251" t="s">
        <v>13</v>
      </c>
      <c r="I251" t="s">
        <v>81</v>
      </c>
      <c r="J251" t="s">
        <v>69</v>
      </c>
      <c r="K251">
        <v>23</v>
      </c>
      <c r="L251" t="s">
        <v>12</v>
      </c>
    </row>
    <row r="252" spans="1:12">
      <c r="A252">
        <v>56843</v>
      </c>
      <c r="B252" t="s">
        <v>21</v>
      </c>
      <c r="C252" t="s">
        <v>20</v>
      </c>
      <c r="D252" s="1">
        <v>28556</v>
      </c>
      <c r="E252">
        <v>0</v>
      </c>
      <c r="F252" t="s">
        <v>10</v>
      </c>
      <c r="G252" t="s">
        <v>18</v>
      </c>
      <c r="H252" t="s">
        <v>13</v>
      </c>
      <c r="I252" t="s">
        <v>81</v>
      </c>
      <c r="J252" t="s">
        <v>61</v>
      </c>
      <c r="K252">
        <v>46</v>
      </c>
      <c r="L252" t="s">
        <v>13</v>
      </c>
    </row>
    <row r="253" spans="1:12">
      <c r="A253">
        <v>26371</v>
      </c>
      <c r="B253" t="s">
        <v>21</v>
      </c>
      <c r="C253" t="s">
        <v>21</v>
      </c>
      <c r="D253" s="1">
        <v>106836</v>
      </c>
      <c r="E253">
        <v>3</v>
      </c>
      <c r="F253" t="s">
        <v>14</v>
      </c>
      <c r="G253" t="s">
        <v>15</v>
      </c>
      <c r="H253" t="s">
        <v>12</v>
      </c>
      <c r="I253" t="s">
        <v>77</v>
      </c>
      <c r="J253" t="s">
        <v>70</v>
      </c>
      <c r="K253">
        <v>44</v>
      </c>
      <c r="L253" t="s">
        <v>13</v>
      </c>
    </row>
    <row r="254" spans="1:12">
      <c r="A254">
        <v>87371</v>
      </c>
      <c r="B254" t="s">
        <v>22</v>
      </c>
      <c r="C254" t="s">
        <v>21</v>
      </c>
      <c r="D254" s="1">
        <v>25498</v>
      </c>
      <c r="E254">
        <v>3</v>
      </c>
      <c r="F254" t="s">
        <v>14</v>
      </c>
      <c r="G254" t="s">
        <v>15</v>
      </c>
      <c r="H254" t="s">
        <v>12</v>
      </c>
      <c r="I254" t="s">
        <v>78</v>
      </c>
      <c r="J254" t="s">
        <v>72</v>
      </c>
      <c r="K254">
        <v>50</v>
      </c>
      <c r="L254" t="s">
        <v>13</v>
      </c>
    </row>
    <row r="255" spans="1:12">
      <c r="A255">
        <v>12049</v>
      </c>
      <c r="B255" t="s">
        <v>22</v>
      </c>
      <c r="C255" t="s">
        <v>21</v>
      </c>
      <c r="D255" s="1">
        <v>96118</v>
      </c>
      <c r="E255">
        <v>4</v>
      </c>
      <c r="F255" t="s">
        <v>14</v>
      </c>
      <c r="G255" t="s">
        <v>18</v>
      </c>
      <c r="H255" t="s">
        <v>13</v>
      </c>
      <c r="I255" t="s">
        <v>81</v>
      </c>
      <c r="J255" t="s">
        <v>64</v>
      </c>
      <c r="K255">
        <v>30</v>
      </c>
      <c r="L255" t="s">
        <v>12</v>
      </c>
    </row>
    <row r="256" spans="1:12">
      <c r="A256">
        <v>41616</v>
      </c>
      <c r="B256" t="s">
        <v>22</v>
      </c>
      <c r="C256" t="s">
        <v>20</v>
      </c>
      <c r="D256" s="1">
        <v>70098</v>
      </c>
      <c r="E256">
        <v>2</v>
      </c>
      <c r="F256" t="s">
        <v>19</v>
      </c>
      <c r="G256" t="s">
        <v>15</v>
      </c>
      <c r="H256" t="s">
        <v>13</v>
      </c>
      <c r="I256" t="s">
        <v>81</v>
      </c>
      <c r="J256" t="s">
        <v>68</v>
      </c>
      <c r="K256">
        <v>67</v>
      </c>
      <c r="L256" t="s">
        <v>13</v>
      </c>
    </row>
    <row r="257" spans="1:12">
      <c r="A257">
        <v>30932</v>
      </c>
      <c r="B257" t="s">
        <v>22</v>
      </c>
      <c r="C257" t="s">
        <v>21</v>
      </c>
      <c r="D257" s="1">
        <v>84386</v>
      </c>
      <c r="E257">
        <v>0</v>
      </c>
      <c r="F257" t="s">
        <v>10</v>
      </c>
      <c r="G257" t="s">
        <v>18</v>
      </c>
      <c r="H257" t="s">
        <v>13</v>
      </c>
      <c r="I257" t="s">
        <v>80</v>
      </c>
      <c r="J257" t="s">
        <v>72</v>
      </c>
      <c r="K257">
        <v>39</v>
      </c>
      <c r="L257" t="s">
        <v>12</v>
      </c>
    </row>
    <row r="258" spans="1:12">
      <c r="A258">
        <v>39855</v>
      </c>
      <c r="B258" t="s">
        <v>21</v>
      </c>
      <c r="C258" t="s">
        <v>20</v>
      </c>
      <c r="D258" s="1">
        <v>29569</v>
      </c>
      <c r="E258">
        <v>2</v>
      </c>
      <c r="F258" t="s">
        <v>14</v>
      </c>
      <c r="G258" t="s">
        <v>11</v>
      </c>
      <c r="H258" t="s">
        <v>12</v>
      </c>
      <c r="I258" t="s">
        <v>77</v>
      </c>
      <c r="J258" t="s">
        <v>69</v>
      </c>
      <c r="K258">
        <v>55</v>
      </c>
      <c r="L258" t="s">
        <v>13</v>
      </c>
    </row>
    <row r="259" spans="1:12">
      <c r="A259">
        <v>71434</v>
      </c>
      <c r="B259" t="s">
        <v>21</v>
      </c>
      <c r="C259" t="s">
        <v>21</v>
      </c>
      <c r="D259" s="1">
        <v>76882</v>
      </c>
      <c r="E259">
        <v>1</v>
      </c>
      <c r="F259" t="s">
        <v>17</v>
      </c>
      <c r="G259" t="s">
        <v>18</v>
      </c>
      <c r="H259" t="s">
        <v>13</v>
      </c>
      <c r="I259" t="s">
        <v>79</v>
      </c>
      <c r="J259" t="s">
        <v>74</v>
      </c>
      <c r="K259">
        <v>36</v>
      </c>
      <c r="L259" t="s">
        <v>12</v>
      </c>
    </row>
    <row r="260" spans="1:12">
      <c r="A260">
        <v>82694</v>
      </c>
      <c r="B260" t="s">
        <v>22</v>
      </c>
      <c r="C260" t="s">
        <v>21</v>
      </c>
      <c r="D260" s="1">
        <v>90393</v>
      </c>
      <c r="E260">
        <v>2</v>
      </c>
      <c r="F260" t="s">
        <v>17</v>
      </c>
      <c r="G260" t="s">
        <v>15</v>
      </c>
      <c r="H260" t="s">
        <v>12</v>
      </c>
      <c r="I260" t="s">
        <v>77</v>
      </c>
      <c r="J260" t="s">
        <v>65</v>
      </c>
      <c r="K260">
        <v>64</v>
      </c>
      <c r="L260" t="s">
        <v>12</v>
      </c>
    </row>
    <row r="261" spans="1:12">
      <c r="A261">
        <v>53016</v>
      </c>
      <c r="B261" t="s">
        <v>22</v>
      </c>
      <c r="C261" t="s">
        <v>20</v>
      </c>
      <c r="D261" s="1">
        <v>20340</v>
      </c>
      <c r="E261">
        <v>3</v>
      </c>
      <c r="F261" t="s">
        <v>19</v>
      </c>
      <c r="G261" t="s">
        <v>18</v>
      </c>
      <c r="H261" t="s">
        <v>13</v>
      </c>
      <c r="I261" t="s">
        <v>79</v>
      </c>
      <c r="J261" t="s">
        <v>67</v>
      </c>
      <c r="K261">
        <v>30</v>
      </c>
      <c r="L261" t="s">
        <v>12</v>
      </c>
    </row>
    <row r="262" spans="1:12">
      <c r="A262">
        <v>17400</v>
      </c>
      <c r="B262" t="s">
        <v>22</v>
      </c>
      <c r="C262" t="s">
        <v>20</v>
      </c>
      <c r="D262" s="1">
        <v>63949</v>
      </c>
      <c r="E262">
        <v>0</v>
      </c>
      <c r="F262" t="s">
        <v>17</v>
      </c>
      <c r="G262" t="s">
        <v>16</v>
      </c>
      <c r="H262" t="s">
        <v>13</v>
      </c>
      <c r="I262" t="s">
        <v>78</v>
      </c>
      <c r="J262" t="s">
        <v>70</v>
      </c>
      <c r="K262">
        <v>49</v>
      </c>
      <c r="L262" t="s">
        <v>12</v>
      </c>
    </row>
    <row r="263" spans="1:12">
      <c r="A263">
        <v>52642</v>
      </c>
      <c r="B263" t="s">
        <v>22</v>
      </c>
      <c r="C263" t="s">
        <v>20</v>
      </c>
      <c r="D263" s="1">
        <v>102302</v>
      </c>
      <c r="E263">
        <v>2</v>
      </c>
      <c r="F263" t="s">
        <v>14</v>
      </c>
      <c r="G263" t="s">
        <v>11</v>
      </c>
      <c r="H263" t="s">
        <v>12</v>
      </c>
      <c r="I263" t="s">
        <v>78</v>
      </c>
      <c r="J263" t="s">
        <v>59</v>
      </c>
      <c r="K263">
        <v>54</v>
      </c>
      <c r="L263" t="s">
        <v>13</v>
      </c>
    </row>
    <row r="264" spans="1:12">
      <c r="A264">
        <v>25151</v>
      </c>
      <c r="B264" t="s">
        <v>22</v>
      </c>
      <c r="C264" t="s">
        <v>20</v>
      </c>
      <c r="D264" s="1">
        <v>82443</v>
      </c>
      <c r="E264">
        <v>0</v>
      </c>
      <c r="F264" t="s">
        <v>17</v>
      </c>
      <c r="G264" t="s">
        <v>11</v>
      </c>
      <c r="H264" t="s">
        <v>12</v>
      </c>
      <c r="I264" t="s">
        <v>81</v>
      </c>
      <c r="J264" t="s">
        <v>74</v>
      </c>
      <c r="K264">
        <v>60</v>
      </c>
      <c r="L264" t="s">
        <v>12</v>
      </c>
    </row>
    <row r="265" spans="1:12">
      <c r="A265">
        <v>61407</v>
      </c>
      <c r="B265" t="s">
        <v>22</v>
      </c>
      <c r="C265" t="s">
        <v>20</v>
      </c>
      <c r="D265" s="1">
        <v>111668</v>
      </c>
      <c r="E265">
        <v>0</v>
      </c>
      <c r="F265" t="s">
        <v>14</v>
      </c>
      <c r="G265" t="s">
        <v>18</v>
      </c>
      <c r="H265" t="s">
        <v>12</v>
      </c>
      <c r="I265" t="s">
        <v>78</v>
      </c>
      <c r="J265" t="s">
        <v>74</v>
      </c>
      <c r="K265">
        <v>57</v>
      </c>
      <c r="L265" t="s">
        <v>12</v>
      </c>
    </row>
    <row r="266" spans="1:12">
      <c r="A266">
        <v>76690</v>
      </c>
      <c r="B266" t="s">
        <v>22</v>
      </c>
      <c r="C266" t="s">
        <v>20</v>
      </c>
      <c r="D266" s="1">
        <v>94027</v>
      </c>
      <c r="E266">
        <v>1</v>
      </c>
      <c r="F266" t="s">
        <v>17</v>
      </c>
      <c r="G266" t="s">
        <v>15</v>
      </c>
      <c r="H266" t="s">
        <v>13</v>
      </c>
      <c r="I266" t="s">
        <v>81</v>
      </c>
      <c r="J266" t="s">
        <v>64</v>
      </c>
      <c r="K266">
        <v>41</v>
      </c>
      <c r="L266" t="s">
        <v>13</v>
      </c>
    </row>
    <row r="267" spans="1:12">
      <c r="A267">
        <v>14499</v>
      </c>
      <c r="B267" t="s">
        <v>22</v>
      </c>
      <c r="C267" t="s">
        <v>20</v>
      </c>
      <c r="D267" s="1">
        <v>20138</v>
      </c>
      <c r="E267">
        <v>1</v>
      </c>
      <c r="F267" t="s">
        <v>10</v>
      </c>
      <c r="G267" t="s">
        <v>16</v>
      </c>
      <c r="H267" t="s">
        <v>13</v>
      </c>
      <c r="I267" t="s">
        <v>77</v>
      </c>
      <c r="J267" t="s">
        <v>62</v>
      </c>
      <c r="K267">
        <v>62</v>
      </c>
      <c r="L267" t="s">
        <v>12</v>
      </c>
    </row>
    <row r="268" spans="1:12">
      <c r="A268">
        <v>16295</v>
      </c>
      <c r="B268" t="s">
        <v>22</v>
      </c>
      <c r="C268" t="s">
        <v>20</v>
      </c>
      <c r="D268" s="1">
        <v>20358</v>
      </c>
      <c r="E268">
        <v>3</v>
      </c>
      <c r="F268" t="s">
        <v>19</v>
      </c>
      <c r="G268" t="s">
        <v>11</v>
      </c>
      <c r="H268" t="s">
        <v>13</v>
      </c>
      <c r="I268" t="s">
        <v>78</v>
      </c>
      <c r="J268" t="s">
        <v>67</v>
      </c>
      <c r="K268">
        <v>67</v>
      </c>
      <c r="L268" t="s">
        <v>13</v>
      </c>
    </row>
    <row r="269" spans="1:12">
      <c r="A269">
        <v>69040</v>
      </c>
      <c r="B269" t="s">
        <v>22</v>
      </c>
      <c r="C269" t="s">
        <v>21</v>
      </c>
      <c r="D269" s="1">
        <v>95250</v>
      </c>
      <c r="E269">
        <v>4</v>
      </c>
      <c r="F269" t="s">
        <v>19</v>
      </c>
      <c r="G269" t="s">
        <v>11</v>
      </c>
      <c r="H269" t="s">
        <v>12</v>
      </c>
      <c r="I269" t="s">
        <v>77</v>
      </c>
      <c r="J269" t="s">
        <v>66</v>
      </c>
      <c r="K269">
        <v>46</v>
      </c>
      <c r="L269" t="s">
        <v>12</v>
      </c>
    </row>
    <row r="270" spans="1:12">
      <c r="A270">
        <v>22183</v>
      </c>
      <c r="B270" t="s">
        <v>21</v>
      </c>
      <c r="C270" t="s">
        <v>20</v>
      </c>
      <c r="D270" s="1">
        <v>105376</v>
      </c>
      <c r="E270">
        <v>0</v>
      </c>
      <c r="F270" t="s">
        <v>10</v>
      </c>
      <c r="G270" t="s">
        <v>15</v>
      </c>
      <c r="H270" t="s">
        <v>13</v>
      </c>
      <c r="I270" t="s">
        <v>77</v>
      </c>
      <c r="J270" t="s">
        <v>62</v>
      </c>
      <c r="K270">
        <v>56</v>
      </c>
      <c r="L270" t="s">
        <v>12</v>
      </c>
    </row>
    <row r="271" spans="1:12">
      <c r="A271">
        <v>39299</v>
      </c>
      <c r="B271" t="s">
        <v>22</v>
      </c>
      <c r="C271" t="s">
        <v>20</v>
      </c>
      <c r="D271" s="1">
        <v>119931</v>
      </c>
      <c r="E271">
        <v>4</v>
      </c>
      <c r="F271" t="s">
        <v>10</v>
      </c>
      <c r="G271" t="s">
        <v>15</v>
      </c>
      <c r="H271" t="s">
        <v>12</v>
      </c>
      <c r="I271" t="s">
        <v>78</v>
      </c>
      <c r="J271" t="s">
        <v>68</v>
      </c>
      <c r="K271">
        <v>65</v>
      </c>
      <c r="L271" t="s">
        <v>13</v>
      </c>
    </row>
    <row r="272" spans="1:12">
      <c r="A272">
        <v>22874</v>
      </c>
      <c r="B272" t="s">
        <v>21</v>
      </c>
      <c r="C272" t="s">
        <v>21</v>
      </c>
      <c r="D272" s="1">
        <v>50654</v>
      </c>
      <c r="E272">
        <v>3</v>
      </c>
      <c r="F272" t="s">
        <v>19</v>
      </c>
      <c r="G272" t="s">
        <v>16</v>
      </c>
      <c r="H272" t="s">
        <v>12</v>
      </c>
      <c r="I272" t="s">
        <v>77</v>
      </c>
      <c r="J272" t="s">
        <v>72</v>
      </c>
      <c r="K272">
        <v>68</v>
      </c>
      <c r="L272" t="s">
        <v>13</v>
      </c>
    </row>
    <row r="273" spans="1:12">
      <c r="A273">
        <v>42711</v>
      </c>
      <c r="B273" t="s">
        <v>22</v>
      </c>
      <c r="C273" t="s">
        <v>20</v>
      </c>
      <c r="D273" s="1">
        <v>45879</v>
      </c>
      <c r="E273">
        <v>0</v>
      </c>
      <c r="F273" t="s">
        <v>10</v>
      </c>
      <c r="G273" t="s">
        <v>18</v>
      </c>
      <c r="H273" t="s">
        <v>12</v>
      </c>
      <c r="I273" t="s">
        <v>78</v>
      </c>
      <c r="J273" t="s">
        <v>67</v>
      </c>
      <c r="K273">
        <v>54</v>
      </c>
      <c r="L273" t="s">
        <v>12</v>
      </c>
    </row>
    <row r="274" spans="1:12">
      <c r="A274">
        <v>15539</v>
      </c>
      <c r="B274" t="s">
        <v>22</v>
      </c>
      <c r="C274" t="s">
        <v>21</v>
      </c>
      <c r="D274" s="1">
        <v>101532</v>
      </c>
      <c r="E274">
        <v>0</v>
      </c>
      <c r="F274" t="s">
        <v>14</v>
      </c>
      <c r="G274" t="s">
        <v>15</v>
      </c>
      <c r="H274" t="s">
        <v>13</v>
      </c>
      <c r="I274" t="s">
        <v>78</v>
      </c>
      <c r="J274" t="s">
        <v>59</v>
      </c>
      <c r="K274">
        <v>23</v>
      </c>
      <c r="L274" t="s">
        <v>13</v>
      </c>
    </row>
    <row r="275" spans="1:12">
      <c r="A275">
        <v>63351</v>
      </c>
      <c r="B275" t="s">
        <v>22</v>
      </c>
      <c r="C275" t="s">
        <v>21</v>
      </c>
      <c r="D275" s="1">
        <v>75778</v>
      </c>
      <c r="E275">
        <v>5</v>
      </c>
      <c r="F275" t="s">
        <v>17</v>
      </c>
      <c r="G275" t="s">
        <v>18</v>
      </c>
      <c r="H275" t="s">
        <v>13</v>
      </c>
      <c r="I275" t="s">
        <v>78</v>
      </c>
      <c r="J275" t="s">
        <v>73</v>
      </c>
      <c r="K275">
        <v>35</v>
      </c>
      <c r="L275" t="s">
        <v>13</v>
      </c>
    </row>
    <row r="276" spans="1:12">
      <c r="A276">
        <v>71267</v>
      </c>
      <c r="B276" t="s">
        <v>21</v>
      </c>
      <c r="C276" t="s">
        <v>20</v>
      </c>
      <c r="D276" s="1">
        <v>57772</v>
      </c>
      <c r="E276">
        <v>4</v>
      </c>
      <c r="F276" t="s">
        <v>19</v>
      </c>
      <c r="G276" t="s">
        <v>16</v>
      </c>
      <c r="H276" t="s">
        <v>12</v>
      </c>
      <c r="I276" t="s">
        <v>79</v>
      </c>
      <c r="J276" t="s">
        <v>69</v>
      </c>
      <c r="K276">
        <v>35</v>
      </c>
      <c r="L276" t="s">
        <v>13</v>
      </c>
    </row>
    <row r="277" spans="1:12">
      <c r="A277">
        <v>58354</v>
      </c>
      <c r="B277" t="s">
        <v>21</v>
      </c>
      <c r="C277" t="s">
        <v>21</v>
      </c>
      <c r="D277" s="1">
        <v>78478</v>
      </c>
      <c r="E277">
        <v>2</v>
      </c>
      <c r="F277" t="s">
        <v>10</v>
      </c>
      <c r="G277" t="s">
        <v>18</v>
      </c>
      <c r="H277" t="s">
        <v>13</v>
      </c>
      <c r="I277" t="s">
        <v>77</v>
      </c>
      <c r="J277" t="s">
        <v>73</v>
      </c>
      <c r="K277">
        <v>40</v>
      </c>
      <c r="L277" t="s">
        <v>12</v>
      </c>
    </row>
    <row r="278" spans="1:12">
      <c r="A278">
        <v>12557</v>
      </c>
      <c r="B278" t="s">
        <v>21</v>
      </c>
      <c r="C278" t="s">
        <v>20</v>
      </c>
      <c r="D278" s="1">
        <v>84353</v>
      </c>
      <c r="E278">
        <v>1</v>
      </c>
      <c r="F278" t="s">
        <v>14</v>
      </c>
      <c r="G278" t="s">
        <v>11</v>
      </c>
      <c r="H278" t="s">
        <v>12</v>
      </c>
      <c r="I278" t="s">
        <v>80</v>
      </c>
      <c r="J278" t="s">
        <v>74</v>
      </c>
      <c r="K278">
        <v>45</v>
      </c>
      <c r="L278" t="s">
        <v>12</v>
      </c>
    </row>
    <row r="279" spans="1:12">
      <c r="A279">
        <v>48360</v>
      </c>
      <c r="B279" t="s">
        <v>22</v>
      </c>
      <c r="C279" t="s">
        <v>21</v>
      </c>
      <c r="D279" s="1">
        <v>46762</v>
      </c>
      <c r="E279">
        <v>2</v>
      </c>
      <c r="F279" t="s">
        <v>19</v>
      </c>
      <c r="G279" t="s">
        <v>18</v>
      </c>
      <c r="H279" t="s">
        <v>12</v>
      </c>
      <c r="I279" t="s">
        <v>78</v>
      </c>
      <c r="J279" t="s">
        <v>60</v>
      </c>
      <c r="K279">
        <v>55</v>
      </c>
      <c r="L279" t="s">
        <v>13</v>
      </c>
    </row>
    <row r="280" spans="1:12">
      <c r="A280">
        <v>92018</v>
      </c>
      <c r="B280" t="s">
        <v>21</v>
      </c>
      <c r="C280" t="s">
        <v>21</v>
      </c>
      <c r="D280" s="1">
        <v>33283</v>
      </c>
      <c r="E280">
        <v>4</v>
      </c>
      <c r="F280" t="s">
        <v>10</v>
      </c>
      <c r="G280" t="s">
        <v>16</v>
      </c>
      <c r="H280" t="s">
        <v>13</v>
      </c>
      <c r="I280" t="s">
        <v>77</v>
      </c>
      <c r="J280" t="s">
        <v>64</v>
      </c>
      <c r="K280">
        <v>38</v>
      </c>
      <c r="L280" t="s">
        <v>13</v>
      </c>
    </row>
    <row r="281" spans="1:12">
      <c r="A281">
        <v>12200</v>
      </c>
      <c r="B281" t="s">
        <v>21</v>
      </c>
      <c r="C281" t="s">
        <v>21</v>
      </c>
      <c r="D281" s="1">
        <v>83922</v>
      </c>
      <c r="E281">
        <v>1</v>
      </c>
      <c r="F281" t="s">
        <v>19</v>
      </c>
      <c r="G281" t="s">
        <v>16</v>
      </c>
      <c r="H281" t="s">
        <v>12</v>
      </c>
      <c r="I281" t="s">
        <v>81</v>
      </c>
      <c r="J281" t="s">
        <v>70</v>
      </c>
      <c r="K281">
        <v>36</v>
      </c>
      <c r="L281" t="s">
        <v>12</v>
      </c>
    </row>
    <row r="282" spans="1:12">
      <c r="A282">
        <v>78497</v>
      </c>
      <c r="B282" t="s">
        <v>21</v>
      </c>
      <c r="C282" t="s">
        <v>20</v>
      </c>
      <c r="D282" s="1">
        <v>59420</v>
      </c>
      <c r="E282">
        <v>2</v>
      </c>
      <c r="F282" t="s">
        <v>10</v>
      </c>
      <c r="G282" t="s">
        <v>16</v>
      </c>
      <c r="H282" t="s">
        <v>12</v>
      </c>
      <c r="I282" t="s">
        <v>78</v>
      </c>
      <c r="J282" t="s">
        <v>68</v>
      </c>
      <c r="K282">
        <v>64</v>
      </c>
      <c r="L282" t="s">
        <v>13</v>
      </c>
    </row>
    <row r="283" spans="1:12">
      <c r="A283">
        <v>56975</v>
      </c>
      <c r="B283" t="s">
        <v>22</v>
      </c>
      <c r="C283" t="s">
        <v>20</v>
      </c>
      <c r="D283" s="1">
        <v>75568</v>
      </c>
      <c r="E283">
        <v>5</v>
      </c>
      <c r="F283" t="s">
        <v>19</v>
      </c>
      <c r="G283" t="s">
        <v>18</v>
      </c>
      <c r="H283" t="s">
        <v>13</v>
      </c>
      <c r="I283" t="s">
        <v>78</v>
      </c>
      <c r="J283" t="s">
        <v>68</v>
      </c>
      <c r="K283">
        <v>45</v>
      </c>
      <c r="L283" t="s">
        <v>12</v>
      </c>
    </row>
    <row r="284" spans="1:12">
      <c r="A284">
        <v>31357</v>
      </c>
      <c r="B284" t="s">
        <v>22</v>
      </c>
      <c r="C284" t="s">
        <v>21</v>
      </c>
      <c r="D284" s="1">
        <v>105090</v>
      </c>
      <c r="E284">
        <v>1</v>
      </c>
      <c r="F284" t="s">
        <v>14</v>
      </c>
      <c r="G284" t="s">
        <v>11</v>
      </c>
      <c r="H284" t="s">
        <v>12</v>
      </c>
      <c r="I284" t="s">
        <v>80</v>
      </c>
      <c r="J284" t="s">
        <v>70</v>
      </c>
      <c r="K284">
        <v>41</v>
      </c>
      <c r="L284" t="s">
        <v>13</v>
      </c>
    </row>
    <row r="285" spans="1:12">
      <c r="A285">
        <v>87505</v>
      </c>
      <c r="B285" t="s">
        <v>21</v>
      </c>
      <c r="C285" t="s">
        <v>21</v>
      </c>
      <c r="D285" s="1">
        <v>40219</v>
      </c>
      <c r="E285">
        <v>0</v>
      </c>
      <c r="F285" t="s">
        <v>14</v>
      </c>
      <c r="G285" t="s">
        <v>15</v>
      </c>
      <c r="H285" t="s">
        <v>12</v>
      </c>
      <c r="I285" t="s">
        <v>79</v>
      </c>
      <c r="J285" t="s">
        <v>59</v>
      </c>
      <c r="K285">
        <v>47</v>
      </c>
      <c r="L285" t="s">
        <v>12</v>
      </c>
    </row>
    <row r="286" spans="1:12">
      <c r="A286">
        <v>12869</v>
      </c>
      <c r="B286" t="s">
        <v>21</v>
      </c>
      <c r="C286" t="s">
        <v>20</v>
      </c>
      <c r="D286" s="1">
        <v>77169</v>
      </c>
      <c r="E286">
        <v>2</v>
      </c>
      <c r="F286" t="s">
        <v>17</v>
      </c>
      <c r="G286" t="s">
        <v>11</v>
      </c>
      <c r="H286" t="s">
        <v>12</v>
      </c>
      <c r="I286" t="s">
        <v>79</v>
      </c>
      <c r="J286" t="s">
        <v>67</v>
      </c>
      <c r="K286">
        <v>20</v>
      </c>
      <c r="L286" t="s">
        <v>13</v>
      </c>
    </row>
    <row r="287" spans="1:12">
      <c r="A287">
        <v>71135</v>
      </c>
      <c r="B287" t="s">
        <v>21</v>
      </c>
      <c r="C287" t="s">
        <v>20</v>
      </c>
      <c r="D287" s="1">
        <v>94965</v>
      </c>
      <c r="E287">
        <v>1</v>
      </c>
      <c r="F287" t="s">
        <v>19</v>
      </c>
      <c r="G287" t="s">
        <v>18</v>
      </c>
      <c r="H287" t="s">
        <v>12</v>
      </c>
      <c r="I287" t="s">
        <v>78</v>
      </c>
      <c r="J287" t="s">
        <v>59</v>
      </c>
      <c r="K287">
        <v>63</v>
      </c>
      <c r="L287" t="s">
        <v>12</v>
      </c>
    </row>
    <row r="288" spans="1:12">
      <c r="A288">
        <v>60108</v>
      </c>
      <c r="B288" t="s">
        <v>22</v>
      </c>
      <c r="C288" t="s">
        <v>21</v>
      </c>
      <c r="D288" s="1">
        <v>66840</v>
      </c>
      <c r="E288">
        <v>5</v>
      </c>
      <c r="F288" t="s">
        <v>17</v>
      </c>
      <c r="G288" t="s">
        <v>18</v>
      </c>
      <c r="H288" t="s">
        <v>12</v>
      </c>
      <c r="I288" t="s">
        <v>77</v>
      </c>
      <c r="J288" t="s">
        <v>72</v>
      </c>
      <c r="K288">
        <v>55</v>
      </c>
      <c r="L288" t="s">
        <v>13</v>
      </c>
    </row>
    <row r="289" spans="1:12">
      <c r="A289">
        <v>48467</v>
      </c>
      <c r="B289" t="s">
        <v>22</v>
      </c>
      <c r="C289" t="s">
        <v>21</v>
      </c>
      <c r="D289" s="1">
        <v>64695</v>
      </c>
      <c r="E289">
        <v>1</v>
      </c>
      <c r="F289" t="s">
        <v>19</v>
      </c>
      <c r="G289" t="s">
        <v>15</v>
      </c>
      <c r="H289" t="s">
        <v>12</v>
      </c>
      <c r="I289" t="s">
        <v>81</v>
      </c>
      <c r="J289" t="s">
        <v>66</v>
      </c>
      <c r="K289">
        <v>62</v>
      </c>
      <c r="L289" t="s">
        <v>13</v>
      </c>
    </row>
    <row r="290" spans="1:12">
      <c r="A290">
        <v>33328</v>
      </c>
      <c r="B290" t="s">
        <v>21</v>
      </c>
      <c r="C290" t="s">
        <v>20</v>
      </c>
      <c r="D290" s="1">
        <v>104754</v>
      </c>
      <c r="E290">
        <v>1</v>
      </c>
      <c r="F290" t="s">
        <v>10</v>
      </c>
      <c r="G290" t="s">
        <v>18</v>
      </c>
      <c r="H290" t="s">
        <v>12</v>
      </c>
      <c r="I290" t="s">
        <v>81</v>
      </c>
      <c r="J290" t="s">
        <v>69</v>
      </c>
      <c r="K290">
        <v>56</v>
      </c>
      <c r="L290" t="s">
        <v>13</v>
      </c>
    </row>
    <row r="291" spans="1:12">
      <c r="A291">
        <v>96831</v>
      </c>
      <c r="B291" t="s">
        <v>22</v>
      </c>
      <c r="C291" t="s">
        <v>20</v>
      </c>
      <c r="D291" s="1">
        <v>97988</v>
      </c>
      <c r="E291">
        <v>5</v>
      </c>
      <c r="F291" t="s">
        <v>10</v>
      </c>
      <c r="G291" t="s">
        <v>16</v>
      </c>
      <c r="H291" t="s">
        <v>13</v>
      </c>
      <c r="I291" t="s">
        <v>77</v>
      </c>
      <c r="J291" t="s">
        <v>71</v>
      </c>
      <c r="K291">
        <v>21</v>
      </c>
      <c r="L291" t="s">
        <v>13</v>
      </c>
    </row>
    <row r="292" spans="1:12">
      <c r="A292">
        <v>13987</v>
      </c>
      <c r="B292" t="s">
        <v>21</v>
      </c>
      <c r="C292" t="s">
        <v>20</v>
      </c>
      <c r="D292" s="1">
        <v>78342</v>
      </c>
      <c r="E292">
        <v>2</v>
      </c>
      <c r="F292" t="s">
        <v>17</v>
      </c>
      <c r="G292" t="s">
        <v>16</v>
      </c>
      <c r="H292" t="s">
        <v>13</v>
      </c>
      <c r="I292" t="s">
        <v>78</v>
      </c>
      <c r="J292" t="s">
        <v>67</v>
      </c>
      <c r="K292">
        <v>36</v>
      </c>
      <c r="L292" t="s">
        <v>13</v>
      </c>
    </row>
    <row r="293" spans="1:12">
      <c r="A293">
        <v>68871</v>
      </c>
      <c r="B293" t="s">
        <v>22</v>
      </c>
      <c r="C293" t="s">
        <v>20</v>
      </c>
      <c r="D293" s="1">
        <v>38951</v>
      </c>
      <c r="E293">
        <v>3</v>
      </c>
      <c r="F293" t="s">
        <v>19</v>
      </c>
      <c r="G293" t="s">
        <v>16</v>
      </c>
      <c r="H293" t="s">
        <v>12</v>
      </c>
      <c r="I293" t="s">
        <v>81</v>
      </c>
      <c r="J293" t="s">
        <v>71</v>
      </c>
      <c r="K293">
        <v>59</v>
      </c>
      <c r="L293" t="s">
        <v>13</v>
      </c>
    </row>
    <row r="294" spans="1:12">
      <c r="A294">
        <v>32399</v>
      </c>
      <c r="B294" t="s">
        <v>21</v>
      </c>
      <c r="C294" t="s">
        <v>20</v>
      </c>
      <c r="D294" s="1">
        <v>21307</v>
      </c>
      <c r="E294">
        <v>2</v>
      </c>
      <c r="F294" t="s">
        <v>17</v>
      </c>
      <c r="G294" t="s">
        <v>16</v>
      </c>
      <c r="H294" t="s">
        <v>12</v>
      </c>
      <c r="I294" t="s">
        <v>79</v>
      </c>
      <c r="J294" t="s">
        <v>74</v>
      </c>
      <c r="K294">
        <v>57</v>
      </c>
      <c r="L294" t="s">
        <v>12</v>
      </c>
    </row>
    <row r="295" spans="1:12">
      <c r="A295">
        <v>56214</v>
      </c>
      <c r="B295" t="s">
        <v>21</v>
      </c>
      <c r="C295" t="s">
        <v>21</v>
      </c>
      <c r="D295" s="1">
        <v>100388</v>
      </c>
      <c r="E295">
        <v>4</v>
      </c>
      <c r="F295" t="s">
        <v>14</v>
      </c>
      <c r="G295" t="s">
        <v>16</v>
      </c>
      <c r="H295" t="s">
        <v>13</v>
      </c>
      <c r="I295" t="s">
        <v>77</v>
      </c>
      <c r="J295" t="s">
        <v>61</v>
      </c>
      <c r="K295">
        <v>40</v>
      </c>
      <c r="L295" t="s">
        <v>12</v>
      </c>
    </row>
    <row r="296" spans="1:12">
      <c r="A296">
        <v>96416</v>
      </c>
      <c r="B296" t="s">
        <v>21</v>
      </c>
      <c r="C296" t="s">
        <v>20</v>
      </c>
      <c r="D296" s="1">
        <v>110768</v>
      </c>
      <c r="E296">
        <v>5</v>
      </c>
      <c r="F296" t="s">
        <v>17</v>
      </c>
      <c r="G296" t="s">
        <v>18</v>
      </c>
      <c r="H296" t="s">
        <v>13</v>
      </c>
      <c r="I296" t="s">
        <v>80</v>
      </c>
      <c r="J296" t="s">
        <v>63</v>
      </c>
      <c r="K296">
        <v>28</v>
      </c>
      <c r="L296" t="s">
        <v>12</v>
      </c>
    </row>
    <row r="297" spans="1:12">
      <c r="A297">
        <v>80271</v>
      </c>
      <c r="B297" t="s">
        <v>22</v>
      </c>
      <c r="C297" t="s">
        <v>21</v>
      </c>
      <c r="D297" s="1">
        <v>55428</v>
      </c>
      <c r="E297">
        <v>2</v>
      </c>
      <c r="F297" t="s">
        <v>17</v>
      </c>
      <c r="G297" t="s">
        <v>15</v>
      </c>
      <c r="H297" t="s">
        <v>13</v>
      </c>
      <c r="I297" t="s">
        <v>78</v>
      </c>
      <c r="J297" t="s">
        <v>70</v>
      </c>
      <c r="K297">
        <v>32</v>
      </c>
      <c r="L297" t="s">
        <v>12</v>
      </c>
    </row>
    <row r="298" spans="1:12">
      <c r="A298">
        <v>54064</v>
      </c>
      <c r="B298" t="s">
        <v>22</v>
      </c>
      <c r="C298" t="s">
        <v>20</v>
      </c>
      <c r="D298" s="1">
        <v>112021</v>
      </c>
      <c r="E298">
        <v>1</v>
      </c>
      <c r="F298" t="s">
        <v>10</v>
      </c>
      <c r="G298" t="s">
        <v>15</v>
      </c>
      <c r="H298" t="s">
        <v>13</v>
      </c>
      <c r="I298" t="s">
        <v>77</v>
      </c>
      <c r="J298" t="s">
        <v>64</v>
      </c>
      <c r="K298">
        <v>30</v>
      </c>
      <c r="L298" t="s">
        <v>13</v>
      </c>
    </row>
    <row r="299" spans="1:12">
      <c r="A299">
        <v>80091</v>
      </c>
      <c r="B299" t="s">
        <v>21</v>
      </c>
      <c r="C299" t="s">
        <v>21</v>
      </c>
      <c r="D299" s="1">
        <v>95774</v>
      </c>
      <c r="E299">
        <v>5</v>
      </c>
      <c r="F299" t="s">
        <v>17</v>
      </c>
      <c r="G299" t="s">
        <v>16</v>
      </c>
      <c r="H299" t="s">
        <v>13</v>
      </c>
      <c r="I299" t="s">
        <v>81</v>
      </c>
      <c r="J299" t="s">
        <v>59</v>
      </c>
      <c r="K299">
        <v>35</v>
      </c>
      <c r="L299" t="s">
        <v>12</v>
      </c>
    </row>
    <row r="300" spans="1:12">
      <c r="A300">
        <v>50818</v>
      </c>
      <c r="B300" t="s">
        <v>22</v>
      </c>
      <c r="C300" t="s">
        <v>20</v>
      </c>
      <c r="D300" s="1">
        <v>58975</v>
      </c>
      <c r="E300">
        <v>0</v>
      </c>
      <c r="F300" t="s">
        <v>19</v>
      </c>
      <c r="G300" t="s">
        <v>18</v>
      </c>
      <c r="H300" t="s">
        <v>12</v>
      </c>
      <c r="I300" t="s">
        <v>78</v>
      </c>
      <c r="J300" t="s">
        <v>71</v>
      </c>
      <c r="K300">
        <v>35</v>
      </c>
      <c r="L300" t="s">
        <v>13</v>
      </c>
    </row>
    <row r="301" spans="1:12">
      <c r="A301">
        <v>55525</v>
      </c>
      <c r="B301" t="s">
        <v>22</v>
      </c>
      <c r="C301" t="s">
        <v>20</v>
      </c>
      <c r="D301" s="1">
        <v>21140</v>
      </c>
      <c r="E301">
        <v>2</v>
      </c>
      <c r="F301" t="s">
        <v>10</v>
      </c>
      <c r="G301" t="s">
        <v>11</v>
      </c>
      <c r="H301" t="s">
        <v>13</v>
      </c>
      <c r="I301" t="s">
        <v>79</v>
      </c>
      <c r="J301" t="s">
        <v>68</v>
      </c>
      <c r="K301">
        <v>21</v>
      </c>
      <c r="L301" t="s">
        <v>13</v>
      </c>
    </row>
    <row r="302" spans="1:12">
      <c r="A302">
        <v>29830</v>
      </c>
      <c r="B302" t="s">
        <v>21</v>
      </c>
      <c r="C302" t="s">
        <v>21</v>
      </c>
      <c r="D302" s="1">
        <v>44842</v>
      </c>
      <c r="E302">
        <v>5</v>
      </c>
      <c r="F302" t="s">
        <v>17</v>
      </c>
      <c r="G302" t="s">
        <v>11</v>
      </c>
      <c r="H302" t="s">
        <v>13</v>
      </c>
      <c r="I302" t="s">
        <v>78</v>
      </c>
      <c r="J302" t="s">
        <v>69</v>
      </c>
      <c r="K302">
        <v>61</v>
      </c>
      <c r="L302" t="s">
        <v>13</v>
      </c>
    </row>
    <row r="303" spans="1:12">
      <c r="A303">
        <v>27429</v>
      </c>
      <c r="B303" t="s">
        <v>21</v>
      </c>
      <c r="C303" t="s">
        <v>21</v>
      </c>
      <c r="D303" s="1">
        <v>46421</v>
      </c>
      <c r="E303">
        <v>2</v>
      </c>
      <c r="F303" t="s">
        <v>14</v>
      </c>
      <c r="G303" t="s">
        <v>18</v>
      </c>
      <c r="H303" t="s">
        <v>13</v>
      </c>
      <c r="I303" t="s">
        <v>78</v>
      </c>
      <c r="J303" t="s">
        <v>66</v>
      </c>
      <c r="K303">
        <v>63</v>
      </c>
      <c r="L303" t="s">
        <v>12</v>
      </c>
    </row>
    <row r="304" spans="1:12">
      <c r="A304">
        <v>16893</v>
      </c>
      <c r="B304" t="s">
        <v>22</v>
      </c>
      <c r="C304" t="s">
        <v>20</v>
      </c>
      <c r="D304" s="1">
        <v>21708</v>
      </c>
      <c r="E304">
        <v>5</v>
      </c>
      <c r="F304" t="s">
        <v>17</v>
      </c>
      <c r="G304" t="s">
        <v>16</v>
      </c>
      <c r="H304" t="s">
        <v>12</v>
      </c>
      <c r="I304" t="s">
        <v>79</v>
      </c>
      <c r="J304" t="s">
        <v>71</v>
      </c>
      <c r="K304">
        <v>27</v>
      </c>
      <c r="L304" t="s">
        <v>13</v>
      </c>
    </row>
    <row r="305" spans="1:12">
      <c r="A305">
        <v>89909</v>
      </c>
      <c r="B305" t="s">
        <v>21</v>
      </c>
      <c r="C305" t="s">
        <v>20</v>
      </c>
      <c r="D305" s="1">
        <v>23630</v>
      </c>
      <c r="E305">
        <v>1</v>
      </c>
      <c r="F305" t="s">
        <v>17</v>
      </c>
      <c r="G305" t="s">
        <v>15</v>
      </c>
      <c r="H305" t="s">
        <v>12</v>
      </c>
      <c r="I305" t="s">
        <v>79</v>
      </c>
      <c r="J305" t="s">
        <v>73</v>
      </c>
      <c r="K305">
        <v>62</v>
      </c>
      <c r="L305" t="s">
        <v>12</v>
      </c>
    </row>
    <row r="306" spans="1:12">
      <c r="A306">
        <v>57333</v>
      </c>
      <c r="B306" t="s">
        <v>21</v>
      </c>
      <c r="C306" t="s">
        <v>20</v>
      </c>
      <c r="D306" s="1">
        <v>39595</v>
      </c>
      <c r="E306">
        <v>0</v>
      </c>
      <c r="F306" t="s">
        <v>17</v>
      </c>
      <c r="G306" t="s">
        <v>18</v>
      </c>
      <c r="H306" t="s">
        <v>12</v>
      </c>
      <c r="I306" t="s">
        <v>78</v>
      </c>
      <c r="J306" t="s">
        <v>72</v>
      </c>
      <c r="K306">
        <v>61</v>
      </c>
      <c r="L306" t="s">
        <v>12</v>
      </c>
    </row>
    <row r="307" spans="1:12">
      <c r="A307">
        <v>13436</v>
      </c>
      <c r="B307" t="s">
        <v>22</v>
      </c>
      <c r="C307" t="s">
        <v>20</v>
      </c>
      <c r="D307" s="1">
        <v>96021</v>
      </c>
      <c r="E307">
        <v>0</v>
      </c>
      <c r="F307" t="s">
        <v>10</v>
      </c>
      <c r="G307" t="s">
        <v>11</v>
      </c>
      <c r="H307" t="s">
        <v>12</v>
      </c>
      <c r="I307" t="s">
        <v>79</v>
      </c>
      <c r="J307" t="s">
        <v>70</v>
      </c>
      <c r="K307">
        <v>32</v>
      </c>
      <c r="L307" t="s">
        <v>13</v>
      </c>
    </row>
    <row r="308" spans="1:12">
      <c r="A308">
        <v>84290</v>
      </c>
      <c r="B308" t="s">
        <v>21</v>
      </c>
      <c r="C308" t="s">
        <v>20</v>
      </c>
      <c r="D308" s="1">
        <v>48308</v>
      </c>
      <c r="E308">
        <v>4</v>
      </c>
      <c r="F308" t="s">
        <v>19</v>
      </c>
      <c r="G308" t="s">
        <v>11</v>
      </c>
      <c r="H308" t="s">
        <v>12</v>
      </c>
      <c r="I308" t="s">
        <v>77</v>
      </c>
      <c r="J308" t="s">
        <v>61</v>
      </c>
      <c r="K308">
        <v>36</v>
      </c>
      <c r="L308" t="s">
        <v>13</v>
      </c>
    </row>
    <row r="309" spans="1:12">
      <c r="A309">
        <v>86213</v>
      </c>
      <c r="B309" t="s">
        <v>21</v>
      </c>
      <c r="C309" t="s">
        <v>21</v>
      </c>
      <c r="D309" s="1">
        <v>64789</v>
      </c>
      <c r="E309">
        <v>5</v>
      </c>
      <c r="F309" t="s">
        <v>14</v>
      </c>
      <c r="G309" t="s">
        <v>11</v>
      </c>
      <c r="H309" t="s">
        <v>12</v>
      </c>
      <c r="I309" t="s">
        <v>79</v>
      </c>
      <c r="J309" t="s">
        <v>62</v>
      </c>
      <c r="K309">
        <v>58</v>
      </c>
      <c r="L309" t="s">
        <v>12</v>
      </c>
    </row>
    <row r="310" spans="1:12">
      <c r="A310">
        <v>15895</v>
      </c>
      <c r="B310" t="s">
        <v>21</v>
      </c>
      <c r="C310" t="s">
        <v>21</v>
      </c>
      <c r="D310" s="1">
        <v>75690</v>
      </c>
      <c r="E310">
        <v>2</v>
      </c>
      <c r="F310" t="s">
        <v>17</v>
      </c>
      <c r="G310" t="s">
        <v>16</v>
      </c>
      <c r="H310" t="s">
        <v>13</v>
      </c>
      <c r="I310" t="s">
        <v>79</v>
      </c>
      <c r="J310" t="s">
        <v>65</v>
      </c>
      <c r="K310">
        <v>43</v>
      </c>
      <c r="L310" t="s">
        <v>13</v>
      </c>
    </row>
    <row r="311" spans="1:12">
      <c r="A311">
        <v>60108</v>
      </c>
      <c r="B311" t="s">
        <v>22</v>
      </c>
      <c r="C311" t="s">
        <v>21</v>
      </c>
      <c r="D311" s="1">
        <v>66840</v>
      </c>
      <c r="E311">
        <v>5</v>
      </c>
      <c r="F311" t="s">
        <v>17</v>
      </c>
      <c r="G311" t="s">
        <v>18</v>
      </c>
      <c r="H311" t="s">
        <v>12</v>
      </c>
      <c r="I311" t="s">
        <v>77</v>
      </c>
      <c r="J311" t="s">
        <v>72</v>
      </c>
      <c r="K311">
        <v>55</v>
      </c>
      <c r="L311" t="s">
        <v>13</v>
      </c>
    </row>
    <row r="312" spans="1:12">
      <c r="A312">
        <v>29738</v>
      </c>
      <c r="B312" t="s">
        <v>22</v>
      </c>
      <c r="C312" t="s">
        <v>20</v>
      </c>
      <c r="D312" s="1">
        <v>46086</v>
      </c>
      <c r="E312">
        <v>0</v>
      </c>
      <c r="F312" t="s">
        <v>19</v>
      </c>
      <c r="G312" t="s">
        <v>11</v>
      </c>
      <c r="H312" t="s">
        <v>12</v>
      </c>
      <c r="I312" t="s">
        <v>78</v>
      </c>
      <c r="J312" t="s">
        <v>67</v>
      </c>
      <c r="K312">
        <v>22</v>
      </c>
      <c r="L312" t="s">
        <v>12</v>
      </c>
    </row>
    <row r="313" spans="1:12">
      <c r="A313">
        <v>40746</v>
      </c>
      <c r="B313" t="s">
        <v>21</v>
      </c>
      <c r="C313" t="s">
        <v>21</v>
      </c>
      <c r="D313" s="1">
        <v>36859</v>
      </c>
      <c r="E313">
        <v>0</v>
      </c>
      <c r="F313" t="s">
        <v>19</v>
      </c>
      <c r="G313" t="s">
        <v>18</v>
      </c>
      <c r="H313" t="s">
        <v>12</v>
      </c>
      <c r="I313" t="s">
        <v>77</v>
      </c>
      <c r="J313" t="s">
        <v>59</v>
      </c>
      <c r="K313">
        <v>49</v>
      </c>
      <c r="L313" t="s">
        <v>12</v>
      </c>
    </row>
    <row r="314" spans="1:12">
      <c r="A314">
        <v>59377</v>
      </c>
      <c r="B314" t="s">
        <v>21</v>
      </c>
      <c r="C314" t="s">
        <v>21</v>
      </c>
      <c r="D314" s="1">
        <v>27684</v>
      </c>
      <c r="E314">
        <v>3</v>
      </c>
      <c r="F314" t="s">
        <v>10</v>
      </c>
      <c r="G314" t="s">
        <v>18</v>
      </c>
      <c r="H314" t="s">
        <v>13</v>
      </c>
      <c r="I314" t="s">
        <v>80</v>
      </c>
      <c r="J314" t="s">
        <v>65</v>
      </c>
      <c r="K314">
        <v>32</v>
      </c>
      <c r="L314" t="s">
        <v>12</v>
      </c>
    </row>
    <row r="315" spans="1:12">
      <c r="A315">
        <v>58404</v>
      </c>
      <c r="B315" t="s">
        <v>21</v>
      </c>
      <c r="C315" t="s">
        <v>21</v>
      </c>
      <c r="D315" s="1">
        <v>111088</v>
      </c>
      <c r="E315">
        <v>3</v>
      </c>
      <c r="F315" t="s">
        <v>14</v>
      </c>
      <c r="G315" t="s">
        <v>11</v>
      </c>
      <c r="H315" t="s">
        <v>12</v>
      </c>
      <c r="I315" t="s">
        <v>80</v>
      </c>
      <c r="J315" t="s">
        <v>63</v>
      </c>
      <c r="K315">
        <v>38</v>
      </c>
      <c r="L315" t="s">
        <v>13</v>
      </c>
    </row>
    <row r="316" spans="1:12">
      <c r="A316">
        <v>64045</v>
      </c>
      <c r="B316" t="s">
        <v>21</v>
      </c>
      <c r="C316" t="s">
        <v>20</v>
      </c>
      <c r="D316" s="1">
        <v>21207</v>
      </c>
      <c r="E316">
        <v>0</v>
      </c>
      <c r="F316" t="s">
        <v>10</v>
      </c>
      <c r="G316" t="s">
        <v>18</v>
      </c>
      <c r="H316" t="s">
        <v>13</v>
      </c>
      <c r="I316" t="s">
        <v>81</v>
      </c>
      <c r="J316" t="s">
        <v>64</v>
      </c>
      <c r="K316">
        <v>26</v>
      </c>
      <c r="L316" t="s">
        <v>13</v>
      </c>
    </row>
    <row r="317" spans="1:12">
      <c r="A317">
        <v>49790</v>
      </c>
      <c r="B317" t="s">
        <v>21</v>
      </c>
      <c r="C317" t="s">
        <v>21</v>
      </c>
      <c r="D317" s="1">
        <v>66099</v>
      </c>
      <c r="E317">
        <v>5</v>
      </c>
      <c r="F317" t="s">
        <v>19</v>
      </c>
      <c r="G317" t="s">
        <v>11</v>
      </c>
      <c r="H317" t="s">
        <v>13</v>
      </c>
      <c r="I317" t="s">
        <v>79</v>
      </c>
      <c r="J317" t="s">
        <v>71</v>
      </c>
      <c r="K317">
        <v>28</v>
      </c>
      <c r="L317" t="s">
        <v>12</v>
      </c>
    </row>
    <row r="318" spans="1:12">
      <c r="A318">
        <v>15600</v>
      </c>
      <c r="B318" t="s">
        <v>21</v>
      </c>
      <c r="C318" t="s">
        <v>20</v>
      </c>
      <c r="D318" s="1">
        <v>87496</v>
      </c>
      <c r="E318">
        <v>4</v>
      </c>
      <c r="F318" t="s">
        <v>19</v>
      </c>
      <c r="G318" t="s">
        <v>11</v>
      </c>
      <c r="H318" t="s">
        <v>12</v>
      </c>
      <c r="I318" t="s">
        <v>79</v>
      </c>
      <c r="J318" t="s">
        <v>66</v>
      </c>
      <c r="K318">
        <v>38</v>
      </c>
      <c r="L318" t="s">
        <v>12</v>
      </c>
    </row>
    <row r="319" spans="1:12">
      <c r="A319">
        <v>50764</v>
      </c>
      <c r="B319" t="s">
        <v>22</v>
      </c>
      <c r="C319" t="s">
        <v>21</v>
      </c>
      <c r="D319" s="1">
        <v>86093</v>
      </c>
      <c r="E319">
        <v>0</v>
      </c>
      <c r="F319" t="s">
        <v>19</v>
      </c>
      <c r="G319" t="s">
        <v>15</v>
      </c>
      <c r="H319" t="s">
        <v>13</v>
      </c>
      <c r="I319" t="s">
        <v>77</v>
      </c>
      <c r="J319" t="s">
        <v>68</v>
      </c>
      <c r="K319">
        <v>64</v>
      </c>
      <c r="L319" t="s">
        <v>13</v>
      </c>
    </row>
    <row r="320" spans="1:12">
      <c r="A320">
        <v>84543</v>
      </c>
      <c r="B320" t="s">
        <v>21</v>
      </c>
      <c r="C320" t="s">
        <v>20</v>
      </c>
      <c r="D320" s="1">
        <v>49689</v>
      </c>
      <c r="E320">
        <v>1</v>
      </c>
      <c r="F320" t="s">
        <v>10</v>
      </c>
      <c r="G320" t="s">
        <v>16</v>
      </c>
      <c r="H320" t="s">
        <v>13</v>
      </c>
      <c r="I320" t="s">
        <v>80</v>
      </c>
      <c r="J320" t="s">
        <v>67</v>
      </c>
      <c r="K320">
        <v>59</v>
      </c>
      <c r="L320" t="s">
        <v>12</v>
      </c>
    </row>
    <row r="321" spans="1:12">
      <c r="A321">
        <v>55714</v>
      </c>
      <c r="B321" t="s">
        <v>21</v>
      </c>
      <c r="C321" t="s">
        <v>21</v>
      </c>
      <c r="D321" s="1">
        <v>68651</v>
      </c>
      <c r="E321">
        <v>2</v>
      </c>
      <c r="F321" t="s">
        <v>14</v>
      </c>
      <c r="G321" t="s">
        <v>16</v>
      </c>
      <c r="H321" t="s">
        <v>13</v>
      </c>
      <c r="I321" t="s">
        <v>81</v>
      </c>
      <c r="J321" t="s">
        <v>74</v>
      </c>
      <c r="K321">
        <v>41</v>
      </c>
      <c r="L321" t="s">
        <v>12</v>
      </c>
    </row>
    <row r="322" spans="1:12">
      <c r="A322">
        <v>66835</v>
      </c>
      <c r="B322" t="s">
        <v>21</v>
      </c>
      <c r="C322" t="s">
        <v>20</v>
      </c>
      <c r="D322" s="1">
        <v>33893</v>
      </c>
      <c r="E322">
        <v>4</v>
      </c>
      <c r="F322" t="s">
        <v>17</v>
      </c>
      <c r="G322" t="s">
        <v>15</v>
      </c>
      <c r="H322" t="s">
        <v>13</v>
      </c>
      <c r="I322" t="s">
        <v>77</v>
      </c>
      <c r="J322" t="s">
        <v>63</v>
      </c>
      <c r="K322">
        <v>37</v>
      </c>
      <c r="L322" t="s">
        <v>13</v>
      </c>
    </row>
    <row r="323" spans="1:12">
      <c r="A323">
        <v>83744</v>
      </c>
      <c r="B323" t="s">
        <v>21</v>
      </c>
      <c r="C323" t="s">
        <v>20</v>
      </c>
      <c r="D323" s="1">
        <v>117808</v>
      </c>
      <c r="E323">
        <v>1</v>
      </c>
      <c r="F323" t="s">
        <v>10</v>
      </c>
      <c r="G323" t="s">
        <v>15</v>
      </c>
      <c r="H323" t="s">
        <v>12</v>
      </c>
      <c r="I323" t="s">
        <v>79</v>
      </c>
      <c r="J323" t="s">
        <v>67</v>
      </c>
      <c r="K323">
        <v>42</v>
      </c>
      <c r="L323" t="s">
        <v>12</v>
      </c>
    </row>
    <row r="324" spans="1:12">
      <c r="A324">
        <v>66491</v>
      </c>
      <c r="B324" t="s">
        <v>21</v>
      </c>
      <c r="C324" t="s">
        <v>21</v>
      </c>
      <c r="D324" s="1">
        <v>86418</v>
      </c>
      <c r="E324">
        <v>4</v>
      </c>
      <c r="F324" t="s">
        <v>19</v>
      </c>
      <c r="G324" t="s">
        <v>16</v>
      </c>
      <c r="H324" t="s">
        <v>13</v>
      </c>
      <c r="I324" t="s">
        <v>80</v>
      </c>
      <c r="J324" t="s">
        <v>65</v>
      </c>
      <c r="K324">
        <v>21</v>
      </c>
      <c r="L324" t="s">
        <v>13</v>
      </c>
    </row>
    <row r="325" spans="1:12">
      <c r="A325">
        <v>28589</v>
      </c>
      <c r="B325" t="s">
        <v>22</v>
      </c>
      <c r="C325" t="s">
        <v>20</v>
      </c>
      <c r="D325" s="1">
        <v>80011</v>
      </c>
      <c r="E325">
        <v>1</v>
      </c>
      <c r="F325" t="s">
        <v>10</v>
      </c>
      <c r="G325" t="s">
        <v>11</v>
      </c>
      <c r="H325" t="s">
        <v>12</v>
      </c>
      <c r="I325" t="s">
        <v>81</v>
      </c>
      <c r="J325" t="s">
        <v>65</v>
      </c>
      <c r="K325">
        <v>69</v>
      </c>
      <c r="L325" t="s">
        <v>12</v>
      </c>
    </row>
    <row r="326" spans="1:12">
      <c r="A326">
        <v>53484</v>
      </c>
      <c r="B326" t="s">
        <v>21</v>
      </c>
      <c r="C326" t="s">
        <v>20</v>
      </c>
      <c r="D326" s="1">
        <v>58635</v>
      </c>
      <c r="E326">
        <v>2</v>
      </c>
      <c r="F326" t="s">
        <v>19</v>
      </c>
      <c r="G326" t="s">
        <v>11</v>
      </c>
      <c r="H326" t="s">
        <v>13</v>
      </c>
      <c r="I326" t="s">
        <v>78</v>
      </c>
      <c r="J326" t="s">
        <v>70</v>
      </c>
      <c r="K326">
        <v>69</v>
      </c>
      <c r="L326" t="s">
        <v>13</v>
      </c>
    </row>
    <row r="327" spans="1:12">
      <c r="A327">
        <v>92989</v>
      </c>
      <c r="B327" t="s">
        <v>21</v>
      </c>
      <c r="C327" t="s">
        <v>20</v>
      </c>
      <c r="D327" s="1">
        <v>76115</v>
      </c>
      <c r="E327">
        <v>2</v>
      </c>
      <c r="F327" t="s">
        <v>17</v>
      </c>
      <c r="G327" t="s">
        <v>16</v>
      </c>
      <c r="H327" t="s">
        <v>13</v>
      </c>
      <c r="I327" t="s">
        <v>80</v>
      </c>
      <c r="J327" t="s">
        <v>59</v>
      </c>
      <c r="K327">
        <v>30</v>
      </c>
      <c r="L327" t="s">
        <v>13</v>
      </c>
    </row>
    <row r="328" spans="1:12">
      <c r="A328">
        <v>46212</v>
      </c>
      <c r="B328" t="s">
        <v>21</v>
      </c>
      <c r="C328" t="s">
        <v>20</v>
      </c>
      <c r="D328" s="1">
        <v>115071</v>
      </c>
      <c r="E328">
        <v>3</v>
      </c>
      <c r="F328" t="s">
        <v>17</v>
      </c>
      <c r="G328" t="s">
        <v>11</v>
      </c>
      <c r="H328" t="s">
        <v>13</v>
      </c>
      <c r="I328" t="s">
        <v>81</v>
      </c>
      <c r="J328" t="s">
        <v>73</v>
      </c>
      <c r="K328">
        <v>50</v>
      </c>
      <c r="L328" t="s">
        <v>13</v>
      </c>
    </row>
    <row r="329" spans="1:12">
      <c r="A329">
        <v>53525</v>
      </c>
      <c r="B329" t="s">
        <v>22</v>
      </c>
      <c r="C329" t="s">
        <v>20</v>
      </c>
      <c r="D329" s="1">
        <v>98405</v>
      </c>
      <c r="E329">
        <v>5</v>
      </c>
      <c r="F329" t="s">
        <v>14</v>
      </c>
      <c r="G329" t="s">
        <v>15</v>
      </c>
      <c r="H329" t="s">
        <v>12</v>
      </c>
      <c r="I329" t="s">
        <v>77</v>
      </c>
      <c r="J329" t="s">
        <v>64</v>
      </c>
      <c r="K329">
        <v>52</v>
      </c>
      <c r="L329" t="s">
        <v>12</v>
      </c>
    </row>
    <row r="330" spans="1:12">
      <c r="A330">
        <v>57202</v>
      </c>
      <c r="B330" t="s">
        <v>22</v>
      </c>
      <c r="C330" t="s">
        <v>20</v>
      </c>
      <c r="D330" s="1">
        <v>92702</v>
      </c>
      <c r="E330">
        <v>1</v>
      </c>
      <c r="F330" t="s">
        <v>19</v>
      </c>
      <c r="G330" t="s">
        <v>11</v>
      </c>
      <c r="H330" t="s">
        <v>12</v>
      </c>
      <c r="I330" t="s">
        <v>78</v>
      </c>
      <c r="J330" t="s">
        <v>68</v>
      </c>
      <c r="K330">
        <v>33</v>
      </c>
      <c r="L330" t="s">
        <v>13</v>
      </c>
    </row>
    <row r="331" spans="1:12">
      <c r="A331">
        <v>42635</v>
      </c>
      <c r="B331" t="s">
        <v>22</v>
      </c>
      <c r="C331" t="s">
        <v>20</v>
      </c>
      <c r="D331" s="1">
        <v>98518</v>
      </c>
      <c r="E331">
        <v>3</v>
      </c>
      <c r="F331" t="s">
        <v>14</v>
      </c>
      <c r="G331" t="s">
        <v>11</v>
      </c>
      <c r="H331" t="s">
        <v>12</v>
      </c>
      <c r="I331" t="s">
        <v>81</v>
      </c>
      <c r="J331" t="s">
        <v>65</v>
      </c>
      <c r="K331">
        <v>35</v>
      </c>
      <c r="L331" t="s">
        <v>13</v>
      </c>
    </row>
    <row r="332" spans="1:12">
      <c r="A332">
        <v>73208</v>
      </c>
      <c r="B332" t="s">
        <v>21</v>
      </c>
      <c r="C332" t="s">
        <v>20</v>
      </c>
      <c r="D332" s="1">
        <v>92805</v>
      </c>
      <c r="E332">
        <v>1</v>
      </c>
      <c r="F332" t="s">
        <v>14</v>
      </c>
      <c r="G332" t="s">
        <v>18</v>
      </c>
      <c r="H332" t="s">
        <v>13</v>
      </c>
      <c r="I332" t="s">
        <v>81</v>
      </c>
      <c r="J332" t="s">
        <v>63</v>
      </c>
      <c r="K332">
        <v>30</v>
      </c>
      <c r="L332" t="s">
        <v>13</v>
      </c>
    </row>
    <row r="333" spans="1:12">
      <c r="A333">
        <v>43828</v>
      </c>
      <c r="B333" t="s">
        <v>22</v>
      </c>
      <c r="C333" t="s">
        <v>21</v>
      </c>
      <c r="D333" s="1">
        <v>78954</v>
      </c>
      <c r="E333">
        <v>3</v>
      </c>
      <c r="F333" t="s">
        <v>17</v>
      </c>
      <c r="G333" t="s">
        <v>18</v>
      </c>
      <c r="H333" t="s">
        <v>13</v>
      </c>
      <c r="I333" t="s">
        <v>79</v>
      </c>
      <c r="J333" t="s">
        <v>60</v>
      </c>
      <c r="K333">
        <v>52</v>
      </c>
      <c r="L333" t="s">
        <v>13</v>
      </c>
    </row>
    <row r="334" spans="1:12">
      <c r="A334">
        <v>28711</v>
      </c>
      <c r="B334" t="s">
        <v>21</v>
      </c>
      <c r="C334" t="s">
        <v>21</v>
      </c>
      <c r="D334" s="1">
        <v>48064</v>
      </c>
      <c r="E334">
        <v>2</v>
      </c>
      <c r="F334" t="s">
        <v>10</v>
      </c>
      <c r="G334" t="s">
        <v>18</v>
      </c>
      <c r="H334" t="s">
        <v>13</v>
      </c>
      <c r="I334" t="s">
        <v>80</v>
      </c>
      <c r="J334" t="s">
        <v>69</v>
      </c>
      <c r="K334">
        <v>26</v>
      </c>
      <c r="L334" t="s">
        <v>13</v>
      </c>
    </row>
    <row r="335" spans="1:12">
      <c r="A335">
        <v>13420</v>
      </c>
      <c r="B335" t="s">
        <v>21</v>
      </c>
      <c r="C335" t="s">
        <v>20</v>
      </c>
      <c r="D335" s="1">
        <v>99063</v>
      </c>
      <c r="E335">
        <v>4</v>
      </c>
      <c r="F335" t="s">
        <v>10</v>
      </c>
      <c r="G335" t="s">
        <v>11</v>
      </c>
      <c r="H335" t="s">
        <v>13</v>
      </c>
      <c r="I335" t="s">
        <v>79</v>
      </c>
      <c r="J335" t="s">
        <v>71</v>
      </c>
      <c r="K335">
        <v>50</v>
      </c>
      <c r="L335" t="s">
        <v>13</v>
      </c>
    </row>
    <row r="336" spans="1:12">
      <c r="A336">
        <v>10301</v>
      </c>
      <c r="B336" t="s">
        <v>21</v>
      </c>
      <c r="C336" t="s">
        <v>20</v>
      </c>
      <c r="D336" s="1">
        <v>22454</v>
      </c>
      <c r="E336">
        <v>3</v>
      </c>
      <c r="F336" t="s">
        <v>14</v>
      </c>
      <c r="G336" t="s">
        <v>16</v>
      </c>
      <c r="H336" t="s">
        <v>12</v>
      </c>
      <c r="I336" t="s">
        <v>78</v>
      </c>
      <c r="J336" t="s">
        <v>61</v>
      </c>
      <c r="K336">
        <v>67</v>
      </c>
      <c r="L336" t="s">
        <v>12</v>
      </c>
    </row>
    <row r="337" spans="1:12">
      <c r="A337">
        <v>55236</v>
      </c>
      <c r="B337" t="s">
        <v>21</v>
      </c>
      <c r="C337" t="s">
        <v>21</v>
      </c>
      <c r="D337" s="1">
        <v>40878</v>
      </c>
      <c r="E337">
        <v>1</v>
      </c>
      <c r="F337" t="s">
        <v>17</v>
      </c>
      <c r="G337" t="s">
        <v>15</v>
      </c>
      <c r="H337" t="s">
        <v>13</v>
      </c>
      <c r="I337" t="s">
        <v>81</v>
      </c>
      <c r="J337" t="s">
        <v>66</v>
      </c>
      <c r="K337">
        <v>65</v>
      </c>
      <c r="L337" t="s">
        <v>12</v>
      </c>
    </row>
    <row r="338" spans="1:12">
      <c r="A338">
        <v>76235</v>
      </c>
      <c r="B338" t="s">
        <v>22</v>
      </c>
      <c r="C338" t="s">
        <v>21</v>
      </c>
      <c r="D338" s="1">
        <v>71098</v>
      </c>
      <c r="E338">
        <v>1</v>
      </c>
      <c r="F338" t="s">
        <v>19</v>
      </c>
      <c r="G338" t="s">
        <v>11</v>
      </c>
      <c r="H338" t="s">
        <v>12</v>
      </c>
      <c r="I338" t="s">
        <v>79</v>
      </c>
      <c r="J338" t="s">
        <v>72</v>
      </c>
      <c r="K338">
        <v>66</v>
      </c>
      <c r="L338" t="s">
        <v>13</v>
      </c>
    </row>
    <row r="339" spans="1:12">
      <c r="A339">
        <v>64240</v>
      </c>
      <c r="B339" t="s">
        <v>22</v>
      </c>
      <c r="C339" t="s">
        <v>21</v>
      </c>
      <c r="D339" s="1">
        <v>82154</v>
      </c>
      <c r="E339">
        <v>5</v>
      </c>
      <c r="F339" t="s">
        <v>10</v>
      </c>
      <c r="G339" t="s">
        <v>16</v>
      </c>
      <c r="H339" t="s">
        <v>13</v>
      </c>
      <c r="I339" t="s">
        <v>80</v>
      </c>
      <c r="J339" t="s">
        <v>74</v>
      </c>
      <c r="K339">
        <v>33</v>
      </c>
      <c r="L339" t="s">
        <v>12</v>
      </c>
    </row>
    <row r="340" spans="1:12">
      <c r="A340">
        <v>75726</v>
      </c>
      <c r="B340" t="s">
        <v>21</v>
      </c>
      <c r="C340" t="s">
        <v>20</v>
      </c>
      <c r="D340" s="1">
        <v>32991</v>
      </c>
      <c r="E340">
        <v>2</v>
      </c>
      <c r="F340" t="s">
        <v>14</v>
      </c>
      <c r="G340" t="s">
        <v>11</v>
      </c>
      <c r="H340" t="s">
        <v>12</v>
      </c>
      <c r="I340" t="s">
        <v>78</v>
      </c>
      <c r="J340" t="s">
        <v>61</v>
      </c>
      <c r="K340">
        <v>47</v>
      </c>
      <c r="L340" t="s">
        <v>13</v>
      </c>
    </row>
    <row r="341" spans="1:12">
      <c r="A341">
        <v>20492</v>
      </c>
      <c r="B341" t="s">
        <v>22</v>
      </c>
      <c r="C341" t="s">
        <v>21</v>
      </c>
      <c r="D341" s="1">
        <v>88344</v>
      </c>
      <c r="E341">
        <v>1</v>
      </c>
      <c r="F341" t="s">
        <v>10</v>
      </c>
      <c r="G341" t="s">
        <v>15</v>
      </c>
      <c r="H341" t="s">
        <v>12</v>
      </c>
      <c r="I341" t="s">
        <v>77</v>
      </c>
      <c r="J341" t="s">
        <v>72</v>
      </c>
      <c r="K341">
        <v>62</v>
      </c>
      <c r="L341" t="s">
        <v>13</v>
      </c>
    </row>
    <row r="342" spans="1:12">
      <c r="A342">
        <v>16102</v>
      </c>
      <c r="B342" t="s">
        <v>22</v>
      </c>
      <c r="C342" t="s">
        <v>20</v>
      </c>
      <c r="D342" s="1">
        <v>56593</v>
      </c>
      <c r="E342">
        <v>0</v>
      </c>
      <c r="F342" t="s">
        <v>10</v>
      </c>
      <c r="G342" t="s">
        <v>11</v>
      </c>
      <c r="H342" t="s">
        <v>13</v>
      </c>
      <c r="I342" t="s">
        <v>79</v>
      </c>
      <c r="J342" t="s">
        <v>69</v>
      </c>
      <c r="K342">
        <v>35</v>
      </c>
      <c r="L342" t="s">
        <v>13</v>
      </c>
    </row>
    <row r="343" spans="1:12">
      <c r="A343">
        <v>60336</v>
      </c>
      <c r="B343" t="s">
        <v>22</v>
      </c>
      <c r="C343" t="s">
        <v>20</v>
      </c>
      <c r="D343" s="1">
        <v>56304</v>
      </c>
      <c r="E343">
        <v>4</v>
      </c>
      <c r="F343" t="s">
        <v>19</v>
      </c>
      <c r="G343" t="s">
        <v>15</v>
      </c>
      <c r="H343" t="s">
        <v>13</v>
      </c>
      <c r="I343" t="s">
        <v>78</v>
      </c>
      <c r="J343" t="s">
        <v>61</v>
      </c>
      <c r="K343">
        <v>38</v>
      </c>
      <c r="L343" t="s">
        <v>12</v>
      </c>
    </row>
    <row r="344" spans="1:12">
      <c r="A344">
        <v>95314</v>
      </c>
      <c r="B344" t="s">
        <v>22</v>
      </c>
      <c r="C344" t="s">
        <v>21</v>
      </c>
      <c r="D344" s="1">
        <v>50386</v>
      </c>
      <c r="E344">
        <v>3</v>
      </c>
      <c r="F344" t="s">
        <v>17</v>
      </c>
      <c r="G344" t="s">
        <v>11</v>
      </c>
      <c r="H344" t="s">
        <v>12</v>
      </c>
      <c r="I344" t="s">
        <v>77</v>
      </c>
      <c r="J344" t="s">
        <v>70</v>
      </c>
      <c r="K344">
        <v>36</v>
      </c>
      <c r="L344" t="s">
        <v>12</v>
      </c>
    </row>
    <row r="345" spans="1:12">
      <c r="A345">
        <v>36641</v>
      </c>
      <c r="B345" t="s">
        <v>22</v>
      </c>
      <c r="C345" t="s">
        <v>20</v>
      </c>
      <c r="D345" s="1">
        <v>75220</v>
      </c>
      <c r="E345">
        <v>5</v>
      </c>
      <c r="F345" t="s">
        <v>19</v>
      </c>
      <c r="G345" t="s">
        <v>15</v>
      </c>
      <c r="H345" t="s">
        <v>13</v>
      </c>
      <c r="I345" t="s">
        <v>79</v>
      </c>
      <c r="J345" t="s">
        <v>59</v>
      </c>
      <c r="K345">
        <v>45</v>
      </c>
      <c r="L345" t="s">
        <v>13</v>
      </c>
    </row>
    <row r="346" spans="1:12">
      <c r="A346">
        <v>44584</v>
      </c>
      <c r="B346" t="s">
        <v>22</v>
      </c>
      <c r="C346" t="s">
        <v>20</v>
      </c>
      <c r="D346" s="1">
        <v>89338</v>
      </c>
      <c r="E346">
        <v>4</v>
      </c>
      <c r="F346" t="s">
        <v>17</v>
      </c>
      <c r="G346" t="s">
        <v>11</v>
      </c>
      <c r="H346" t="s">
        <v>13</v>
      </c>
      <c r="I346" t="s">
        <v>78</v>
      </c>
      <c r="J346" t="s">
        <v>73</v>
      </c>
      <c r="K346">
        <v>25</v>
      </c>
      <c r="L346" t="s">
        <v>13</v>
      </c>
    </row>
    <row r="347" spans="1:12">
      <c r="A347">
        <v>42745</v>
      </c>
      <c r="B347" t="s">
        <v>22</v>
      </c>
      <c r="C347" t="s">
        <v>20</v>
      </c>
      <c r="D347" s="1">
        <v>114289</v>
      </c>
      <c r="E347">
        <v>2</v>
      </c>
      <c r="F347" t="s">
        <v>10</v>
      </c>
      <c r="G347" t="s">
        <v>15</v>
      </c>
      <c r="H347" t="s">
        <v>12</v>
      </c>
      <c r="I347" t="s">
        <v>78</v>
      </c>
      <c r="J347" t="s">
        <v>69</v>
      </c>
      <c r="K347">
        <v>62</v>
      </c>
      <c r="L347" t="s">
        <v>13</v>
      </c>
    </row>
    <row r="348" spans="1:12">
      <c r="A348">
        <v>33093</v>
      </c>
      <c r="B348" t="s">
        <v>21</v>
      </c>
      <c r="C348" t="s">
        <v>20</v>
      </c>
      <c r="D348" s="1">
        <v>41083</v>
      </c>
      <c r="E348">
        <v>5</v>
      </c>
      <c r="F348" t="s">
        <v>14</v>
      </c>
      <c r="G348" t="s">
        <v>18</v>
      </c>
      <c r="H348" t="s">
        <v>12</v>
      </c>
      <c r="I348" t="s">
        <v>79</v>
      </c>
      <c r="J348" t="s">
        <v>63</v>
      </c>
      <c r="K348">
        <v>68</v>
      </c>
      <c r="L348" t="s">
        <v>12</v>
      </c>
    </row>
    <row r="349" spans="1:12">
      <c r="A349">
        <v>76105</v>
      </c>
      <c r="B349" t="s">
        <v>21</v>
      </c>
      <c r="C349" t="s">
        <v>21</v>
      </c>
      <c r="D349" s="1">
        <v>38354</v>
      </c>
      <c r="E349">
        <v>3</v>
      </c>
      <c r="F349" t="s">
        <v>19</v>
      </c>
      <c r="G349" t="s">
        <v>11</v>
      </c>
      <c r="H349" t="s">
        <v>12</v>
      </c>
      <c r="I349" t="s">
        <v>78</v>
      </c>
      <c r="J349" t="s">
        <v>66</v>
      </c>
      <c r="K349">
        <v>28</v>
      </c>
      <c r="L349" t="s">
        <v>12</v>
      </c>
    </row>
    <row r="350" spans="1:12">
      <c r="A350">
        <v>61885</v>
      </c>
      <c r="B350" t="s">
        <v>22</v>
      </c>
      <c r="C350" t="s">
        <v>21</v>
      </c>
      <c r="D350" s="1">
        <v>42190</v>
      </c>
      <c r="E350">
        <v>3</v>
      </c>
      <c r="F350" t="s">
        <v>17</v>
      </c>
      <c r="G350" t="s">
        <v>11</v>
      </c>
      <c r="H350" t="s">
        <v>12</v>
      </c>
      <c r="I350" t="s">
        <v>81</v>
      </c>
      <c r="J350" t="s">
        <v>59</v>
      </c>
      <c r="K350">
        <v>69</v>
      </c>
      <c r="L350" t="s">
        <v>12</v>
      </c>
    </row>
    <row r="351" spans="1:12">
      <c r="A351">
        <v>46631</v>
      </c>
      <c r="B351" t="s">
        <v>21</v>
      </c>
      <c r="C351" t="s">
        <v>20</v>
      </c>
      <c r="D351" s="1">
        <v>26142</v>
      </c>
      <c r="E351">
        <v>0</v>
      </c>
      <c r="F351" t="s">
        <v>10</v>
      </c>
      <c r="G351" t="s">
        <v>16</v>
      </c>
      <c r="H351" t="s">
        <v>13</v>
      </c>
      <c r="I351" t="s">
        <v>79</v>
      </c>
      <c r="J351" t="s">
        <v>74</v>
      </c>
      <c r="K351">
        <v>36</v>
      </c>
      <c r="L351" t="s">
        <v>13</v>
      </c>
    </row>
    <row r="352" spans="1:12">
      <c r="A352">
        <v>82991</v>
      </c>
      <c r="B352" t="s">
        <v>22</v>
      </c>
      <c r="C352" t="s">
        <v>20</v>
      </c>
      <c r="D352" s="1">
        <v>48398</v>
      </c>
      <c r="E352">
        <v>2</v>
      </c>
      <c r="F352" t="s">
        <v>17</v>
      </c>
      <c r="G352" t="s">
        <v>16</v>
      </c>
      <c r="H352" t="s">
        <v>12</v>
      </c>
      <c r="I352" t="s">
        <v>78</v>
      </c>
      <c r="J352" t="s">
        <v>69</v>
      </c>
      <c r="K352">
        <v>50</v>
      </c>
      <c r="L352" t="s">
        <v>12</v>
      </c>
    </row>
    <row r="353" spans="1:12">
      <c r="A353">
        <v>14014</v>
      </c>
      <c r="B353" t="s">
        <v>21</v>
      </c>
      <c r="C353" t="s">
        <v>21</v>
      </c>
      <c r="D353" s="1">
        <v>71971</v>
      </c>
      <c r="E353">
        <v>5</v>
      </c>
      <c r="F353" t="s">
        <v>17</v>
      </c>
      <c r="G353" t="s">
        <v>15</v>
      </c>
      <c r="H353" t="s">
        <v>12</v>
      </c>
      <c r="I353" t="s">
        <v>77</v>
      </c>
      <c r="J353" t="s">
        <v>70</v>
      </c>
      <c r="K353">
        <v>31</v>
      </c>
      <c r="L353" t="s">
        <v>12</v>
      </c>
    </row>
    <row r="354" spans="1:12">
      <c r="A354">
        <v>21093</v>
      </c>
      <c r="B354" t="s">
        <v>21</v>
      </c>
      <c r="C354" t="s">
        <v>20</v>
      </c>
      <c r="D354" s="1">
        <v>61862</v>
      </c>
      <c r="E354">
        <v>5</v>
      </c>
      <c r="F354" t="s">
        <v>17</v>
      </c>
      <c r="G354" t="s">
        <v>11</v>
      </c>
      <c r="H354" t="s">
        <v>12</v>
      </c>
      <c r="I354" t="s">
        <v>77</v>
      </c>
      <c r="J354" t="s">
        <v>67</v>
      </c>
      <c r="K354">
        <v>42</v>
      </c>
      <c r="L354" t="s">
        <v>12</v>
      </c>
    </row>
    <row r="355" spans="1:12">
      <c r="A355">
        <v>28070</v>
      </c>
      <c r="B355" t="s">
        <v>21</v>
      </c>
      <c r="C355" t="s">
        <v>21</v>
      </c>
      <c r="D355" s="1">
        <v>118668</v>
      </c>
      <c r="E355">
        <v>1</v>
      </c>
      <c r="F355" t="s">
        <v>10</v>
      </c>
      <c r="G355" t="s">
        <v>15</v>
      </c>
      <c r="H355" t="s">
        <v>13</v>
      </c>
      <c r="I355" t="s">
        <v>81</v>
      </c>
      <c r="J355" t="s">
        <v>63</v>
      </c>
      <c r="K355">
        <v>24</v>
      </c>
      <c r="L355" t="s">
        <v>12</v>
      </c>
    </row>
    <row r="356" spans="1:12">
      <c r="A356">
        <v>45777</v>
      </c>
      <c r="B356" t="s">
        <v>21</v>
      </c>
      <c r="C356" t="s">
        <v>20</v>
      </c>
      <c r="D356" s="1">
        <v>73410</v>
      </c>
      <c r="E356">
        <v>0</v>
      </c>
      <c r="F356" t="s">
        <v>14</v>
      </c>
      <c r="G356" t="s">
        <v>18</v>
      </c>
      <c r="H356" t="s">
        <v>12</v>
      </c>
      <c r="I356" t="s">
        <v>79</v>
      </c>
      <c r="J356" t="s">
        <v>64</v>
      </c>
      <c r="K356">
        <v>62</v>
      </c>
      <c r="L356" t="s">
        <v>13</v>
      </c>
    </row>
    <row r="357" spans="1:12">
      <c r="A357">
        <v>66958</v>
      </c>
      <c r="B357" t="s">
        <v>22</v>
      </c>
      <c r="C357" t="s">
        <v>20</v>
      </c>
      <c r="D357" s="1">
        <v>39503</v>
      </c>
      <c r="E357">
        <v>0</v>
      </c>
      <c r="F357" t="s">
        <v>14</v>
      </c>
      <c r="G357" t="s">
        <v>16</v>
      </c>
      <c r="H357" t="s">
        <v>13</v>
      </c>
      <c r="I357" t="s">
        <v>78</v>
      </c>
      <c r="J357" t="s">
        <v>70</v>
      </c>
      <c r="K357">
        <v>55</v>
      </c>
      <c r="L357" t="s">
        <v>13</v>
      </c>
    </row>
    <row r="358" spans="1:12">
      <c r="A358">
        <v>92074</v>
      </c>
      <c r="B358" t="s">
        <v>22</v>
      </c>
      <c r="C358" t="s">
        <v>21</v>
      </c>
      <c r="D358" s="1">
        <v>68456</v>
      </c>
      <c r="E358">
        <v>5</v>
      </c>
      <c r="F358" t="s">
        <v>14</v>
      </c>
      <c r="G358" t="s">
        <v>15</v>
      </c>
      <c r="H358" t="s">
        <v>12</v>
      </c>
      <c r="I358" t="s">
        <v>78</v>
      </c>
      <c r="J358" t="s">
        <v>74</v>
      </c>
      <c r="K358">
        <v>55</v>
      </c>
      <c r="L358" t="s">
        <v>12</v>
      </c>
    </row>
    <row r="359" spans="1:12">
      <c r="A359">
        <v>20729</v>
      </c>
      <c r="B359" t="s">
        <v>22</v>
      </c>
      <c r="C359" t="s">
        <v>21</v>
      </c>
      <c r="D359" s="1">
        <v>102035</v>
      </c>
      <c r="E359">
        <v>5</v>
      </c>
      <c r="F359" t="s">
        <v>17</v>
      </c>
      <c r="G359" t="s">
        <v>15</v>
      </c>
      <c r="H359" t="s">
        <v>12</v>
      </c>
      <c r="I359" t="s">
        <v>77</v>
      </c>
      <c r="J359" t="s">
        <v>64</v>
      </c>
      <c r="K359">
        <v>22</v>
      </c>
      <c r="L359" t="s">
        <v>12</v>
      </c>
    </row>
    <row r="360" spans="1:12">
      <c r="A360">
        <v>55017</v>
      </c>
      <c r="B360" t="s">
        <v>22</v>
      </c>
      <c r="C360" t="s">
        <v>21</v>
      </c>
      <c r="D360" s="1">
        <v>28016</v>
      </c>
      <c r="E360">
        <v>4</v>
      </c>
      <c r="F360" t="s">
        <v>10</v>
      </c>
      <c r="G360" t="s">
        <v>16</v>
      </c>
      <c r="H360" t="s">
        <v>13</v>
      </c>
      <c r="I360" t="s">
        <v>81</v>
      </c>
      <c r="J360" t="s">
        <v>70</v>
      </c>
      <c r="K360">
        <v>43</v>
      </c>
      <c r="L360" t="s">
        <v>12</v>
      </c>
    </row>
    <row r="361" spans="1:12">
      <c r="A361">
        <v>76320</v>
      </c>
      <c r="B361" t="s">
        <v>21</v>
      </c>
      <c r="C361" t="s">
        <v>21</v>
      </c>
      <c r="D361" s="1">
        <v>22384</v>
      </c>
      <c r="E361">
        <v>4</v>
      </c>
      <c r="F361" t="s">
        <v>17</v>
      </c>
      <c r="G361" t="s">
        <v>11</v>
      </c>
      <c r="H361" t="s">
        <v>12</v>
      </c>
      <c r="I361" t="s">
        <v>77</v>
      </c>
      <c r="J361" t="s">
        <v>73</v>
      </c>
      <c r="K361">
        <v>36</v>
      </c>
      <c r="L361" t="s">
        <v>12</v>
      </c>
    </row>
    <row r="362" spans="1:12">
      <c r="A362">
        <v>37751</v>
      </c>
      <c r="B362" t="s">
        <v>21</v>
      </c>
      <c r="C362" t="s">
        <v>20</v>
      </c>
      <c r="D362" s="1">
        <v>82320</v>
      </c>
      <c r="E362">
        <v>4</v>
      </c>
      <c r="F362" t="s">
        <v>14</v>
      </c>
      <c r="G362" t="s">
        <v>15</v>
      </c>
      <c r="H362" t="s">
        <v>12</v>
      </c>
      <c r="I362" t="s">
        <v>77</v>
      </c>
      <c r="J362" t="s">
        <v>68</v>
      </c>
      <c r="K362">
        <v>58</v>
      </c>
      <c r="L362" t="s">
        <v>12</v>
      </c>
    </row>
    <row r="363" spans="1:12">
      <c r="A363">
        <v>88069</v>
      </c>
      <c r="B363" t="s">
        <v>22</v>
      </c>
      <c r="C363" t="s">
        <v>21</v>
      </c>
      <c r="D363" s="1">
        <v>35072</v>
      </c>
      <c r="E363">
        <v>0</v>
      </c>
      <c r="F363" t="s">
        <v>14</v>
      </c>
      <c r="G363" t="s">
        <v>16</v>
      </c>
      <c r="H363" t="s">
        <v>13</v>
      </c>
      <c r="I363" t="s">
        <v>81</v>
      </c>
      <c r="J363" t="s">
        <v>62</v>
      </c>
      <c r="K363">
        <v>45</v>
      </c>
      <c r="L363" t="s">
        <v>13</v>
      </c>
    </row>
    <row r="364" spans="1:12">
      <c r="A364">
        <v>64748</v>
      </c>
      <c r="B364" t="s">
        <v>21</v>
      </c>
      <c r="C364" t="s">
        <v>20</v>
      </c>
      <c r="D364" s="1">
        <v>100018</v>
      </c>
      <c r="E364">
        <v>1</v>
      </c>
      <c r="F364" t="s">
        <v>10</v>
      </c>
      <c r="G364" t="s">
        <v>11</v>
      </c>
      <c r="H364" t="s">
        <v>12</v>
      </c>
      <c r="I364" t="s">
        <v>79</v>
      </c>
      <c r="J364" t="s">
        <v>70</v>
      </c>
      <c r="K364">
        <v>23</v>
      </c>
      <c r="L364" t="s">
        <v>12</v>
      </c>
    </row>
    <row r="365" spans="1:12">
      <c r="A365">
        <v>15801</v>
      </c>
      <c r="B365" t="s">
        <v>21</v>
      </c>
      <c r="C365" t="s">
        <v>21</v>
      </c>
      <c r="D365" s="1">
        <v>60510</v>
      </c>
      <c r="E365">
        <v>3</v>
      </c>
      <c r="F365" t="s">
        <v>17</v>
      </c>
      <c r="G365" t="s">
        <v>18</v>
      </c>
      <c r="H365" t="s">
        <v>12</v>
      </c>
      <c r="I365" t="s">
        <v>78</v>
      </c>
      <c r="J365" t="s">
        <v>61</v>
      </c>
      <c r="K365">
        <v>64</v>
      </c>
      <c r="L365" t="s">
        <v>12</v>
      </c>
    </row>
    <row r="366" spans="1:12">
      <c r="A366">
        <v>29190</v>
      </c>
      <c r="B366" t="s">
        <v>21</v>
      </c>
      <c r="C366" t="s">
        <v>21</v>
      </c>
      <c r="D366" s="1">
        <v>68933</v>
      </c>
      <c r="E366">
        <v>4</v>
      </c>
      <c r="F366" t="s">
        <v>19</v>
      </c>
      <c r="G366" t="s">
        <v>16</v>
      </c>
      <c r="H366" t="s">
        <v>12</v>
      </c>
      <c r="I366" t="s">
        <v>79</v>
      </c>
      <c r="J366" t="s">
        <v>60</v>
      </c>
      <c r="K366">
        <v>31</v>
      </c>
      <c r="L366" t="s">
        <v>12</v>
      </c>
    </row>
    <row r="367" spans="1:12">
      <c r="A367">
        <v>59689</v>
      </c>
      <c r="B367" t="s">
        <v>21</v>
      </c>
      <c r="C367" t="s">
        <v>20</v>
      </c>
      <c r="D367" s="1">
        <v>41826</v>
      </c>
      <c r="E367">
        <v>1</v>
      </c>
      <c r="F367" t="s">
        <v>19</v>
      </c>
      <c r="G367" t="s">
        <v>15</v>
      </c>
      <c r="H367" t="s">
        <v>12</v>
      </c>
      <c r="I367" t="s">
        <v>80</v>
      </c>
      <c r="J367" t="s">
        <v>60</v>
      </c>
      <c r="K367">
        <v>20</v>
      </c>
      <c r="L367" t="s">
        <v>13</v>
      </c>
    </row>
    <row r="368" spans="1:12">
      <c r="A368">
        <v>60993</v>
      </c>
      <c r="B368" t="s">
        <v>22</v>
      </c>
      <c r="C368" t="s">
        <v>21</v>
      </c>
      <c r="D368" s="1">
        <v>88026</v>
      </c>
      <c r="E368">
        <v>2</v>
      </c>
      <c r="F368" t="s">
        <v>14</v>
      </c>
      <c r="G368" t="s">
        <v>18</v>
      </c>
      <c r="H368" t="s">
        <v>13</v>
      </c>
      <c r="I368" t="s">
        <v>80</v>
      </c>
      <c r="J368" t="s">
        <v>64</v>
      </c>
      <c r="K368">
        <v>40</v>
      </c>
      <c r="L368" t="s">
        <v>13</v>
      </c>
    </row>
    <row r="369" spans="1:12">
      <c r="A369">
        <v>39592</v>
      </c>
      <c r="B369" t="s">
        <v>22</v>
      </c>
      <c r="C369" t="s">
        <v>21</v>
      </c>
      <c r="D369" s="1">
        <v>45518</v>
      </c>
      <c r="E369">
        <v>4</v>
      </c>
      <c r="F369" t="s">
        <v>10</v>
      </c>
      <c r="G369" t="s">
        <v>11</v>
      </c>
      <c r="H369" t="s">
        <v>12</v>
      </c>
      <c r="I369" t="s">
        <v>80</v>
      </c>
      <c r="J369" t="s">
        <v>61</v>
      </c>
      <c r="K369">
        <v>38</v>
      </c>
      <c r="L369" t="s">
        <v>13</v>
      </c>
    </row>
    <row r="370" spans="1:12">
      <c r="A370">
        <v>20647</v>
      </c>
      <c r="B370" t="s">
        <v>21</v>
      </c>
      <c r="C370" t="s">
        <v>21</v>
      </c>
      <c r="D370" s="1">
        <v>44045</v>
      </c>
      <c r="E370">
        <v>3</v>
      </c>
      <c r="F370" t="s">
        <v>17</v>
      </c>
      <c r="G370" t="s">
        <v>11</v>
      </c>
      <c r="H370" t="s">
        <v>13</v>
      </c>
      <c r="I370" t="s">
        <v>81</v>
      </c>
      <c r="J370" t="s">
        <v>67</v>
      </c>
      <c r="K370">
        <v>40</v>
      </c>
      <c r="L370" t="s">
        <v>13</v>
      </c>
    </row>
    <row r="371" spans="1:12">
      <c r="A371">
        <v>18716</v>
      </c>
      <c r="B371" t="s">
        <v>22</v>
      </c>
      <c r="C371" t="s">
        <v>21</v>
      </c>
      <c r="D371" s="1">
        <v>70876</v>
      </c>
      <c r="E371">
        <v>2</v>
      </c>
      <c r="F371" t="s">
        <v>17</v>
      </c>
      <c r="G371" t="s">
        <v>16</v>
      </c>
      <c r="H371" t="s">
        <v>12</v>
      </c>
      <c r="I371" t="s">
        <v>77</v>
      </c>
      <c r="J371" t="s">
        <v>62</v>
      </c>
      <c r="K371">
        <v>37</v>
      </c>
      <c r="L371" t="s">
        <v>13</v>
      </c>
    </row>
    <row r="372" spans="1:12">
      <c r="A372">
        <v>98891</v>
      </c>
      <c r="B372" t="s">
        <v>22</v>
      </c>
      <c r="C372" t="s">
        <v>20</v>
      </c>
      <c r="D372" s="1">
        <v>112446</v>
      </c>
      <c r="E372">
        <v>2</v>
      </c>
      <c r="F372" t="s">
        <v>14</v>
      </c>
      <c r="G372" t="s">
        <v>16</v>
      </c>
      <c r="H372" t="s">
        <v>13</v>
      </c>
      <c r="I372" t="s">
        <v>79</v>
      </c>
      <c r="J372" t="s">
        <v>61</v>
      </c>
      <c r="K372">
        <v>62</v>
      </c>
      <c r="L372" t="s">
        <v>12</v>
      </c>
    </row>
    <row r="373" spans="1:12">
      <c r="A373">
        <v>97545</v>
      </c>
      <c r="B373" t="s">
        <v>21</v>
      </c>
      <c r="C373" t="s">
        <v>20</v>
      </c>
      <c r="D373" s="1">
        <v>110102</v>
      </c>
      <c r="E373">
        <v>3</v>
      </c>
      <c r="F373" t="s">
        <v>14</v>
      </c>
      <c r="G373" t="s">
        <v>16</v>
      </c>
      <c r="H373" t="s">
        <v>12</v>
      </c>
      <c r="I373" t="s">
        <v>78</v>
      </c>
      <c r="J373" t="s">
        <v>62</v>
      </c>
      <c r="K373">
        <v>22</v>
      </c>
      <c r="L373" t="s">
        <v>13</v>
      </c>
    </row>
    <row r="374" spans="1:12">
      <c r="A374">
        <v>99912</v>
      </c>
      <c r="B374" t="s">
        <v>22</v>
      </c>
      <c r="C374" t="s">
        <v>21</v>
      </c>
      <c r="D374" s="1">
        <v>71919</v>
      </c>
      <c r="E374">
        <v>4</v>
      </c>
      <c r="F374" t="s">
        <v>17</v>
      </c>
      <c r="G374" t="s">
        <v>11</v>
      </c>
      <c r="H374" t="s">
        <v>13</v>
      </c>
      <c r="I374" t="s">
        <v>80</v>
      </c>
      <c r="J374" t="s">
        <v>61</v>
      </c>
      <c r="K374">
        <v>68</v>
      </c>
      <c r="L374" t="s">
        <v>12</v>
      </c>
    </row>
    <row r="375" spans="1:12">
      <c r="A375">
        <v>80316</v>
      </c>
      <c r="B375" t="s">
        <v>22</v>
      </c>
      <c r="C375" t="s">
        <v>21</v>
      </c>
      <c r="D375" s="1">
        <v>119441</v>
      </c>
      <c r="E375">
        <v>0</v>
      </c>
      <c r="F375" t="s">
        <v>17</v>
      </c>
      <c r="G375" t="s">
        <v>18</v>
      </c>
      <c r="H375" t="s">
        <v>12</v>
      </c>
      <c r="I375" t="s">
        <v>79</v>
      </c>
      <c r="J375" t="s">
        <v>61</v>
      </c>
      <c r="K375">
        <v>63</v>
      </c>
      <c r="L375" t="s">
        <v>12</v>
      </c>
    </row>
    <row r="376" spans="1:12">
      <c r="A376">
        <v>12368</v>
      </c>
      <c r="B376" t="s">
        <v>21</v>
      </c>
      <c r="C376" t="s">
        <v>21</v>
      </c>
      <c r="D376" s="1">
        <v>47103</v>
      </c>
      <c r="E376">
        <v>3</v>
      </c>
      <c r="F376" t="s">
        <v>14</v>
      </c>
      <c r="G376" t="s">
        <v>11</v>
      </c>
      <c r="H376" t="s">
        <v>13</v>
      </c>
      <c r="I376" t="s">
        <v>80</v>
      </c>
      <c r="J376" t="s">
        <v>71</v>
      </c>
      <c r="K376">
        <v>51</v>
      </c>
      <c r="L376" t="s">
        <v>13</v>
      </c>
    </row>
    <row r="377" spans="1:12">
      <c r="A377">
        <v>87575</v>
      </c>
      <c r="B377" t="s">
        <v>21</v>
      </c>
      <c r="C377" t="s">
        <v>20</v>
      </c>
      <c r="D377" s="1">
        <v>56188</v>
      </c>
      <c r="E377">
        <v>3</v>
      </c>
      <c r="F377" t="s">
        <v>17</v>
      </c>
      <c r="G377" t="s">
        <v>15</v>
      </c>
      <c r="H377" t="s">
        <v>13</v>
      </c>
      <c r="I377" t="s">
        <v>80</v>
      </c>
      <c r="J377" t="s">
        <v>63</v>
      </c>
      <c r="K377">
        <v>29</v>
      </c>
      <c r="L377" t="s">
        <v>12</v>
      </c>
    </row>
    <row r="378" spans="1:12">
      <c r="A378">
        <v>16655</v>
      </c>
      <c r="B378" t="s">
        <v>21</v>
      </c>
      <c r="C378" t="s">
        <v>20</v>
      </c>
      <c r="D378" s="1">
        <v>25845</v>
      </c>
      <c r="E378">
        <v>3</v>
      </c>
      <c r="F378" t="s">
        <v>19</v>
      </c>
      <c r="G378" t="s">
        <v>11</v>
      </c>
      <c r="H378" t="s">
        <v>12</v>
      </c>
      <c r="I378" t="s">
        <v>78</v>
      </c>
      <c r="J378" t="s">
        <v>72</v>
      </c>
      <c r="K378">
        <v>59</v>
      </c>
      <c r="L378" t="s">
        <v>13</v>
      </c>
    </row>
    <row r="379" spans="1:12">
      <c r="A379">
        <v>80031</v>
      </c>
      <c r="B379" t="s">
        <v>21</v>
      </c>
      <c r="C379" t="s">
        <v>20</v>
      </c>
      <c r="D379" s="1">
        <v>106698</v>
      </c>
      <c r="E379">
        <v>2</v>
      </c>
      <c r="F379" t="s">
        <v>14</v>
      </c>
      <c r="G379" t="s">
        <v>15</v>
      </c>
      <c r="H379" t="s">
        <v>13</v>
      </c>
      <c r="I379" t="s">
        <v>81</v>
      </c>
      <c r="J379" t="s">
        <v>66</v>
      </c>
      <c r="K379">
        <v>34</v>
      </c>
      <c r="L379" t="s">
        <v>12</v>
      </c>
    </row>
    <row r="380" spans="1:12">
      <c r="A380">
        <v>86429</v>
      </c>
      <c r="B380" t="s">
        <v>21</v>
      </c>
      <c r="C380" t="s">
        <v>20</v>
      </c>
      <c r="D380" s="1">
        <v>56674</v>
      </c>
      <c r="E380">
        <v>1</v>
      </c>
      <c r="F380" t="s">
        <v>17</v>
      </c>
      <c r="G380" t="s">
        <v>18</v>
      </c>
      <c r="H380" t="s">
        <v>12</v>
      </c>
      <c r="I380" t="s">
        <v>77</v>
      </c>
      <c r="J380" t="s">
        <v>70</v>
      </c>
      <c r="K380">
        <v>24</v>
      </c>
      <c r="L380" t="s">
        <v>13</v>
      </c>
    </row>
    <row r="381" spans="1:12">
      <c r="A381">
        <v>97922</v>
      </c>
      <c r="B381" t="s">
        <v>22</v>
      </c>
      <c r="C381" t="s">
        <v>21</v>
      </c>
      <c r="D381" s="1">
        <v>39337</v>
      </c>
      <c r="E381">
        <v>0</v>
      </c>
      <c r="F381" t="s">
        <v>14</v>
      </c>
      <c r="G381" t="s">
        <v>16</v>
      </c>
      <c r="H381" t="s">
        <v>12</v>
      </c>
      <c r="I381" t="s">
        <v>81</v>
      </c>
      <c r="J381" t="s">
        <v>66</v>
      </c>
      <c r="K381">
        <v>23</v>
      </c>
      <c r="L381" t="s">
        <v>13</v>
      </c>
    </row>
    <row r="382" spans="1:12">
      <c r="A382">
        <v>65766</v>
      </c>
      <c r="B382" t="s">
        <v>21</v>
      </c>
      <c r="C382" t="s">
        <v>21</v>
      </c>
      <c r="D382" s="1">
        <v>42313</v>
      </c>
      <c r="E382">
        <v>4</v>
      </c>
      <c r="F382" t="s">
        <v>10</v>
      </c>
      <c r="G382" t="s">
        <v>16</v>
      </c>
      <c r="H382" t="s">
        <v>12</v>
      </c>
      <c r="I382" t="s">
        <v>79</v>
      </c>
      <c r="J382" t="s">
        <v>71</v>
      </c>
      <c r="K382">
        <v>47</v>
      </c>
      <c r="L382" t="s">
        <v>13</v>
      </c>
    </row>
    <row r="383" spans="1:12">
      <c r="A383">
        <v>23403</v>
      </c>
      <c r="B383" t="s">
        <v>21</v>
      </c>
      <c r="C383" t="s">
        <v>21</v>
      </c>
      <c r="D383" s="1">
        <v>46943</v>
      </c>
      <c r="E383">
        <v>4</v>
      </c>
      <c r="F383" t="s">
        <v>14</v>
      </c>
      <c r="G383" t="s">
        <v>11</v>
      </c>
      <c r="H383" t="s">
        <v>12</v>
      </c>
      <c r="I383" t="s">
        <v>81</v>
      </c>
      <c r="J383" t="s">
        <v>68</v>
      </c>
      <c r="K383">
        <v>23</v>
      </c>
      <c r="L383" t="s">
        <v>13</v>
      </c>
    </row>
    <row r="384" spans="1:12">
      <c r="A384">
        <v>42097</v>
      </c>
      <c r="B384" t="s">
        <v>22</v>
      </c>
      <c r="C384" t="s">
        <v>20</v>
      </c>
      <c r="D384" s="1">
        <v>97949</v>
      </c>
      <c r="E384">
        <v>1</v>
      </c>
      <c r="F384" t="s">
        <v>14</v>
      </c>
      <c r="G384" t="s">
        <v>16</v>
      </c>
      <c r="H384" t="s">
        <v>12</v>
      </c>
      <c r="I384" t="s">
        <v>79</v>
      </c>
      <c r="J384" t="s">
        <v>68</v>
      </c>
      <c r="K384">
        <v>34</v>
      </c>
      <c r="L384" t="s">
        <v>13</v>
      </c>
    </row>
    <row r="385" spans="1:12">
      <c r="A385">
        <v>88657</v>
      </c>
      <c r="B385" t="s">
        <v>22</v>
      </c>
      <c r="C385" t="s">
        <v>21</v>
      </c>
      <c r="D385" s="1">
        <v>20276</v>
      </c>
      <c r="E385">
        <v>3</v>
      </c>
      <c r="F385" t="s">
        <v>10</v>
      </c>
      <c r="G385" t="s">
        <v>18</v>
      </c>
      <c r="H385" t="s">
        <v>13</v>
      </c>
      <c r="I385" t="s">
        <v>79</v>
      </c>
      <c r="J385" t="s">
        <v>66</v>
      </c>
      <c r="K385">
        <v>36</v>
      </c>
      <c r="L385" t="s">
        <v>13</v>
      </c>
    </row>
    <row r="386" spans="1:12">
      <c r="A386">
        <v>20966</v>
      </c>
      <c r="B386" t="s">
        <v>21</v>
      </c>
      <c r="C386" t="s">
        <v>20</v>
      </c>
      <c r="D386" s="1">
        <v>71151</v>
      </c>
      <c r="E386">
        <v>0</v>
      </c>
      <c r="F386" t="s">
        <v>19</v>
      </c>
      <c r="G386" t="s">
        <v>16</v>
      </c>
      <c r="H386" t="s">
        <v>12</v>
      </c>
      <c r="I386" t="s">
        <v>77</v>
      </c>
      <c r="J386" t="s">
        <v>61</v>
      </c>
      <c r="K386">
        <v>63</v>
      </c>
      <c r="L386" t="s">
        <v>12</v>
      </c>
    </row>
    <row r="387" spans="1:12">
      <c r="A387">
        <v>62921</v>
      </c>
      <c r="B387" t="s">
        <v>21</v>
      </c>
      <c r="C387" t="s">
        <v>20</v>
      </c>
      <c r="D387" s="1">
        <v>37611</v>
      </c>
      <c r="E387">
        <v>4</v>
      </c>
      <c r="F387" t="s">
        <v>17</v>
      </c>
      <c r="G387" t="s">
        <v>11</v>
      </c>
      <c r="H387" t="s">
        <v>12</v>
      </c>
      <c r="I387" t="s">
        <v>78</v>
      </c>
      <c r="J387" t="s">
        <v>65</v>
      </c>
      <c r="K387">
        <v>22</v>
      </c>
      <c r="L387" t="s">
        <v>12</v>
      </c>
    </row>
    <row r="388" spans="1:12">
      <c r="A388">
        <v>59726</v>
      </c>
      <c r="B388" t="s">
        <v>21</v>
      </c>
      <c r="C388" t="s">
        <v>21</v>
      </c>
      <c r="D388" s="1">
        <v>31944</v>
      </c>
      <c r="E388">
        <v>5</v>
      </c>
      <c r="F388" t="s">
        <v>10</v>
      </c>
      <c r="G388" t="s">
        <v>18</v>
      </c>
      <c r="H388" t="s">
        <v>12</v>
      </c>
      <c r="I388" t="s">
        <v>77</v>
      </c>
      <c r="J388" t="s">
        <v>70</v>
      </c>
      <c r="K388">
        <v>29</v>
      </c>
      <c r="L388" t="s">
        <v>13</v>
      </c>
    </row>
    <row r="389" spans="1:12">
      <c r="A389">
        <v>60300</v>
      </c>
      <c r="B389" t="s">
        <v>22</v>
      </c>
      <c r="C389" t="s">
        <v>21</v>
      </c>
      <c r="D389" s="1">
        <v>72887</v>
      </c>
      <c r="E389">
        <v>4</v>
      </c>
      <c r="F389" t="s">
        <v>14</v>
      </c>
      <c r="G389" t="s">
        <v>15</v>
      </c>
      <c r="H389" t="s">
        <v>12</v>
      </c>
      <c r="I389" t="s">
        <v>81</v>
      </c>
      <c r="J389" t="s">
        <v>63</v>
      </c>
      <c r="K389">
        <v>66</v>
      </c>
      <c r="L389" t="s">
        <v>13</v>
      </c>
    </row>
    <row r="390" spans="1:12">
      <c r="A390">
        <v>32677</v>
      </c>
      <c r="B390" t="s">
        <v>21</v>
      </c>
      <c r="C390" t="s">
        <v>21</v>
      </c>
      <c r="D390" s="1">
        <v>101442</v>
      </c>
      <c r="E390">
        <v>3</v>
      </c>
      <c r="F390" t="s">
        <v>17</v>
      </c>
      <c r="G390" t="s">
        <v>11</v>
      </c>
      <c r="H390" t="s">
        <v>12</v>
      </c>
      <c r="I390" t="s">
        <v>79</v>
      </c>
      <c r="J390" t="s">
        <v>70</v>
      </c>
      <c r="K390">
        <v>61</v>
      </c>
      <c r="L390" t="s">
        <v>13</v>
      </c>
    </row>
    <row r="391" spans="1:12">
      <c r="A391">
        <v>65609</v>
      </c>
      <c r="B391" t="s">
        <v>21</v>
      </c>
      <c r="C391" t="s">
        <v>20</v>
      </c>
      <c r="D391" s="1">
        <v>69847</v>
      </c>
      <c r="E391">
        <v>5</v>
      </c>
      <c r="F391" t="s">
        <v>10</v>
      </c>
      <c r="G391" t="s">
        <v>15</v>
      </c>
      <c r="H391" t="s">
        <v>12</v>
      </c>
      <c r="I391" t="s">
        <v>80</v>
      </c>
      <c r="J391" t="s">
        <v>63</v>
      </c>
      <c r="K391">
        <v>42</v>
      </c>
      <c r="L391" t="s">
        <v>13</v>
      </c>
    </row>
    <row r="392" spans="1:12">
      <c r="A392">
        <v>66661</v>
      </c>
      <c r="B392" t="s">
        <v>22</v>
      </c>
      <c r="C392" t="s">
        <v>20</v>
      </c>
      <c r="D392" s="1">
        <v>78653</v>
      </c>
      <c r="E392">
        <v>1</v>
      </c>
      <c r="F392" t="s">
        <v>17</v>
      </c>
      <c r="G392" t="s">
        <v>18</v>
      </c>
      <c r="H392" t="s">
        <v>13</v>
      </c>
      <c r="I392" t="s">
        <v>80</v>
      </c>
      <c r="J392" t="s">
        <v>68</v>
      </c>
      <c r="K392">
        <v>37</v>
      </c>
      <c r="L392" t="s">
        <v>13</v>
      </c>
    </row>
    <row r="393" spans="1:12">
      <c r="A393">
        <v>41024</v>
      </c>
      <c r="B393" t="s">
        <v>21</v>
      </c>
      <c r="C393" t="s">
        <v>21</v>
      </c>
      <c r="D393" s="1">
        <v>106072</v>
      </c>
      <c r="E393">
        <v>0</v>
      </c>
      <c r="F393" t="s">
        <v>17</v>
      </c>
      <c r="G393" t="s">
        <v>11</v>
      </c>
      <c r="H393" t="s">
        <v>13</v>
      </c>
      <c r="I393" t="s">
        <v>79</v>
      </c>
      <c r="J393" t="s">
        <v>63</v>
      </c>
      <c r="K393">
        <v>20</v>
      </c>
      <c r="L393" t="s">
        <v>12</v>
      </c>
    </row>
    <row r="394" spans="1:12">
      <c r="A394">
        <v>80313</v>
      </c>
      <c r="B394" t="s">
        <v>22</v>
      </c>
      <c r="C394" t="s">
        <v>21</v>
      </c>
      <c r="D394" s="1">
        <v>76622</v>
      </c>
      <c r="E394">
        <v>1</v>
      </c>
      <c r="F394" t="s">
        <v>10</v>
      </c>
      <c r="G394" t="s">
        <v>11</v>
      </c>
      <c r="H394" t="s">
        <v>12</v>
      </c>
      <c r="I394" t="s">
        <v>77</v>
      </c>
      <c r="J394" t="s">
        <v>59</v>
      </c>
      <c r="K394">
        <v>54</v>
      </c>
      <c r="L394" t="s">
        <v>12</v>
      </c>
    </row>
    <row r="395" spans="1:12">
      <c r="A395">
        <v>63006</v>
      </c>
      <c r="B395" t="s">
        <v>22</v>
      </c>
      <c r="C395" t="s">
        <v>20</v>
      </c>
      <c r="D395" s="1">
        <v>47810</v>
      </c>
      <c r="E395">
        <v>1</v>
      </c>
      <c r="F395" t="s">
        <v>17</v>
      </c>
      <c r="G395" t="s">
        <v>18</v>
      </c>
      <c r="H395" t="s">
        <v>13</v>
      </c>
      <c r="I395" t="s">
        <v>78</v>
      </c>
      <c r="J395" t="s">
        <v>62</v>
      </c>
      <c r="K395">
        <v>50</v>
      </c>
      <c r="L395" t="s">
        <v>12</v>
      </c>
    </row>
    <row r="396" spans="1:12">
      <c r="A396">
        <v>25338</v>
      </c>
      <c r="B396" t="s">
        <v>21</v>
      </c>
      <c r="C396" t="s">
        <v>21</v>
      </c>
      <c r="D396" s="1">
        <v>97842</v>
      </c>
      <c r="E396">
        <v>0</v>
      </c>
      <c r="F396" t="s">
        <v>19</v>
      </c>
      <c r="G396" t="s">
        <v>16</v>
      </c>
      <c r="H396" t="s">
        <v>12</v>
      </c>
      <c r="I396" t="s">
        <v>77</v>
      </c>
      <c r="J396" t="s">
        <v>66</v>
      </c>
      <c r="K396">
        <v>63</v>
      </c>
      <c r="L396" t="s">
        <v>12</v>
      </c>
    </row>
    <row r="397" spans="1:12">
      <c r="A397">
        <v>78027</v>
      </c>
      <c r="B397" t="s">
        <v>22</v>
      </c>
      <c r="C397" t="s">
        <v>20</v>
      </c>
      <c r="D397" s="1">
        <v>30503</v>
      </c>
      <c r="E397">
        <v>0</v>
      </c>
      <c r="F397" t="s">
        <v>10</v>
      </c>
      <c r="G397" t="s">
        <v>11</v>
      </c>
      <c r="H397" t="s">
        <v>12</v>
      </c>
      <c r="I397" t="s">
        <v>79</v>
      </c>
      <c r="J397" t="s">
        <v>59</v>
      </c>
      <c r="K397">
        <v>20</v>
      </c>
      <c r="L397" t="s">
        <v>13</v>
      </c>
    </row>
    <row r="398" spans="1:12">
      <c r="A398">
        <v>90135</v>
      </c>
      <c r="B398" t="s">
        <v>21</v>
      </c>
      <c r="C398" t="s">
        <v>20</v>
      </c>
      <c r="D398" s="1">
        <v>104761</v>
      </c>
      <c r="E398">
        <v>4</v>
      </c>
      <c r="F398" t="s">
        <v>19</v>
      </c>
      <c r="G398" t="s">
        <v>11</v>
      </c>
      <c r="H398" t="s">
        <v>12</v>
      </c>
      <c r="I398" t="s">
        <v>79</v>
      </c>
      <c r="J398" t="s">
        <v>65</v>
      </c>
      <c r="K398">
        <v>22</v>
      </c>
      <c r="L398" t="s">
        <v>13</v>
      </c>
    </row>
    <row r="399" spans="1:12">
      <c r="A399">
        <v>29508</v>
      </c>
      <c r="B399" t="s">
        <v>22</v>
      </c>
      <c r="C399" t="s">
        <v>21</v>
      </c>
      <c r="D399" s="1">
        <v>56976</v>
      </c>
      <c r="E399">
        <v>4</v>
      </c>
      <c r="F399" t="s">
        <v>14</v>
      </c>
      <c r="G399" t="s">
        <v>15</v>
      </c>
      <c r="H399" t="s">
        <v>12</v>
      </c>
      <c r="I399" t="s">
        <v>78</v>
      </c>
      <c r="J399" t="s">
        <v>63</v>
      </c>
      <c r="K399">
        <v>22</v>
      </c>
      <c r="L399" t="s">
        <v>13</v>
      </c>
    </row>
    <row r="400" spans="1:12">
      <c r="A400">
        <v>13051</v>
      </c>
      <c r="B400" t="s">
        <v>22</v>
      </c>
      <c r="C400" t="s">
        <v>21</v>
      </c>
      <c r="D400" s="1">
        <v>31590</v>
      </c>
      <c r="E400">
        <v>0</v>
      </c>
      <c r="F400" t="s">
        <v>17</v>
      </c>
      <c r="G400" t="s">
        <v>16</v>
      </c>
      <c r="H400" t="s">
        <v>12</v>
      </c>
      <c r="I400" t="s">
        <v>81</v>
      </c>
      <c r="J400" t="s">
        <v>64</v>
      </c>
      <c r="K400">
        <v>56</v>
      </c>
      <c r="L400" t="s">
        <v>12</v>
      </c>
    </row>
    <row r="401" spans="1:12">
      <c r="A401">
        <v>58747</v>
      </c>
      <c r="B401" t="s">
        <v>22</v>
      </c>
      <c r="C401" t="s">
        <v>21</v>
      </c>
      <c r="D401" s="1">
        <v>30886</v>
      </c>
      <c r="E401">
        <v>5</v>
      </c>
      <c r="F401" t="s">
        <v>14</v>
      </c>
      <c r="G401" t="s">
        <v>15</v>
      </c>
      <c r="H401" t="s">
        <v>13</v>
      </c>
      <c r="I401" t="s">
        <v>81</v>
      </c>
      <c r="J401" t="s">
        <v>64</v>
      </c>
      <c r="K401">
        <v>38</v>
      </c>
      <c r="L401" t="s">
        <v>12</v>
      </c>
    </row>
    <row r="402" spans="1:12">
      <c r="A402">
        <v>97142</v>
      </c>
      <c r="B402" t="s">
        <v>21</v>
      </c>
      <c r="C402" t="s">
        <v>21</v>
      </c>
      <c r="D402" s="1">
        <v>32866</v>
      </c>
      <c r="E402">
        <v>2</v>
      </c>
      <c r="F402" t="s">
        <v>14</v>
      </c>
      <c r="G402" t="s">
        <v>15</v>
      </c>
      <c r="H402" t="s">
        <v>13</v>
      </c>
      <c r="I402" t="s">
        <v>78</v>
      </c>
      <c r="J402" t="s">
        <v>69</v>
      </c>
      <c r="K402">
        <v>48</v>
      </c>
      <c r="L402" t="s">
        <v>12</v>
      </c>
    </row>
    <row r="403" spans="1:12">
      <c r="A403">
        <v>97235</v>
      </c>
      <c r="B403" t="s">
        <v>22</v>
      </c>
      <c r="C403" t="s">
        <v>20</v>
      </c>
      <c r="D403" s="1">
        <v>86624</v>
      </c>
      <c r="E403">
        <v>4</v>
      </c>
      <c r="F403" t="s">
        <v>17</v>
      </c>
      <c r="G403" t="s">
        <v>16</v>
      </c>
      <c r="H403" t="s">
        <v>13</v>
      </c>
      <c r="I403" t="s">
        <v>81</v>
      </c>
      <c r="J403" t="s">
        <v>74</v>
      </c>
      <c r="K403">
        <v>44</v>
      </c>
      <c r="L403" t="s">
        <v>13</v>
      </c>
    </row>
    <row r="404" spans="1:12">
      <c r="A404">
        <v>64021</v>
      </c>
      <c r="B404" t="s">
        <v>22</v>
      </c>
      <c r="C404" t="s">
        <v>20</v>
      </c>
      <c r="D404" s="1">
        <v>88899</v>
      </c>
      <c r="E404">
        <v>2</v>
      </c>
      <c r="F404" t="s">
        <v>10</v>
      </c>
      <c r="G404" t="s">
        <v>16</v>
      </c>
      <c r="H404" t="s">
        <v>13</v>
      </c>
      <c r="I404" t="s">
        <v>80</v>
      </c>
      <c r="J404" t="s">
        <v>69</v>
      </c>
      <c r="K404">
        <v>52</v>
      </c>
      <c r="L404" t="s">
        <v>12</v>
      </c>
    </row>
    <row r="405" spans="1:12">
      <c r="A405">
        <v>76412</v>
      </c>
      <c r="B405" t="s">
        <v>21</v>
      </c>
      <c r="C405" t="s">
        <v>20</v>
      </c>
      <c r="D405" s="1">
        <v>52792</v>
      </c>
      <c r="E405">
        <v>5</v>
      </c>
      <c r="F405" t="s">
        <v>17</v>
      </c>
      <c r="G405" t="s">
        <v>18</v>
      </c>
      <c r="H405" t="s">
        <v>12</v>
      </c>
      <c r="I405" t="s">
        <v>81</v>
      </c>
      <c r="J405" t="s">
        <v>69</v>
      </c>
      <c r="K405">
        <v>55</v>
      </c>
      <c r="L405" t="s">
        <v>12</v>
      </c>
    </row>
    <row r="406" spans="1:12">
      <c r="A406">
        <v>68335</v>
      </c>
      <c r="B406" t="s">
        <v>22</v>
      </c>
      <c r="C406" t="s">
        <v>21</v>
      </c>
      <c r="D406" s="1">
        <v>29764</v>
      </c>
      <c r="E406">
        <v>0</v>
      </c>
      <c r="F406" t="s">
        <v>14</v>
      </c>
      <c r="G406" t="s">
        <v>16</v>
      </c>
      <c r="H406" t="s">
        <v>13</v>
      </c>
      <c r="I406" t="s">
        <v>81</v>
      </c>
      <c r="J406" t="s">
        <v>69</v>
      </c>
      <c r="K406">
        <v>48</v>
      </c>
      <c r="L406" t="s">
        <v>12</v>
      </c>
    </row>
    <row r="407" spans="1:12">
      <c r="A407">
        <v>66179</v>
      </c>
      <c r="B407" t="s">
        <v>21</v>
      </c>
      <c r="C407" t="s">
        <v>20</v>
      </c>
      <c r="D407" s="1">
        <v>106156</v>
      </c>
      <c r="E407">
        <v>5</v>
      </c>
      <c r="F407" t="s">
        <v>14</v>
      </c>
      <c r="G407" t="s">
        <v>11</v>
      </c>
      <c r="H407" t="s">
        <v>12</v>
      </c>
      <c r="I407" t="s">
        <v>81</v>
      </c>
      <c r="J407" t="s">
        <v>62</v>
      </c>
      <c r="K407">
        <v>45</v>
      </c>
      <c r="L407" t="s">
        <v>12</v>
      </c>
    </row>
    <row r="408" spans="1:12">
      <c r="A408">
        <v>42093</v>
      </c>
      <c r="B408" t="s">
        <v>21</v>
      </c>
      <c r="C408" t="s">
        <v>21</v>
      </c>
      <c r="D408" s="1">
        <v>62727</v>
      </c>
      <c r="E408">
        <v>4</v>
      </c>
      <c r="F408" t="s">
        <v>10</v>
      </c>
      <c r="G408" t="s">
        <v>16</v>
      </c>
      <c r="H408" t="s">
        <v>13</v>
      </c>
      <c r="I408" t="s">
        <v>80</v>
      </c>
      <c r="J408" t="s">
        <v>68</v>
      </c>
      <c r="K408">
        <v>23</v>
      </c>
      <c r="L408" t="s">
        <v>13</v>
      </c>
    </row>
    <row r="409" spans="1:12">
      <c r="A409">
        <v>79678</v>
      </c>
      <c r="B409" t="s">
        <v>21</v>
      </c>
      <c r="C409" t="s">
        <v>21</v>
      </c>
      <c r="D409" s="1">
        <v>98471</v>
      </c>
      <c r="E409">
        <v>1</v>
      </c>
      <c r="F409" t="s">
        <v>17</v>
      </c>
      <c r="G409" t="s">
        <v>18</v>
      </c>
      <c r="H409" t="s">
        <v>13</v>
      </c>
      <c r="I409" t="s">
        <v>81</v>
      </c>
      <c r="J409" t="s">
        <v>62</v>
      </c>
      <c r="K409">
        <v>68</v>
      </c>
      <c r="L409" t="s">
        <v>12</v>
      </c>
    </row>
    <row r="410" spans="1:12">
      <c r="A410">
        <v>90738</v>
      </c>
      <c r="B410" t="s">
        <v>21</v>
      </c>
      <c r="C410" t="s">
        <v>21</v>
      </c>
      <c r="D410" s="1">
        <v>28068</v>
      </c>
      <c r="E410">
        <v>0</v>
      </c>
      <c r="F410" t="s">
        <v>14</v>
      </c>
      <c r="G410" t="s">
        <v>18</v>
      </c>
      <c r="H410" t="s">
        <v>13</v>
      </c>
      <c r="I410" t="s">
        <v>80</v>
      </c>
      <c r="J410" t="s">
        <v>62</v>
      </c>
      <c r="K410">
        <v>33</v>
      </c>
      <c r="L410" t="s">
        <v>12</v>
      </c>
    </row>
    <row r="411" spans="1:12">
      <c r="A411">
        <v>49734</v>
      </c>
      <c r="B411" t="s">
        <v>21</v>
      </c>
      <c r="C411" t="s">
        <v>21</v>
      </c>
      <c r="D411" s="1">
        <v>27295</v>
      </c>
      <c r="E411">
        <v>3</v>
      </c>
      <c r="F411" t="s">
        <v>19</v>
      </c>
      <c r="G411" t="s">
        <v>18</v>
      </c>
      <c r="H411" t="s">
        <v>13</v>
      </c>
      <c r="I411" t="s">
        <v>78</v>
      </c>
      <c r="J411" t="s">
        <v>70</v>
      </c>
      <c r="K411">
        <v>69</v>
      </c>
      <c r="L411" t="s">
        <v>12</v>
      </c>
    </row>
    <row r="412" spans="1:12">
      <c r="A412">
        <v>82615</v>
      </c>
      <c r="B412" t="s">
        <v>22</v>
      </c>
      <c r="C412" t="s">
        <v>21</v>
      </c>
      <c r="D412" s="1">
        <v>61160</v>
      </c>
      <c r="E412">
        <v>2</v>
      </c>
      <c r="F412" t="s">
        <v>14</v>
      </c>
      <c r="G412" t="s">
        <v>16</v>
      </c>
      <c r="H412" t="s">
        <v>12</v>
      </c>
      <c r="I412" t="s">
        <v>77</v>
      </c>
      <c r="J412" t="s">
        <v>61</v>
      </c>
      <c r="K412">
        <v>46</v>
      </c>
      <c r="L412" t="s">
        <v>12</v>
      </c>
    </row>
    <row r="413" spans="1:12">
      <c r="A413">
        <v>83523</v>
      </c>
      <c r="B413" t="s">
        <v>21</v>
      </c>
      <c r="C413" t="s">
        <v>21</v>
      </c>
      <c r="D413" s="1">
        <v>31390</v>
      </c>
      <c r="E413">
        <v>5</v>
      </c>
      <c r="F413" t="s">
        <v>14</v>
      </c>
      <c r="G413" t="s">
        <v>16</v>
      </c>
      <c r="H413" t="s">
        <v>13</v>
      </c>
      <c r="I413" t="s">
        <v>78</v>
      </c>
      <c r="J413" t="s">
        <v>65</v>
      </c>
      <c r="K413">
        <v>52</v>
      </c>
      <c r="L413" t="s">
        <v>13</v>
      </c>
    </row>
    <row r="414" spans="1:12">
      <c r="A414">
        <v>27019</v>
      </c>
      <c r="B414" t="s">
        <v>22</v>
      </c>
      <c r="C414" t="s">
        <v>20</v>
      </c>
      <c r="D414" s="1">
        <v>40131</v>
      </c>
      <c r="E414">
        <v>0</v>
      </c>
      <c r="F414" t="s">
        <v>10</v>
      </c>
      <c r="G414" t="s">
        <v>15</v>
      </c>
      <c r="H414" t="s">
        <v>13</v>
      </c>
      <c r="I414" t="s">
        <v>77</v>
      </c>
      <c r="J414" t="s">
        <v>61</v>
      </c>
      <c r="K414">
        <v>41</v>
      </c>
      <c r="L414" t="s">
        <v>13</v>
      </c>
    </row>
    <row r="415" spans="1:12">
      <c r="A415">
        <v>93613</v>
      </c>
      <c r="B415" t="s">
        <v>21</v>
      </c>
      <c r="C415" t="s">
        <v>21</v>
      </c>
      <c r="D415" s="1">
        <v>114754</v>
      </c>
      <c r="E415">
        <v>5</v>
      </c>
      <c r="F415" t="s">
        <v>19</v>
      </c>
      <c r="G415" t="s">
        <v>15</v>
      </c>
      <c r="H415" t="s">
        <v>12</v>
      </c>
      <c r="I415" t="s">
        <v>78</v>
      </c>
      <c r="J415" t="s">
        <v>67</v>
      </c>
      <c r="K415">
        <v>67</v>
      </c>
      <c r="L415" t="s">
        <v>12</v>
      </c>
    </row>
    <row r="416" spans="1:12">
      <c r="A416">
        <v>96672</v>
      </c>
      <c r="B416" t="s">
        <v>22</v>
      </c>
      <c r="C416" t="s">
        <v>20</v>
      </c>
      <c r="D416" s="1">
        <v>95969</v>
      </c>
      <c r="E416">
        <v>0</v>
      </c>
      <c r="F416" t="s">
        <v>14</v>
      </c>
      <c r="G416" t="s">
        <v>11</v>
      </c>
      <c r="H416" t="s">
        <v>12</v>
      </c>
      <c r="I416" t="s">
        <v>77</v>
      </c>
      <c r="J416" t="s">
        <v>66</v>
      </c>
      <c r="K416">
        <v>22</v>
      </c>
      <c r="L416" t="s">
        <v>13</v>
      </c>
    </row>
    <row r="417" spans="1:12">
      <c r="A417">
        <v>83847</v>
      </c>
      <c r="B417" t="s">
        <v>22</v>
      </c>
      <c r="C417" t="s">
        <v>20</v>
      </c>
      <c r="D417" s="1">
        <v>35038</v>
      </c>
      <c r="E417">
        <v>4</v>
      </c>
      <c r="F417" t="s">
        <v>14</v>
      </c>
      <c r="G417" t="s">
        <v>15</v>
      </c>
      <c r="H417" t="s">
        <v>13</v>
      </c>
      <c r="I417" t="s">
        <v>77</v>
      </c>
      <c r="J417" t="s">
        <v>66</v>
      </c>
      <c r="K417">
        <v>42</v>
      </c>
      <c r="L417" t="s">
        <v>12</v>
      </c>
    </row>
    <row r="418" spans="1:12">
      <c r="A418">
        <v>92750</v>
      </c>
      <c r="B418" t="s">
        <v>21</v>
      </c>
      <c r="C418" t="s">
        <v>21</v>
      </c>
      <c r="D418" s="1">
        <v>72327</v>
      </c>
      <c r="E418">
        <v>4</v>
      </c>
      <c r="F418" t="s">
        <v>19</v>
      </c>
      <c r="G418" t="s">
        <v>11</v>
      </c>
      <c r="H418" t="s">
        <v>12</v>
      </c>
      <c r="I418" t="s">
        <v>79</v>
      </c>
      <c r="J418" t="s">
        <v>60</v>
      </c>
      <c r="K418">
        <v>40</v>
      </c>
      <c r="L418" t="s">
        <v>13</v>
      </c>
    </row>
    <row r="419" spans="1:12">
      <c r="A419">
        <v>89634</v>
      </c>
      <c r="B419" t="s">
        <v>22</v>
      </c>
      <c r="C419" t="s">
        <v>21</v>
      </c>
      <c r="D419" s="1">
        <v>113718</v>
      </c>
      <c r="E419">
        <v>4</v>
      </c>
      <c r="F419" t="s">
        <v>17</v>
      </c>
      <c r="G419" t="s">
        <v>18</v>
      </c>
      <c r="H419" t="s">
        <v>12</v>
      </c>
      <c r="I419" t="s">
        <v>77</v>
      </c>
      <c r="J419" t="s">
        <v>66</v>
      </c>
      <c r="K419">
        <v>60</v>
      </c>
      <c r="L419" t="s">
        <v>12</v>
      </c>
    </row>
    <row r="420" spans="1:12">
      <c r="A420">
        <v>38251</v>
      </c>
      <c r="B420" t="s">
        <v>21</v>
      </c>
      <c r="C420" t="s">
        <v>21</v>
      </c>
      <c r="D420" s="1">
        <v>97064</v>
      </c>
      <c r="E420">
        <v>5</v>
      </c>
      <c r="F420" t="s">
        <v>17</v>
      </c>
      <c r="G420" t="s">
        <v>15</v>
      </c>
      <c r="H420" t="s">
        <v>12</v>
      </c>
      <c r="I420" t="s">
        <v>77</v>
      </c>
      <c r="J420" t="s">
        <v>59</v>
      </c>
      <c r="K420">
        <v>42</v>
      </c>
      <c r="L420" t="s">
        <v>12</v>
      </c>
    </row>
    <row r="421" spans="1:12">
      <c r="A421">
        <v>35945</v>
      </c>
      <c r="B421" t="s">
        <v>22</v>
      </c>
      <c r="C421" t="s">
        <v>20</v>
      </c>
      <c r="D421" s="1">
        <v>41281</v>
      </c>
      <c r="E421">
        <v>3</v>
      </c>
      <c r="F421" t="s">
        <v>14</v>
      </c>
      <c r="G421" t="s">
        <v>16</v>
      </c>
      <c r="H421" t="s">
        <v>13</v>
      </c>
      <c r="I421" t="s">
        <v>79</v>
      </c>
      <c r="J421" t="s">
        <v>59</v>
      </c>
      <c r="K421">
        <v>23</v>
      </c>
      <c r="L421" t="s">
        <v>13</v>
      </c>
    </row>
    <row r="422" spans="1:12">
      <c r="A422">
        <v>42217</v>
      </c>
      <c r="B422" t="s">
        <v>21</v>
      </c>
      <c r="C422" t="s">
        <v>21</v>
      </c>
      <c r="D422" s="1">
        <v>74189</v>
      </c>
      <c r="E422">
        <v>4</v>
      </c>
      <c r="F422" t="s">
        <v>14</v>
      </c>
      <c r="G422" t="s">
        <v>15</v>
      </c>
      <c r="H422" t="s">
        <v>12</v>
      </c>
      <c r="I422" t="s">
        <v>81</v>
      </c>
      <c r="J422" t="s">
        <v>72</v>
      </c>
      <c r="K422">
        <v>40</v>
      </c>
      <c r="L422" t="s">
        <v>13</v>
      </c>
    </row>
    <row r="423" spans="1:12">
      <c r="A423">
        <v>18308</v>
      </c>
      <c r="B423" t="s">
        <v>22</v>
      </c>
      <c r="C423" t="s">
        <v>20</v>
      </c>
      <c r="D423" s="1">
        <v>68511</v>
      </c>
      <c r="E423">
        <v>0</v>
      </c>
      <c r="F423" t="s">
        <v>17</v>
      </c>
      <c r="G423" t="s">
        <v>11</v>
      </c>
      <c r="H423" t="s">
        <v>13</v>
      </c>
      <c r="I423" t="s">
        <v>81</v>
      </c>
      <c r="J423" t="s">
        <v>61</v>
      </c>
      <c r="K423">
        <v>56</v>
      </c>
      <c r="L423" t="s">
        <v>13</v>
      </c>
    </row>
    <row r="424" spans="1:12">
      <c r="A424">
        <v>15949</v>
      </c>
      <c r="B424" t="s">
        <v>21</v>
      </c>
      <c r="C424" t="s">
        <v>21</v>
      </c>
      <c r="D424" s="1">
        <v>28605</v>
      </c>
      <c r="E424">
        <v>4</v>
      </c>
      <c r="F424" t="s">
        <v>10</v>
      </c>
      <c r="G424" t="s">
        <v>15</v>
      </c>
      <c r="H424" t="s">
        <v>13</v>
      </c>
      <c r="I424" t="s">
        <v>79</v>
      </c>
      <c r="J424" t="s">
        <v>68</v>
      </c>
      <c r="K424">
        <v>62</v>
      </c>
      <c r="L424" t="s">
        <v>12</v>
      </c>
    </row>
    <row r="425" spans="1:12">
      <c r="A425">
        <v>61990</v>
      </c>
      <c r="B425" t="s">
        <v>22</v>
      </c>
      <c r="C425" t="s">
        <v>21</v>
      </c>
      <c r="D425" s="1">
        <v>21381</v>
      </c>
      <c r="E425">
        <v>1</v>
      </c>
      <c r="F425" t="s">
        <v>19</v>
      </c>
      <c r="G425" t="s">
        <v>18</v>
      </c>
      <c r="H425" t="s">
        <v>13</v>
      </c>
      <c r="I425" t="s">
        <v>80</v>
      </c>
      <c r="J425" t="s">
        <v>66</v>
      </c>
      <c r="K425">
        <v>50</v>
      </c>
      <c r="L425" t="s">
        <v>12</v>
      </c>
    </row>
    <row r="426" spans="1:12">
      <c r="A426">
        <v>11150</v>
      </c>
      <c r="B426" t="s">
        <v>22</v>
      </c>
      <c r="C426" t="s">
        <v>20</v>
      </c>
      <c r="D426" s="1">
        <v>86634</v>
      </c>
      <c r="E426">
        <v>4</v>
      </c>
      <c r="F426" t="s">
        <v>19</v>
      </c>
      <c r="G426" t="s">
        <v>16</v>
      </c>
      <c r="H426" t="s">
        <v>13</v>
      </c>
      <c r="I426" t="s">
        <v>77</v>
      </c>
      <c r="J426" t="s">
        <v>72</v>
      </c>
      <c r="K426">
        <v>40</v>
      </c>
      <c r="L426" t="s">
        <v>13</v>
      </c>
    </row>
    <row r="427" spans="1:12">
      <c r="A427">
        <v>99480</v>
      </c>
      <c r="B427" t="s">
        <v>21</v>
      </c>
      <c r="C427" t="s">
        <v>20</v>
      </c>
      <c r="D427" s="1">
        <v>39810</v>
      </c>
      <c r="E427">
        <v>5</v>
      </c>
      <c r="F427" t="s">
        <v>10</v>
      </c>
      <c r="G427" t="s">
        <v>11</v>
      </c>
      <c r="H427" t="s">
        <v>12</v>
      </c>
      <c r="I427" t="s">
        <v>77</v>
      </c>
      <c r="J427" t="s">
        <v>68</v>
      </c>
      <c r="K427">
        <v>45</v>
      </c>
      <c r="L427" t="s">
        <v>12</v>
      </c>
    </row>
    <row r="428" spans="1:12">
      <c r="A428">
        <v>84740</v>
      </c>
      <c r="B428" t="s">
        <v>21</v>
      </c>
      <c r="C428" t="s">
        <v>21</v>
      </c>
      <c r="D428" s="1">
        <v>44322</v>
      </c>
      <c r="E428">
        <v>3</v>
      </c>
      <c r="F428" t="s">
        <v>10</v>
      </c>
      <c r="G428" t="s">
        <v>16</v>
      </c>
      <c r="H428" t="s">
        <v>13</v>
      </c>
      <c r="I428" t="s">
        <v>79</v>
      </c>
      <c r="J428" t="s">
        <v>60</v>
      </c>
      <c r="K428">
        <v>60</v>
      </c>
      <c r="L428" t="s">
        <v>12</v>
      </c>
    </row>
    <row r="429" spans="1:12">
      <c r="A429">
        <v>76617</v>
      </c>
      <c r="B429" t="s">
        <v>21</v>
      </c>
      <c r="C429" t="s">
        <v>20</v>
      </c>
      <c r="D429" s="1">
        <v>61869</v>
      </c>
      <c r="E429">
        <v>1</v>
      </c>
      <c r="F429" t="s">
        <v>10</v>
      </c>
      <c r="G429" t="s">
        <v>16</v>
      </c>
      <c r="H429" t="s">
        <v>12</v>
      </c>
      <c r="I429" t="s">
        <v>79</v>
      </c>
      <c r="J429" t="s">
        <v>60</v>
      </c>
      <c r="K429">
        <v>54</v>
      </c>
      <c r="L429" t="s">
        <v>12</v>
      </c>
    </row>
    <row r="430" spans="1:12">
      <c r="A430">
        <v>26896</v>
      </c>
      <c r="B430" t="s">
        <v>21</v>
      </c>
      <c r="C430" t="s">
        <v>20</v>
      </c>
      <c r="D430" s="1">
        <v>52955</v>
      </c>
      <c r="E430">
        <v>5</v>
      </c>
      <c r="F430" t="s">
        <v>10</v>
      </c>
      <c r="G430" t="s">
        <v>11</v>
      </c>
      <c r="H430" t="s">
        <v>13</v>
      </c>
      <c r="I430" t="s">
        <v>80</v>
      </c>
      <c r="J430" t="s">
        <v>71</v>
      </c>
      <c r="K430">
        <v>57</v>
      </c>
      <c r="L430" t="s">
        <v>12</v>
      </c>
    </row>
    <row r="431" spans="1:12">
      <c r="A431">
        <v>56175</v>
      </c>
      <c r="B431" t="s">
        <v>22</v>
      </c>
      <c r="C431" t="s">
        <v>20</v>
      </c>
      <c r="D431" s="1">
        <v>81388</v>
      </c>
      <c r="E431">
        <v>5</v>
      </c>
      <c r="F431" t="s">
        <v>10</v>
      </c>
      <c r="G431" t="s">
        <v>16</v>
      </c>
      <c r="H431" t="s">
        <v>12</v>
      </c>
      <c r="I431" t="s">
        <v>81</v>
      </c>
      <c r="J431" t="s">
        <v>74</v>
      </c>
      <c r="K431">
        <v>43</v>
      </c>
      <c r="L431" t="s">
        <v>12</v>
      </c>
    </row>
    <row r="432" spans="1:12">
      <c r="A432">
        <v>17805</v>
      </c>
      <c r="B432" t="s">
        <v>21</v>
      </c>
      <c r="C432" t="s">
        <v>20</v>
      </c>
      <c r="D432" s="1">
        <v>30207</v>
      </c>
      <c r="E432">
        <v>5</v>
      </c>
      <c r="F432" t="s">
        <v>10</v>
      </c>
      <c r="G432" t="s">
        <v>16</v>
      </c>
      <c r="H432" t="s">
        <v>13</v>
      </c>
      <c r="I432" t="s">
        <v>78</v>
      </c>
      <c r="J432" t="s">
        <v>70</v>
      </c>
      <c r="K432">
        <v>30</v>
      </c>
      <c r="L432" t="s">
        <v>13</v>
      </c>
    </row>
    <row r="433" spans="1:12">
      <c r="A433">
        <v>15237</v>
      </c>
      <c r="B433" t="s">
        <v>21</v>
      </c>
      <c r="C433" t="s">
        <v>20</v>
      </c>
      <c r="D433" s="1">
        <v>107329</v>
      </c>
      <c r="E433">
        <v>0</v>
      </c>
      <c r="F433" t="s">
        <v>19</v>
      </c>
      <c r="G433" t="s">
        <v>15</v>
      </c>
      <c r="H433" t="s">
        <v>12</v>
      </c>
      <c r="I433" t="s">
        <v>81</v>
      </c>
      <c r="J433" t="s">
        <v>68</v>
      </c>
      <c r="K433">
        <v>60</v>
      </c>
      <c r="L433" t="s">
        <v>12</v>
      </c>
    </row>
    <row r="434" spans="1:12">
      <c r="A434">
        <v>30056</v>
      </c>
      <c r="B434" t="s">
        <v>21</v>
      </c>
      <c r="C434" t="s">
        <v>21</v>
      </c>
      <c r="D434" s="1">
        <v>87628</v>
      </c>
      <c r="E434">
        <v>5</v>
      </c>
      <c r="F434" t="s">
        <v>10</v>
      </c>
      <c r="G434" t="s">
        <v>16</v>
      </c>
      <c r="H434" t="s">
        <v>13</v>
      </c>
      <c r="I434" t="s">
        <v>77</v>
      </c>
      <c r="J434" t="s">
        <v>67</v>
      </c>
      <c r="K434">
        <v>48</v>
      </c>
      <c r="L434" t="s">
        <v>13</v>
      </c>
    </row>
    <row r="435" spans="1:12">
      <c r="A435">
        <v>55543</v>
      </c>
      <c r="B435" t="s">
        <v>22</v>
      </c>
      <c r="C435" t="s">
        <v>21</v>
      </c>
      <c r="D435" s="1">
        <v>48220</v>
      </c>
      <c r="E435">
        <v>0</v>
      </c>
      <c r="F435" t="s">
        <v>17</v>
      </c>
      <c r="G435" t="s">
        <v>16</v>
      </c>
      <c r="H435" t="s">
        <v>13</v>
      </c>
      <c r="I435" t="s">
        <v>79</v>
      </c>
      <c r="J435" t="s">
        <v>59</v>
      </c>
      <c r="K435">
        <v>66</v>
      </c>
      <c r="L435" t="s">
        <v>12</v>
      </c>
    </row>
    <row r="436" spans="1:12">
      <c r="A436">
        <v>66556</v>
      </c>
      <c r="B436" t="s">
        <v>21</v>
      </c>
      <c r="C436" t="s">
        <v>20</v>
      </c>
      <c r="D436" s="1">
        <v>104050</v>
      </c>
      <c r="E436">
        <v>5</v>
      </c>
      <c r="F436" t="s">
        <v>10</v>
      </c>
      <c r="G436" t="s">
        <v>16</v>
      </c>
      <c r="H436" t="s">
        <v>12</v>
      </c>
      <c r="I436" t="s">
        <v>80</v>
      </c>
      <c r="J436" t="s">
        <v>59</v>
      </c>
      <c r="K436">
        <v>22</v>
      </c>
      <c r="L436" t="s">
        <v>12</v>
      </c>
    </row>
    <row r="437" spans="1:12">
      <c r="A437">
        <v>13343</v>
      </c>
      <c r="B437" t="s">
        <v>21</v>
      </c>
      <c r="C437" t="s">
        <v>21</v>
      </c>
      <c r="D437" s="1">
        <v>94085</v>
      </c>
      <c r="E437">
        <v>2</v>
      </c>
      <c r="F437" t="s">
        <v>10</v>
      </c>
      <c r="G437" t="s">
        <v>16</v>
      </c>
      <c r="H437" t="s">
        <v>13</v>
      </c>
      <c r="I437" t="s">
        <v>81</v>
      </c>
      <c r="J437" t="s">
        <v>72</v>
      </c>
      <c r="K437">
        <v>20</v>
      </c>
      <c r="L437" t="s">
        <v>13</v>
      </c>
    </row>
    <row r="438" spans="1:12">
      <c r="A438">
        <v>23500</v>
      </c>
      <c r="B438" t="s">
        <v>21</v>
      </c>
      <c r="C438" t="s">
        <v>21</v>
      </c>
      <c r="D438" s="1">
        <v>42031</v>
      </c>
      <c r="E438">
        <v>1</v>
      </c>
      <c r="F438" t="s">
        <v>19</v>
      </c>
      <c r="G438" t="s">
        <v>11</v>
      </c>
      <c r="H438" t="s">
        <v>13</v>
      </c>
      <c r="I438" t="s">
        <v>80</v>
      </c>
      <c r="J438" t="s">
        <v>62</v>
      </c>
      <c r="K438">
        <v>38</v>
      </c>
      <c r="L438" t="s">
        <v>13</v>
      </c>
    </row>
    <row r="439" spans="1:12">
      <c r="A439">
        <v>63222</v>
      </c>
      <c r="B439" t="s">
        <v>21</v>
      </c>
      <c r="C439" t="s">
        <v>20</v>
      </c>
      <c r="D439" s="1">
        <v>90721</v>
      </c>
      <c r="E439">
        <v>2</v>
      </c>
      <c r="F439" t="s">
        <v>19</v>
      </c>
      <c r="G439" t="s">
        <v>18</v>
      </c>
      <c r="H439" t="s">
        <v>13</v>
      </c>
      <c r="I439" t="s">
        <v>81</v>
      </c>
      <c r="J439" t="s">
        <v>72</v>
      </c>
      <c r="K439">
        <v>65</v>
      </c>
      <c r="L439" t="s">
        <v>13</v>
      </c>
    </row>
    <row r="440" spans="1:12">
      <c r="A440">
        <v>39375</v>
      </c>
      <c r="B440" t="s">
        <v>22</v>
      </c>
      <c r="C440" t="s">
        <v>21</v>
      </c>
      <c r="D440" s="1">
        <v>100807</v>
      </c>
      <c r="E440">
        <v>5</v>
      </c>
      <c r="F440" t="s">
        <v>10</v>
      </c>
      <c r="G440" t="s">
        <v>15</v>
      </c>
      <c r="H440" t="s">
        <v>12</v>
      </c>
      <c r="I440" t="s">
        <v>77</v>
      </c>
      <c r="J440" t="s">
        <v>68</v>
      </c>
      <c r="K440">
        <v>68</v>
      </c>
      <c r="L440" t="s">
        <v>13</v>
      </c>
    </row>
    <row r="441" spans="1:12">
      <c r="A441">
        <v>19662</v>
      </c>
      <c r="B441" t="s">
        <v>21</v>
      </c>
      <c r="C441" t="s">
        <v>20</v>
      </c>
      <c r="D441" s="1">
        <v>91312</v>
      </c>
      <c r="E441">
        <v>1</v>
      </c>
      <c r="F441" t="s">
        <v>19</v>
      </c>
      <c r="G441" t="s">
        <v>16</v>
      </c>
      <c r="H441" t="s">
        <v>13</v>
      </c>
      <c r="I441" t="s">
        <v>78</v>
      </c>
      <c r="J441" t="s">
        <v>68</v>
      </c>
      <c r="K441">
        <v>41</v>
      </c>
      <c r="L441" t="s">
        <v>12</v>
      </c>
    </row>
    <row r="442" spans="1:12">
      <c r="A442">
        <v>26964</v>
      </c>
      <c r="B442" t="s">
        <v>21</v>
      </c>
      <c r="C442" t="s">
        <v>20</v>
      </c>
      <c r="D442" s="1">
        <v>79766</v>
      </c>
      <c r="E442">
        <v>1</v>
      </c>
      <c r="F442" t="s">
        <v>14</v>
      </c>
      <c r="G442" t="s">
        <v>16</v>
      </c>
      <c r="H442" t="s">
        <v>13</v>
      </c>
      <c r="I442" t="s">
        <v>80</v>
      </c>
      <c r="J442" t="s">
        <v>64</v>
      </c>
      <c r="K442">
        <v>33</v>
      </c>
      <c r="L442" t="s">
        <v>13</v>
      </c>
    </row>
    <row r="443" spans="1:12">
      <c r="A443">
        <v>69638</v>
      </c>
      <c r="B443" t="s">
        <v>22</v>
      </c>
      <c r="C443" t="s">
        <v>21</v>
      </c>
      <c r="D443" s="1">
        <v>32449</v>
      </c>
      <c r="E443">
        <v>3</v>
      </c>
      <c r="F443" t="s">
        <v>19</v>
      </c>
      <c r="G443" t="s">
        <v>11</v>
      </c>
      <c r="H443" t="s">
        <v>12</v>
      </c>
      <c r="I443" t="s">
        <v>80</v>
      </c>
      <c r="J443" t="s">
        <v>68</v>
      </c>
      <c r="K443">
        <v>68</v>
      </c>
      <c r="L443" t="s">
        <v>13</v>
      </c>
    </row>
    <row r="444" spans="1:12">
      <c r="A444">
        <v>83666</v>
      </c>
      <c r="B444" t="s">
        <v>22</v>
      </c>
      <c r="C444" t="s">
        <v>20</v>
      </c>
      <c r="D444" s="1">
        <v>109833</v>
      </c>
      <c r="E444">
        <v>2</v>
      </c>
      <c r="F444" t="s">
        <v>19</v>
      </c>
      <c r="G444" t="s">
        <v>18</v>
      </c>
      <c r="H444" t="s">
        <v>12</v>
      </c>
      <c r="I444" t="s">
        <v>78</v>
      </c>
      <c r="J444" t="s">
        <v>71</v>
      </c>
      <c r="K444">
        <v>33</v>
      </c>
      <c r="L444" t="s">
        <v>12</v>
      </c>
    </row>
    <row r="445" spans="1:12">
      <c r="A445">
        <v>95067</v>
      </c>
      <c r="B445" t="s">
        <v>21</v>
      </c>
      <c r="C445" t="s">
        <v>20</v>
      </c>
      <c r="D445" s="1">
        <v>76699</v>
      </c>
      <c r="E445">
        <v>3</v>
      </c>
      <c r="F445" t="s">
        <v>19</v>
      </c>
      <c r="G445" t="s">
        <v>16</v>
      </c>
      <c r="H445" t="s">
        <v>12</v>
      </c>
      <c r="I445" t="s">
        <v>80</v>
      </c>
      <c r="J445" t="s">
        <v>74</v>
      </c>
      <c r="K445">
        <v>63</v>
      </c>
      <c r="L445" t="s">
        <v>13</v>
      </c>
    </row>
    <row r="446" spans="1:12">
      <c r="A446">
        <v>77215</v>
      </c>
      <c r="B446" t="s">
        <v>22</v>
      </c>
      <c r="C446" t="s">
        <v>20</v>
      </c>
      <c r="D446" s="1">
        <v>101253</v>
      </c>
      <c r="E446">
        <v>1</v>
      </c>
      <c r="F446" t="s">
        <v>19</v>
      </c>
      <c r="G446" t="s">
        <v>11</v>
      </c>
      <c r="H446" t="s">
        <v>12</v>
      </c>
      <c r="I446" t="s">
        <v>80</v>
      </c>
      <c r="J446" t="s">
        <v>68</v>
      </c>
      <c r="K446">
        <v>35</v>
      </c>
      <c r="L446" t="s">
        <v>13</v>
      </c>
    </row>
    <row r="447" spans="1:12">
      <c r="A447">
        <v>79042</v>
      </c>
      <c r="B447" t="s">
        <v>22</v>
      </c>
      <c r="C447" t="s">
        <v>20</v>
      </c>
      <c r="D447" s="1">
        <v>66092</v>
      </c>
      <c r="E447">
        <v>0</v>
      </c>
      <c r="F447" t="s">
        <v>17</v>
      </c>
      <c r="G447" t="s">
        <v>15</v>
      </c>
      <c r="H447" t="s">
        <v>12</v>
      </c>
      <c r="I447" t="s">
        <v>81</v>
      </c>
      <c r="J447" t="s">
        <v>60</v>
      </c>
      <c r="K447">
        <v>52</v>
      </c>
      <c r="L447" t="s">
        <v>12</v>
      </c>
    </row>
    <row r="448" spans="1:12">
      <c r="A448">
        <v>23284</v>
      </c>
      <c r="B448" t="s">
        <v>21</v>
      </c>
      <c r="C448" t="s">
        <v>20</v>
      </c>
      <c r="D448" s="1">
        <v>83671</v>
      </c>
      <c r="E448">
        <v>1</v>
      </c>
      <c r="F448" t="s">
        <v>17</v>
      </c>
      <c r="G448" t="s">
        <v>15</v>
      </c>
      <c r="H448" t="s">
        <v>13</v>
      </c>
      <c r="I448" t="s">
        <v>81</v>
      </c>
      <c r="J448" t="s">
        <v>65</v>
      </c>
      <c r="K448">
        <v>32</v>
      </c>
      <c r="L448" t="s">
        <v>12</v>
      </c>
    </row>
    <row r="449" spans="1:12">
      <c r="A449">
        <v>82789</v>
      </c>
      <c r="B449" t="s">
        <v>22</v>
      </c>
      <c r="C449" t="s">
        <v>21</v>
      </c>
      <c r="D449" s="1">
        <v>30350</v>
      </c>
      <c r="E449">
        <v>3</v>
      </c>
      <c r="F449" t="s">
        <v>17</v>
      </c>
      <c r="G449" t="s">
        <v>16</v>
      </c>
      <c r="H449" t="s">
        <v>13</v>
      </c>
      <c r="I449" t="s">
        <v>78</v>
      </c>
      <c r="J449" t="s">
        <v>64</v>
      </c>
      <c r="K449">
        <v>57</v>
      </c>
      <c r="L449" t="s">
        <v>12</v>
      </c>
    </row>
    <row r="450" spans="1:12">
      <c r="A450">
        <v>94664</v>
      </c>
      <c r="B450" t="s">
        <v>22</v>
      </c>
      <c r="C450" t="s">
        <v>21</v>
      </c>
      <c r="D450" s="1">
        <v>116158</v>
      </c>
      <c r="E450">
        <v>2</v>
      </c>
      <c r="F450" t="s">
        <v>10</v>
      </c>
      <c r="G450" t="s">
        <v>16</v>
      </c>
      <c r="H450" t="s">
        <v>13</v>
      </c>
      <c r="I450" t="s">
        <v>77</v>
      </c>
      <c r="J450" t="s">
        <v>69</v>
      </c>
      <c r="K450">
        <v>68</v>
      </c>
      <c r="L450" t="s">
        <v>13</v>
      </c>
    </row>
    <row r="451" spans="1:12">
      <c r="A451">
        <v>71389</v>
      </c>
      <c r="B451" t="s">
        <v>21</v>
      </c>
      <c r="C451" t="s">
        <v>20</v>
      </c>
      <c r="D451" s="1">
        <v>88487</v>
      </c>
      <c r="E451">
        <v>5</v>
      </c>
      <c r="F451" t="s">
        <v>10</v>
      </c>
      <c r="G451" t="s">
        <v>18</v>
      </c>
      <c r="H451" t="s">
        <v>12</v>
      </c>
      <c r="I451" t="s">
        <v>80</v>
      </c>
      <c r="J451" t="s">
        <v>71</v>
      </c>
      <c r="K451">
        <v>31</v>
      </c>
      <c r="L451" t="s">
        <v>12</v>
      </c>
    </row>
    <row r="452" spans="1:12">
      <c r="A452">
        <v>19435</v>
      </c>
      <c r="B452" t="s">
        <v>21</v>
      </c>
      <c r="C452" t="s">
        <v>20</v>
      </c>
      <c r="D452" s="1">
        <v>37622</v>
      </c>
      <c r="E452">
        <v>5</v>
      </c>
      <c r="F452" t="s">
        <v>14</v>
      </c>
      <c r="G452" t="s">
        <v>18</v>
      </c>
      <c r="H452" t="s">
        <v>13</v>
      </c>
      <c r="I452" t="s">
        <v>77</v>
      </c>
      <c r="J452" t="s">
        <v>62</v>
      </c>
      <c r="K452">
        <v>57</v>
      </c>
      <c r="L452" t="s">
        <v>12</v>
      </c>
    </row>
    <row r="453" spans="1:12">
      <c r="A453">
        <v>64340</v>
      </c>
      <c r="B453" t="s">
        <v>21</v>
      </c>
      <c r="C453" t="s">
        <v>21</v>
      </c>
      <c r="D453" s="1">
        <v>90263</v>
      </c>
      <c r="E453">
        <v>2</v>
      </c>
      <c r="F453" t="s">
        <v>17</v>
      </c>
      <c r="G453" t="s">
        <v>16</v>
      </c>
      <c r="H453" t="s">
        <v>12</v>
      </c>
      <c r="I453" t="s">
        <v>78</v>
      </c>
      <c r="J453" t="s">
        <v>69</v>
      </c>
      <c r="K453">
        <v>58</v>
      </c>
      <c r="L453" t="s">
        <v>12</v>
      </c>
    </row>
    <row r="454" spans="1:12">
      <c r="A454">
        <v>54078</v>
      </c>
      <c r="B454" t="s">
        <v>22</v>
      </c>
      <c r="C454" t="s">
        <v>20</v>
      </c>
      <c r="D454" s="1">
        <v>73117</v>
      </c>
      <c r="E454">
        <v>5</v>
      </c>
      <c r="F454" t="s">
        <v>10</v>
      </c>
      <c r="G454" t="s">
        <v>11</v>
      </c>
      <c r="H454" t="s">
        <v>12</v>
      </c>
      <c r="I454" t="s">
        <v>78</v>
      </c>
      <c r="J454" t="s">
        <v>66</v>
      </c>
      <c r="K454">
        <v>52</v>
      </c>
      <c r="L454" t="s">
        <v>13</v>
      </c>
    </row>
    <row r="455" spans="1:12">
      <c r="A455">
        <v>88832</v>
      </c>
      <c r="B455" t="s">
        <v>22</v>
      </c>
      <c r="C455" t="s">
        <v>21</v>
      </c>
      <c r="D455" s="1">
        <v>78394</v>
      </c>
      <c r="E455">
        <v>5</v>
      </c>
      <c r="F455" t="s">
        <v>19</v>
      </c>
      <c r="G455" t="s">
        <v>18</v>
      </c>
      <c r="H455" t="s">
        <v>13</v>
      </c>
      <c r="I455" t="s">
        <v>81</v>
      </c>
      <c r="J455" t="s">
        <v>67</v>
      </c>
      <c r="K455">
        <v>52</v>
      </c>
      <c r="L455" t="s">
        <v>13</v>
      </c>
    </row>
    <row r="456" spans="1:12">
      <c r="A456">
        <v>61293</v>
      </c>
      <c r="B456" t="s">
        <v>22</v>
      </c>
      <c r="C456" t="s">
        <v>20</v>
      </c>
      <c r="D456" s="1">
        <v>43782</v>
      </c>
      <c r="E456">
        <v>3</v>
      </c>
      <c r="F456" t="s">
        <v>19</v>
      </c>
      <c r="G456" t="s">
        <v>16</v>
      </c>
      <c r="H456" t="s">
        <v>12</v>
      </c>
      <c r="I456" t="s">
        <v>80</v>
      </c>
      <c r="J456" t="s">
        <v>72</v>
      </c>
      <c r="K456">
        <v>48</v>
      </c>
      <c r="L456" t="s">
        <v>13</v>
      </c>
    </row>
    <row r="457" spans="1:12">
      <c r="A457">
        <v>88781</v>
      </c>
      <c r="B457" t="s">
        <v>21</v>
      </c>
      <c r="C457" t="s">
        <v>20</v>
      </c>
      <c r="D457" s="1">
        <v>48454</v>
      </c>
      <c r="E457">
        <v>2</v>
      </c>
      <c r="F457" t="s">
        <v>17</v>
      </c>
      <c r="G457" t="s">
        <v>18</v>
      </c>
      <c r="H457" t="s">
        <v>12</v>
      </c>
      <c r="I457" t="s">
        <v>79</v>
      </c>
      <c r="J457" t="s">
        <v>66</v>
      </c>
      <c r="K457">
        <v>24</v>
      </c>
      <c r="L457" t="s">
        <v>12</v>
      </c>
    </row>
    <row r="458" spans="1:12">
      <c r="A458">
        <v>70403</v>
      </c>
      <c r="B458" t="s">
        <v>22</v>
      </c>
      <c r="C458" t="s">
        <v>20</v>
      </c>
      <c r="D458" s="1">
        <v>87904</v>
      </c>
      <c r="E458">
        <v>4</v>
      </c>
      <c r="F458" t="s">
        <v>14</v>
      </c>
      <c r="G458" t="s">
        <v>16</v>
      </c>
      <c r="H458" t="s">
        <v>13</v>
      </c>
      <c r="I458" t="s">
        <v>78</v>
      </c>
      <c r="J458" t="s">
        <v>60</v>
      </c>
      <c r="K458">
        <v>25</v>
      </c>
      <c r="L458" t="s">
        <v>13</v>
      </c>
    </row>
    <row r="459" spans="1:12">
      <c r="A459">
        <v>39124</v>
      </c>
      <c r="B459" t="s">
        <v>22</v>
      </c>
      <c r="C459" t="s">
        <v>20</v>
      </c>
      <c r="D459" s="1">
        <v>35592</v>
      </c>
      <c r="E459">
        <v>0</v>
      </c>
      <c r="F459" t="s">
        <v>14</v>
      </c>
      <c r="G459" t="s">
        <v>15</v>
      </c>
      <c r="H459" t="s">
        <v>12</v>
      </c>
      <c r="I459" t="s">
        <v>80</v>
      </c>
      <c r="J459" t="s">
        <v>72</v>
      </c>
      <c r="K459">
        <v>50</v>
      </c>
      <c r="L459" t="s">
        <v>13</v>
      </c>
    </row>
    <row r="460" spans="1:12">
      <c r="A460">
        <v>53919</v>
      </c>
      <c r="B460" t="s">
        <v>21</v>
      </c>
      <c r="C460" t="s">
        <v>20</v>
      </c>
      <c r="D460" s="1">
        <v>42173</v>
      </c>
      <c r="E460">
        <v>0</v>
      </c>
      <c r="F460" t="s">
        <v>19</v>
      </c>
      <c r="G460" t="s">
        <v>16</v>
      </c>
      <c r="H460" t="s">
        <v>12</v>
      </c>
      <c r="I460" t="s">
        <v>77</v>
      </c>
      <c r="J460" t="s">
        <v>63</v>
      </c>
      <c r="K460">
        <v>35</v>
      </c>
      <c r="L460" t="s">
        <v>13</v>
      </c>
    </row>
    <row r="461" spans="1:12">
      <c r="A461">
        <v>45247</v>
      </c>
      <c r="B461" t="s">
        <v>21</v>
      </c>
      <c r="C461" t="s">
        <v>20</v>
      </c>
      <c r="D461" s="1">
        <v>53204</v>
      </c>
      <c r="E461">
        <v>5</v>
      </c>
      <c r="F461" t="s">
        <v>14</v>
      </c>
      <c r="G461" t="s">
        <v>15</v>
      </c>
      <c r="H461" t="s">
        <v>13</v>
      </c>
      <c r="I461" t="s">
        <v>81</v>
      </c>
      <c r="J461" t="s">
        <v>69</v>
      </c>
      <c r="K461">
        <v>50</v>
      </c>
      <c r="L461" t="s">
        <v>12</v>
      </c>
    </row>
    <row r="462" spans="1:12">
      <c r="A462">
        <v>72752</v>
      </c>
      <c r="B462" t="s">
        <v>22</v>
      </c>
      <c r="C462" t="s">
        <v>20</v>
      </c>
      <c r="D462" s="1">
        <v>55596</v>
      </c>
      <c r="E462">
        <v>0</v>
      </c>
      <c r="F462" t="s">
        <v>17</v>
      </c>
      <c r="G462" t="s">
        <v>18</v>
      </c>
      <c r="H462" t="s">
        <v>12</v>
      </c>
      <c r="I462" t="s">
        <v>77</v>
      </c>
      <c r="J462" t="s">
        <v>60</v>
      </c>
      <c r="K462">
        <v>44</v>
      </c>
      <c r="L462" t="s">
        <v>12</v>
      </c>
    </row>
    <row r="463" spans="1:12">
      <c r="A463">
        <v>66573</v>
      </c>
      <c r="B463" t="s">
        <v>21</v>
      </c>
      <c r="C463" t="s">
        <v>21</v>
      </c>
      <c r="D463" s="1">
        <v>54324</v>
      </c>
      <c r="E463">
        <v>2</v>
      </c>
      <c r="F463" t="s">
        <v>19</v>
      </c>
      <c r="G463" t="s">
        <v>16</v>
      </c>
      <c r="H463" t="s">
        <v>12</v>
      </c>
      <c r="I463" t="s">
        <v>78</v>
      </c>
      <c r="J463" t="s">
        <v>74</v>
      </c>
      <c r="K463">
        <v>67</v>
      </c>
      <c r="L463" t="s">
        <v>13</v>
      </c>
    </row>
    <row r="464" spans="1:12">
      <c r="A464">
        <v>78027</v>
      </c>
      <c r="B464" t="s">
        <v>22</v>
      </c>
      <c r="C464" t="s">
        <v>20</v>
      </c>
      <c r="D464" s="1">
        <v>30503</v>
      </c>
      <c r="E464">
        <v>0</v>
      </c>
      <c r="F464" t="s">
        <v>10</v>
      </c>
      <c r="G464" t="s">
        <v>11</v>
      </c>
      <c r="H464" t="s">
        <v>12</v>
      </c>
      <c r="I464" t="s">
        <v>79</v>
      </c>
      <c r="J464" t="s">
        <v>59</v>
      </c>
      <c r="K464">
        <v>20</v>
      </c>
      <c r="L464" t="s">
        <v>13</v>
      </c>
    </row>
    <row r="465" spans="1:12">
      <c r="A465">
        <v>69101</v>
      </c>
      <c r="B465" t="s">
        <v>22</v>
      </c>
      <c r="C465" t="s">
        <v>21</v>
      </c>
      <c r="D465" s="1">
        <v>81202</v>
      </c>
      <c r="E465">
        <v>2</v>
      </c>
      <c r="F465" t="s">
        <v>10</v>
      </c>
      <c r="G465" t="s">
        <v>18</v>
      </c>
      <c r="H465" t="s">
        <v>13</v>
      </c>
      <c r="I465" t="s">
        <v>78</v>
      </c>
      <c r="J465" t="s">
        <v>60</v>
      </c>
      <c r="K465">
        <v>65</v>
      </c>
      <c r="L465" t="s">
        <v>12</v>
      </c>
    </row>
    <row r="466" spans="1:12">
      <c r="A466">
        <v>36646</v>
      </c>
      <c r="B466" t="s">
        <v>21</v>
      </c>
      <c r="C466" t="s">
        <v>21</v>
      </c>
      <c r="D466" s="1">
        <v>109400</v>
      </c>
      <c r="E466">
        <v>1</v>
      </c>
      <c r="F466" t="s">
        <v>10</v>
      </c>
      <c r="G466" t="s">
        <v>15</v>
      </c>
      <c r="H466" t="s">
        <v>13</v>
      </c>
      <c r="I466" t="s">
        <v>77</v>
      </c>
      <c r="J466" t="s">
        <v>72</v>
      </c>
      <c r="K466">
        <v>52</v>
      </c>
      <c r="L466" t="s">
        <v>13</v>
      </c>
    </row>
    <row r="467" spans="1:12">
      <c r="A467">
        <v>33049</v>
      </c>
      <c r="B467" t="s">
        <v>21</v>
      </c>
      <c r="C467" t="s">
        <v>20</v>
      </c>
      <c r="D467" s="1">
        <v>50750</v>
      </c>
      <c r="E467">
        <v>1</v>
      </c>
      <c r="F467" t="s">
        <v>14</v>
      </c>
      <c r="G467" t="s">
        <v>16</v>
      </c>
      <c r="H467" t="s">
        <v>13</v>
      </c>
      <c r="I467" t="s">
        <v>78</v>
      </c>
      <c r="J467" t="s">
        <v>73</v>
      </c>
      <c r="K467">
        <v>32</v>
      </c>
      <c r="L467" t="s">
        <v>13</v>
      </c>
    </row>
    <row r="468" spans="1:12">
      <c r="A468">
        <v>89605</v>
      </c>
      <c r="B468" t="s">
        <v>21</v>
      </c>
      <c r="C468" t="s">
        <v>20</v>
      </c>
      <c r="D468" s="1">
        <v>96112</v>
      </c>
      <c r="E468">
        <v>0</v>
      </c>
      <c r="F468" t="s">
        <v>19</v>
      </c>
      <c r="G468" t="s">
        <v>18</v>
      </c>
      <c r="H468" t="s">
        <v>13</v>
      </c>
      <c r="I468" t="s">
        <v>80</v>
      </c>
      <c r="J468" t="s">
        <v>61</v>
      </c>
      <c r="K468">
        <v>29</v>
      </c>
      <c r="L468" t="s">
        <v>13</v>
      </c>
    </row>
    <row r="469" spans="1:12">
      <c r="A469">
        <v>78385</v>
      </c>
      <c r="B469" t="s">
        <v>21</v>
      </c>
      <c r="C469" t="s">
        <v>20</v>
      </c>
      <c r="D469" s="1">
        <v>36566</v>
      </c>
      <c r="E469">
        <v>4</v>
      </c>
      <c r="F469" t="s">
        <v>19</v>
      </c>
      <c r="G469" t="s">
        <v>15</v>
      </c>
      <c r="H469" t="s">
        <v>12</v>
      </c>
      <c r="I469" t="s">
        <v>78</v>
      </c>
      <c r="J469" t="s">
        <v>62</v>
      </c>
      <c r="K469">
        <v>43</v>
      </c>
      <c r="L469" t="s">
        <v>13</v>
      </c>
    </row>
    <row r="470" spans="1:12">
      <c r="A470">
        <v>50158</v>
      </c>
      <c r="B470" t="s">
        <v>22</v>
      </c>
      <c r="C470" t="s">
        <v>20</v>
      </c>
      <c r="D470" s="1">
        <v>27190</v>
      </c>
      <c r="E470">
        <v>1</v>
      </c>
      <c r="F470" t="s">
        <v>10</v>
      </c>
      <c r="G470" t="s">
        <v>18</v>
      </c>
      <c r="H470" t="s">
        <v>12</v>
      </c>
      <c r="I470" t="s">
        <v>81</v>
      </c>
      <c r="J470" t="s">
        <v>66</v>
      </c>
      <c r="K470">
        <v>29</v>
      </c>
      <c r="L470" t="s">
        <v>13</v>
      </c>
    </row>
    <row r="471" spans="1:12">
      <c r="A471">
        <v>75417</v>
      </c>
      <c r="B471" t="s">
        <v>21</v>
      </c>
      <c r="C471" t="s">
        <v>20</v>
      </c>
      <c r="D471" s="1">
        <v>108607</v>
      </c>
      <c r="E471">
        <v>1</v>
      </c>
      <c r="F471" t="s">
        <v>19</v>
      </c>
      <c r="G471" t="s">
        <v>11</v>
      </c>
      <c r="H471" t="s">
        <v>13</v>
      </c>
      <c r="I471" t="s">
        <v>80</v>
      </c>
      <c r="J471" t="s">
        <v>68</v>
      </c>
      <c r="K471">
        <v>60</v>
      </c>
      <c r="L471" t="s">
        <v>12</v>
      </c>
    </row>
    <row r="472" spans="1:12">
      <c r="A472">
        <v>33289</v>
      </c>
      <c r="B472" t="s">
        <v>22</v>
      </c>
      <c r="C472" t="s">
        <v>20</v>
      </c>
      <c r="D472" s="1">
        <v>58333</v>
      </c>
      <c r="E472">
        <v>2</v>
      </c>
      <c r="F472" t="s">
        <v>19</v>
      </c>
      <c r="G472" t="s">
        <v>15</v>
      </c>
      <c r="H472" t="s">
        <v>12</v>
      </c>
      <c r="I472" t="s">
        <v>79</v>
      </c>
      <c r="J472" t="s">
        <v>70</v>
      </c>
      <c r="K472">
        <v>50</v>
      </c>
      <c r="L472" t="s">
        <v>12</v>
      </c>
    </row>
    <row r="473" spans="1:12">
      <c r="A473">
        <v>19823</v>
      </c>
      <c r="B473" t="s">
        <v>21</v>
      </c>
      <c r="C473" t="s">
        <v>20</v>
      </c>
      <c r="D473" s="1">
        <v>100905</v>
      </c>
      <c r="E473">
        <v>4</v>
      </c>
      <c r="F473" t="s">
        <v>19</v>
      </c>
      <c r="G473" t="s">
        <v>15</v>
      </c>
      <c r="H473" t="s">
        <v>12</v>
      </c>
      <c r="I473" t="s">
        <v>78</v>
      </c>
      <c r="J473" t="s">
        <v>59</v>
      </c>
      <c r="K473">
        <v>32</v>
      </c>
      <c r="L473" t="s">
        <v>12</v>
      </c>
    </row>
    <row r="474" spans="1:12">
      <c r="A474">
        <v>70160</v>
      </c>
      <c r="B474" t="s">
        <v>22</v>
      </c>
      <c r="C474" t="s">
        <v>21</v>
      </c>
      <c r="D474" s="1">
        <v>109571</v>
      </c>
      <c r="E474">
        <v>5</v>
      </c>
      <c r="F474" t="s">
        <v>14</v>
      </c>
      <c r="G474" t="s">
        <v>15</v>
      </c>
      <c r="H474" t="s">
        <v>13</v>
      </c>
      <c r="I474" t="s">
        <v>78</v>
      </c>
      <c r="J474" t="s">
        <v>74</v>
      </c>
      <c r="K474">
        <v>22</v>
      </c>
      <c r="L474" t="s">
        <v>13</v>
      </c>
    </row>
    <row r="475" spans="1:12">
      <c r="A475">
        <v>51975</v>
      </c>
      <c r="B475" t="s">
        <v>21</v>
      </c>
      <c r="C475" t="s">
        <v>20</v>
      </c>
      <c r="D475" s="1">
        <v>21589</v>
      </c>
      <c r="E475">
        <v>0</v>
      </c>
      <c r="F475" t="s">
        <v>19</v>
      </c>
      <c r="G475" t="s">
        <v>16</v>
      </c>
      <c r="H475" t="s">
        <v>13</v>
      </c>
      <c r="I475" t="s">
        <v>81</v>
      </c>
      <c r="J475" t="s">
        <v>74</v>
      </c>
      <c r="K475">
        <v>69</v>
      </c>
      <c r="L475" t="s">
        <v>12</v>
      </c>
    </row>
    <row r="476" spans="1:12">
      <c r="A476">
        <v>19540</v>
      </c>
      <c r="B476" t="s">
        <v>22</v>
      </c>
      <c r="C476" t="s">
        <v>21</v>
      </c>
      <c r="D476" s="1">
        <v>45235</v>
      </c>
      <c r="E476">
        <v>1</v>
      </c>
      <c r="F476" t="s">
        <v>17</v>
      </c>
      <c r="G476" t="s">
        <v>16</v>
      </c>
      <c r="H476" t="s">
        <v>12</v>
      </c>
      <c r="I476" t="s">
        <v>81</v>
      </c>
      <c r="J476" t="s">
        <v>62</v>
      </c>
      <c r="K476">
        <v>53</v>
      </c>
      <c r="L476" t="s">
        <v>12</v>
      </c>
    </row>
    <row r="477" spans="1:12">
      <c r="A477">
        <v>26364</v>
      </c>
      <c r="B477" t="s">
        <v>22</v>
      </c>
      <c r="C477" t="s">
        <v>21</v>
      </c>
      <c r="D477" s="1">
        <v>20159</v>
      </c>
      <c r="E477">
        <v>4</v>
      </c>
      <c r="F477" t="s">
        <v>14</v>
      </c>
      <c r="G477" t="s">
        <v>16</v>
      </c>
      <c r="H477" t="s">
        <v>13</v>
      </c>
      <c r="I477" t="s">
        <v>77</v>
      </c>
      <c r="J477" t="s">
        <v>60</v>
      </c>
      <c r="K477">
        <v>68</v>
      </c>
      <c r="L477" t="s">
        <v>13</v>
      </c>
    </row>
    <row r="478" spans="1:12">
      <c r="A478">
        <v>14611</v>
      </c>
      <c r="B478" t="s">
        <v>21</v>
      </c>
      <c r="C478" t="s">
        <v>20</v>
      </c>
      <c r="D478" s="1">
        <v>32145</v>
      </c>
      <c r="E478">
        <v>4</v>
      </c>
      <c r="F478" t="s">
        <v>19</v>
      </c>
      <c r="G478" t="s">
        <v>11</v>
      </c>
      <c r="H478" t="s">
        <v>13</v>
      </c>
      <c r="I478" t="s">
        <v>77</v>
      </c>
      <c r="J478" t="s">
        <v>59</v>
      </c>
      <c r="K478">
        <v>47</v>
      </c>
      <c r="L478" t="s">
        <v>13</v>
      </c>
    </row>
    <row r="479" spans="1:12">
      <c r="A479">
        <v>37663</v>
      </c>
      <c r="B479" t="s">
        <v>21</v>
      </c>
      <c r="C479" t="s">
        <v>20</v>
      </c>
      <c r="D479" s="1">
        <v>100909</v>
      </c>
      <c r="E479">
        <v>0</v>
      </c>
      <c r="F479" t="s">
        <v>19</v>
      </c>
      <c r="G479" t="s">
        <v>11</v>
      </c>
      <c r="H479" t="s">
        <v>13</v>
      </c>
      <c r="I479" t="s">
        <v>77</v>
      </c>
      <c r="J479" t="s">
        <v>73</v>
      </c>
      <c r="K479">
        <v>38</v>
      </c>
      <c r="L479" t="s">
        <v>13</v>
      </c>
    </row>
    <row r="480" spans="1:12">
      <c r="A480">
        <v>61991</v>
      </c>
      <c r="B480" t="s">
        <v>22</v>
      </c>
      <c r="C480" t="s">
        <v>21</v>
      </c>
      <c r="D480" s="1">
        <v>51921</v>
      </c>
      <c r="E480">
        <v>4</v>
      </c>
      <c r="F480" t="s">
        <v>17</v>
      </c>
      <c r="G480" t="s">
        <v>15</v>
      </c>
      <c r="H480" t="s">
        <v>12</v>
      </c>
      <c r="I480" t="s">
        <v>81</v>
      </c>
      <c r="J480" t="s">
        <v>63</v>
      </c>
      <c r="K480">
        <v>42</v>
      </c>
      <c r="L480" t="s">
        <v>13</v>
      </c>
    </row>
    <row r="481" spans="1:12">
      <c r="A481">
        <v>67679</v>
      </c>
      <c r="B481" t="s">
        <v>22</v>
      </c>
      <c r="C481" t="s">
        <v>21</v>
      </c>
      <c r="D481" s="1">
        <v>36237</v>
      </c>
      <c r="E481">
        <v>4</v>
      </c>
      <c r="F481" t="s">
        <v>14</v>
      </c>
      <c r="G481" t="s">
        <v>11</v>
      </c>
      <c r="H481" t="s">
        <v>13</v>
      </c>
      <c r="I481" t="s">
        <v>77</v>
      </c>
      <c r="J481" t="s">
        <v>71</v>
      </c>
      <c r="K481">
        <v>64</v>
      </c>
      <c r="L481" t="s">
        <v>13</v>
      </c>
    </row>
    <row r="482" spans="1:12">
      <c r="A482">
        <v>40977</v>
      </c>
      <c r="B482" t="s">
        <v>21</v>
      </c>
      <c r="C482" t="s">
        <v>20</v>
      </c>
      <c r="D482" s="1">
        <v>28244</v>
      </c>
      <c r="E482">
        <v>4</v>
      </c>
      <c r="F482" t="s">
        <v>10</v>
      </c>
      <c r="G482" t="s">
        <v>18</v>
      </c>
      <c r="H482" t="s">
        <v>12</v>
      </c>
      <c r="I482" t="s">
        <v>77</v>
      </c>
      <c r="J482" t="s">
        <v>66</v>
      </c>
      <c r="K482">
        <v>51</v>
      </c>
      <c r="L482" t="s">
        <v>13</v>
      </c>
    </row>
    <row r="483" spans="1:12">
      <c r="A483">
        <v>59115</v>
      </c>
      <c r="B483" t="s">
        <v>22</v>
      </c>
      <c r="C483" t="s">
        <v>20</v>
      </c>
      <c r="D483" s="1">
        <v>34743</v>
      </c>
      <c r="E483">
        <v>1</v>
      </c>
      <c r="F483" t="s">
        <v>10</v>
      </c>
      <c r="G483" t="s">
        <v>15</v>
      </c>
      <c r="H483" t="s">
        <v>12</v>
      </c>
      <c r="I483" t="s">
        <v>79</v>
      </c>
      <c r="J483" t="s">
        <v>71</v>
      </c>
      <c r="K483">
        <v>32</v>
      </c>
      <c r="L483" t="s">
        <v>13</v>
      </c>
    </row>
    <row r="484" spans="1:12">
      <c r="A484">
        <v>98223</v>
      </c>
      <c r="B484" t="s">
        <v>22</v>
      </c>
      <c r="C484" t="s">
        <v>21</v>
      </c>
      <c r="D484" s="1">
        <v>117102</v>
      </c>
      <c r="E484">
        <v>0</v>
      </c>
      <c r="F484" t="s">
        <v>14</v>
      </c>
      <c r="G484" t="s">
        <v>15</v>
      </c>
      <c r="H484" t="s">
        <v>12</v>
      </c>
      <c r="I484" t="s">
        <v>77</v>
      </c>
      <c r="J484" t="s">
        <v>63</v>
      </c>
      <c r="K484">
        <v>52</v>
      </c>
      <c r="L484" t="s">
        <v>13</v>
      </c>
    </row>
    <row r="485" spans="1:12">
      <c r="A485">
        <v>70890</v>
      </c>
      <c r="B485" t="s">
        <v>22</v>
      </c>
      <c r="C485" t="s">
        <v>20</v>
      </c>
      <c r="D485" s="1">
        <v>66101</v>
      </c>
      <c r="E485">
        <v>4</v>
      </c>
      <c r="F485" t="s">
        <v>19</v>
      </c>
      <c r="G485" t="s">
        <v>18</v>
      </c>
      <c r="H485" t="s">
        <v>13</v>
      </c>
      <c r="I485" t="s">
        <v>78</v>
      </c>
      <c r="J485" t="s">
        <v>63</v>
      </c>
      <c r="K485">
        <v>53</v>
      </c>
      <c r="L485" t="s">
        <v>13</v>
      </c>
    </row>
    <row r="486" spans="1:12">
      <c r="A486">
        <v>76387</v>
      </c>
      <c r="B486" t="s">
        <v>22</v>
      </c>
      <c r="C486" t="s">
        <v>20</v>
      </c>
      <c r="D486" s="1">
        <v>104227</v>
      </c>
      <c r="E486">
        <v>4</v>
      </c>
      <c r="F486" t="s">
        <v>19</v>
      </c>
      <c r="G486" t="s">
        <v>15</v>
      </c>
      <c r="H486" t="s">
        <v>13</v>
      </c>
      <c r="I486" t="s">
        <v>81</v>
      </c>
      <c r="J486" t="s">
        <v>66</v>
      </c>
      <c r="K486">
        <v>52</v>
      </c>
      <c r="L486" t="s">
        <v>13</v>
      </c>
    </row>
    <row r="487" spans="1:12">
      <c r="A487">
        <v>28071</v>
      </c>
      <c r="B487" t="s">
        <v>22</v>
      </c>
      <c r="C487" t="s">
        <v>20</v>
      </c>
      <c r="D487" s="1">
        <v>119532</v>
      </c>
      <c r="E487">
        <v>1</v>
      </c>
      <c r="F487" t="s">
        <v>10</v>
      </c>
      <c r="G487" t="s">
        <v>11</v>
      </c>
      <c r="H487" t="s">
        <v>13</v>
      </c>
      <c r="I487" t="s">
        <v>80</v>
      </c>
      <c r="J487" t="s">
        <v>68</v>
      </c>
      <c r="K487">
        <v>24</v>
      </c>
      <c r="L487" t="s">
        <v>13</v>
      </c>
    </row>
    <row r="488" spans="1:12">
      <c r="A488">
        <v>69275</v>
      </c>
      <c r="B488" t="s">
        <v>21</v>
      </c>
      <c r="C488" t="s">
        <v>21</v>
      </c>
      <c r="D488" s="1">
        <v>76378</v>
      </c>
      <c r="E488">
        <v>0</v>
      </c>
      <c r="F488" t="s">
        <v>10</v>
      </c>
      <c r="G488" t="s">
        <v>16</v>
      </c>
      <c r="H488" t="s">
        <v>13</v>
      </c>
      <c r="I488" t="s">
        <v>79</v>
      </c>
      <c r="J488" t="s">
        <v>69</v>
      </c>
      <c r="K488">
        <v>22</v>
      </c>
      <c r="L488" t="s">
        <v>12</v>
      </c>
    </row>
    <row r="489" spans="1:12">
      <c r="A489">
        <v>82369</v>
      </c>
      <c r="B489" t="s">
        <v>21</v>
      </c>
      <c r="C489" t="s">
        <v>21</v>
      </c>
      <c r="D489" s="1">
        <v>91126</v>
      </c>
      <c r="E489">
        <v>2</v>
      </c>
      <c r="F489" t="s">
        <v>10</v>
      </c>
      <c r="G489" t="s">
        <v>18</v>
      </c>
      <c r="H489" t="s">
        <v>13</v>
      </c>
      <c r="I489" t="s">
        <v>81</v>
      </c>
      <c r="J489" t="s">
        <v>68</v>
      </c>
      <c r="K489">
        <v>26</v>
      </c>
      <c r="L489" t="s">
        <v>12</v>
      </c>
    </row>
    <row r="490" spans="1:12">
      <c r="A490">
        <v>21938</v>
      </c>
      <c r="B490" t="s">
        <v>21</v>
      </c>
      <c r="C490" t="s">
        <v>21</v>
      </c>
      <c r="D490" s="1">
        <v>76071</v>
      </c>
      <c r="E490">
        <v>1</v>
      </c>
      <c r="F490" t="s">
        <v>17</v>
      </c>
      <c r="G490" t="s">
        <v>11</v>
      </c>
      <c r="H490" t="s">
        <v>12</v>
      </c>
      <c r="I490" t="s">
        <v>81</v>
      </c>
      <c r="J490" t="s">
        <v>72</v>
      </c>
      <c r="K490">
        <v>43</v>
      </c>
      <c r="L490" t="s">
        <v>12</v>
      </c>
    </row>
    <row r="491" spans="1:12">
      <c r="A491">
        <v>45195</v>
      </c>
      <c r="B491" t="s">
        <v>22</v>
      </c>
      <c r="C491" t="s">
        <v>20</v>
      </c>
      <c r="D491" s="1">
        <v>91121</v>
      </c>
      <c r="E491">
        <v>0</v>
      </c>
      <c r="F491" t="s">
        <v>10</v>
      </c>
      <c r="G491" t="s">
        <v>18</v>
      </c>
      <c r="H491" t="s">
        <v>12</v>
      </c>
      <c r="I491" t="s">
        <v>78</v>
      </c>
      <c r="J491" t="s">
        <v>69</v>
      </c>
      <c r="K491">
        <v>41</v>
      </c>
      <c r="L491" t="s">
        <v>12</v>
      </c>
    </row>
    <row r="492" spans="1:12">
      <c r="A492">
        <v>14000</v>
      </c>
      <c r="B492" t="s">
        <v>22</v>
      </c>
      <c r="C492" t="s">
        <v>20</v>
      </c>
      <c r="D492" s="1">
        <v>94763</v>
      </c>
      <c r="E492">
        <v>4</v>
      </c>
      <c r="F492" t="s">
        <v>17</v>
      </c>
      <c r="G492" t="s">
        <v>18</v>
      </c>
      <c r="H492" t="s">
        <v>12</v>
      </c>
      <c r="I492" t="s">
        <v>77</v>
      </c>
      <c r="J492" t="s">
        <v>74</v>
      </c>
      <c r="K492">
        <v>64</v>
      </c>
      <c r="L492" t="s">
        <v>12</v>
      </c>
    </row>
    <row r="493" spans="1:12">
      <c r="A493">
        <v>80588</v>
      </c>
      <c r="B493" t="s">
        <v>21</v>
      </c>
      <c r="C493" t="s">
        <v>21</v>
      </c>
      <c r="D493" s="1">
        <v>113814</v>
      </c>
      <c r="E493">
        <v>0</v>
      </c>
      <c r="F493" t="s">
        <v>14</v>
      </c>
      <c r="G493" t="s">
        <v>15</v>
      </c>
      <c r="H493" t="s">
        <v>13</v>
      </c>
      <c r="I493" t="s">
        <v>78</v>
      </c>
      <c r="J493" t="s">
        <v>61</v>
      </c>
      <c r="K493">
        <v>42</v>
      </c>
      <c r="L493" t="s">
        <v>12</v>
      </c>
    </row>
    <row r="494" spans="1:12">
      <c r="A494">
        <v>48304</v>
      </c>
      <c r="B494" t="s">
        <v>22</v>
      </c>
      <c r="C494" t="s">
        <v>21</v>
      </c>
      <c r="D494" s="1">
        <v>32237</v>
      </c>
      <c r="E494">
        <v>0</v>
      </c>
      <c r="F494" t="s">
        <v>19</v>
      </c>
      <c r="G494" t="s">
        <v>15</v>
      </c>
      <c r="H494" t="s">
        <v>12</v>
      </c>
      <c r="I494" t="s">
        <v>77</v>
      </c>
      <c r="J494" t="s">
        <v>61</v>
      </c>
      <c r="K494">
        <v>49</v>
      </c>
      <c r="L494" t="s">
        <v>12</v>
      </c>
    </row>
    <row r="495" spans="1:12">
      <c r="A495">
        <v>79449</v>
      </c>
      <c r="B495" t="s">
        <v>22</v>
      </c>
      <c r="C495" t="s">
        <v>21</v>
      </c>
      <c r="D495" s="1">
        <v>35649</v>
      </c>
      <c r="E495">
        <v>5</v>
      </c>
      <c r="F495" t="s">
        <v>10</v>
      </c>
      <c r="G495" t="s">
        <v>11</v>
      </c>
      <c r="H495" t="s">
        <v>12</v>
      </c>
      <c r="I495" t="s">
        <v>77</v>
      </c>
      <c r="J495" t="s">
        <v>66</v>
      </c>
      <c r="K495">
        <v>37</v>
      </c>
      <c r="L495" t="s">
        <v>13</v>
      </c>
    </row>
    <row r="496" spans="1:12">
      <c r="A496">
        <v>92986</v>
      </c>
      <c r="B496" t="s">
        <v>22</v>
      </c>
      <c r="C496" t="s">
        <v>20</v>
      </c>
      <c r="D496" s="1">
        <v>57713</v>
      </c>
      <c r="E496">
        <v>0</v>
      </c>
      <c r="F496" t="s">
        <v>19</v>
      </c>
      <c r="G496" t="s">
        <v>18</v>
      </c>
      <c r="H496" t="s">
        <v>13</v>
      </c>
      <c r="I496" t="s">
        <v>81</v>
      </c>
      <c r="J496" t="s">
        <v>60</v>
      </c>
      <c r="K496">
        <v>51</v>
      </c>
      <c r="L496" t="s">
        <v>13</v>
      </c>
    </row>
    <row r="497" spans="1:12">
      <c r="A497">
        <v>99643</v>
      </c>
      <c r="B497" t="s">
        <v>21</v>
      </c>
      <c r="C497" t="s">
        <v>21</v>
      </c>
      <c r="D497" s="1">
        <v>93463</v>
      </c>
      <c r="E497">
        <v>2</v>
      </c>
      <c r="F497" t="s">
        <v>19</v>
      </c>
      <c r="G497" t="s">
        <v>15</v>
      </c>
      <c r="H497" t="s">
        <v>13</v>
      </c>
      <c r="I497" t="s">
        <v>77</v>
      </c>
      <c r="J497" t="s">
        <v>72</v>
      </c>
      <c r="K497">
        <v>26</v>
      </c>
      <c r="L497" t="s">
        <v>12</v>
      </c>
    </row>
    <row r="498" spans="1:12">
      <c r="A498">
        <v>30764</v>
      </c>
      <c r="B498" t="s">
        <v>21</v>
      </c>
      <c r="C498" t="s">
        <v>21</v>
      </c>
      <c r="D498" s="1">
        <v>65409</v>
      </c>
      <c r="E498">
        <v>0</v>
      </c>
      <c r="F498" t="s">
        <v>10</v>
      </c>
      <c r="G498" t="s">
        <v>15</v>
      </c>
      <c r="H498" t="s">
        <v>12</v>
      </c>
      <c r="I498" t="s">
        <v>79</v>
      </c>
      <c r="J498" t="s">
        <v>68</v>
      </c>
      <c r="K498">
        <v>52</v>
      </c>
      <c r="L498" t="s">
        <v>13</v>
      </c>
    </row>
    <row r="499" spans="1:12">
      <c r="A499">
        <v>96027</v>
      </c>
      <c r="B499" t="s">
        <v>21</v>
      </c>
      <c r="C499" t="s">
        <v>20</v>
      </c>
      <c r="D499" s="1">
        <v>68766</v>
      </c>
      <c r="E499">
        <v>2</v>
      </c>
      <c r="F499" t="s">
        <v>10</v>
      </c>
      <c r="G499" t="s">
        <v>18</v>
      </c>
      <c r="H499" t="s">
        <v>12</v>
      </c>
      <c r="I499" t="s">
        <v>79</v>
      </c>
      <c r="J499" t="s">
        <v>73</v>
      </c>
      <c r="K499">
        <v>24</v>
      </c>
      <c r="L499" t="s">
        <v>13</v>
      </c>
    </row>
    <row r="500" spans="1:12">
      <c r="A500">
        <v>48494</v>
      </c>
      <c r="B500" t="s">
        <v>21</v>
      </c>
      <c r="C500" t="s">
        <v>20</v>
      </c>
      <c r="D500" s="1">
        <v>66154</v>
      </c>
      <c r="E500">
        <v>4</v>
      </c>
      <c r="F500" t="s">
        <v>14</v>
      </c>
      <c r="G500" t="s">
        <v>11</v>
      </c>
      <c r="H500" t="s">
        <v>13</v>
      </c>
      <c r="I500" t="s">
        <v>79</v>
      </c>
      <c r="J500" t="s">
        <v>63</v>
      </c>
      <c r="K500">
        <v>68</v>
      </c>
      <c r="L500" t="s">
        <v>13</v>
      </c>
    </row>
    <row r="501" spans="1:12">
      <c r="A501">
        <v>13373</v>
      </c>
      <c r="B501" t="s">
        <v>21</v>
      </c>
      <c r="C501" t="s">
        <v>20</v>
      </c>
      <c r="D501" s="1">
        <v>27016</v>
      </c>
      <c r="E501">
        <v>2</v>
      </c>
      <c r="F501" t="s">
        <v>17</v>
      </c>
      <c r="G501" t="s">
        <v>11</v>
      </c>
      <c r="H501" t="s">
        <v>13</v>
      </c>
      <c r="I501" t="s">
        <v>81</v>
      </c>
      <c r="J501" t="s">
        <v>59</v>
      </c>
      <c r="K501">
        <v>47</v>
      </c>
      <c r="L501" t="s">
        <v>13</v>
      </c>
    </row>
    <row r="502" spans="1:12">
      <c r="A502">
        <v>22161</v>
      </c>
      <c r="B502" t="s">
        <v>21</v>
      </c>
      <c r="C502" t="s">
        <v>21</v>
      </c>
      <c r="D502" s="1">
        <v>99563</v>
      </c>
      <c r="E502">
        <v>4</v>
      </c>
      <c r="F502" t="s">
        <v>17</v>
      </c>
      <c r="G502" t="s">
        <v>18</v>
      </c>
      <c r="H502" t="s">
        <v>13</v>
      </c>
      <c r="I502" t="s">
        <v>78</v>
      </c>
      <c r="J502" t="s">
        <v>70</v>
      </c>
      <c r="K502">
        <v>27</v>
      </c>
      <c r="L502" t="s">
        <v>12</v>
      </c>
    </row>
    <row r="503" spans="1:12">
      <c r="A503">
        <v>37350</v>
      </c>
      <c r="B503" t="s">
        <v>21</v>
      </c>
      <c r="C503" t="s">
        <v>20</v>
      </c>
      <c r="D503" s="1">
        <v>68688</v>
      </c>
      <c r="E503">
        <v>4</v>
      </c>
      <c r="F503" t="s">
        <v>19</v>
      </c>
      <c r="G503" t="s">
        <v>11</v>
      </c>
      <c r="H503" t="s">
        <v>13</v>
      </c>
      <c r="I503" t="s">
        <v>80</v>
      </c>
      <c r="J503" t="s">
        <v>60</v>
      </c>
      <c r="K503">
        <v>34</v>
      </c>
      <c r="L503" t="s">
        <v>12</v>
      </c>
    </row>
    <row r="504" spans="1:12">
      <c r="A504">
        <v>35351</v>
      </c>
      <c r="B504" t="s">
        <v>21</v>
      </c>
      <c r="C504" t="s">
        <v>20</v>
      </c>
      <c r="D504" s="1">
        <v>109678</v>
      </c>
      <c r="E504">
        <v>2</v>
      </c>
      <c r="F504" t="s">
        <v>10</v>
      </c>
      <c r="G504" t="s">
        <v>15</v>
      </c>
      <c r="H504" t="s">
        <v>12</v>
      </c>
      <c r="I504" t="s">
        <v>77</v>
      </c>
      <c r="J504" t="s">
        <v>66</v>
      </c>
      <c r="K504">
        <v>23</v>
      </c>
      <c r="L504" t="s">
        <v>12</v>
      </c>
    </row>
    <row r="505" spans="1:12">
      <c r="A505">
        <v>98668</v>
      </c>
      <c r="B505" t="s">
        <v>21</v>
      </c>
      <c r="C505" t="s">
        <v>21</v>
      </c>
      <c r="D505" s="1">
        <v>74238</v>
      </c>
      <c r="E505">
        <v>1</v>
      </c>
      <c r="F505" t="s">
        <v>14</v>
      </c>
      <c r="G505" t="s">
        <v>18</v>
      </c>
      <c r="H505" t="s">
        <v>12</v>
      </c>
      <c r="I505" t="s">
        <v>80</v>
      </c>
      <c r="J505" t="s">
        <v>71</v>
      </c>
      <c r="K505">
        <v>53</v>
      </c>
      <c r="L505" t="s">
        <v>12</v>
      </c>
    </row>
    <row r="506" spans="1:12">
      <c r="A506">
        <v>25305</v>
      </c>
      <c r="B506" t="s">
        <v>22</v>
      </c>
      <c r="C506" t="s">
        <v>20</v>
      </c>
      <c r="D506" s="1">
        <v>78608</v>
      </c>
      <c r="E506">
        <v>3</v>
      </c>
      <c r="F506" t="s">
        <v>14</v>
      </c>
      <c r="G506" t="s">
        <v>15</v>
      </c>
      <c r="H506" t="s">
        <v>13</v>
      </c>
      <c r="I506" t="s">
        <v>78</v>
      </c>
      <c r="J506" t="s">
        <v>61</v>
      </c>
      <c r="K506">
        <v>24</v>
      </c>
      <c r="L506" t="s">
        <v>13</v>
      </c>
    </row>
    <row r="507" spans="1:12">
      <c r="A507">
        <v>85353</v>
      </c>
      <c r="B507" t="s">
        <v>21</v>
      </c>
      <c r="C507" t="s">
        <v>21</v>
      </c>
      <c r="D507" s="1">
        <v>109081</v>
      </c>
      <c r="E507">
        <v>0</v>
      </c>
      <c r="F507" t="s">
        <v>14</v>
      </c>
      <c r="G507" t="s">
        <v>16</v>
      </c>
      <c r="H507" t="s">
        <v>12</v>
      </c>
      <c r="I507" t="s">
        <v>78</v>
      </c>
      <c r="J507" t="s">
        <v>67</v>
      </c>
      <c r="K507">
        <v>52</v>
      </c>
      <c r="L507" t="s">
        <v>12</v>
      </c>
    </row>
    <row r="508" spans="1:12">
      <c r="A508">
        <v>86797</v>
      </c>
      <c r="B508" t="s">
        <v>22</v>
      </c>
      <c r="C508" t="s">
        <v>21</v>
      </c>
      <c r="D508" s="1">
        <v>51897</v>
      </c>
      <c r="E508">
        <v>5</v>
      </c>
      <c r="F508" t="s">
        <v>14</v>
      </c>
      <c r="G508" t="s">
        <v>16</v>
      </c>
      <c r="H508" t="s">
        <v>12</v>
      </c>
      <c r="I508" t="s">
        <v>81</v>
      </c>
      <c r="J508" t="s">
        <v>65</v>
      </c>
      <c r="K508">
        <v>24</v>
      </c>
      <c r="L508" t="s">
        <v>12</v>
      </c>
    </row>
    <row r="509" spans="1:12">
      <c r="A509">
        <v>75953</v>
      </c>
      <c r="B509" t="s">
        <v>22</v>
      </c>
      <c r="C509" t="s">
        <v>20</v>
      </c>
      <c r="D509" s="1">
        <v>70961</v>
      </c>
      <c r="E509">
        <v>3</v>
      </c>
      <c r="F509" t="s">
        <v>14</v>
      </c>
      <c r="G509" t="s">
        <v>11</v>
      </c>
      <c r="H509" t="s">
        <v>13</v>
      </c>
      <c r="I509" t="s">
        <v>79</v>
      </c>
      <c r="J509" t="s">
        <v>63</v>
      </c>
      <c r="K509">
        <v>57</v>
      </c>
      <c r="L509" t="s">
        <v>12</v>
      </c>
    </row>
    <row r="510" spans="1:12">
      <c r="A510">
        <v>67458</v>
      </c>
      <c r="B510" t="s">
        <v>21</v>
      </c>
      <c r="C510" t="s">
        <v>20</v>
      </c>
      <c r="D510" s="1">
        <v>88703</v>
      </c>
      <c r="E510">
        <v>0</v>
      </c>
      <c r="F510" t="s">
        <v>17</v>
      </c>
      <c r="G510" t="s">
        <v>16</v>
      </c>
      <c r="H510" t="s">
        <v>12</v>
      </c>
      <c r="I510" t="s">
        <v>79</v>
      </c>
      <c r="J510" t="s">
        <v>67</v>
      </c>
      <c r="K510">
        <v>53</v>
      </c>
      <c r="L510" t="s">
        <v>12</v>
      </c>
    </row>
    <row r="511" spans="1:12">
      <c r="A511">
        <v>30358</v>
      </c>
      <c r="B511" t="s">
        <v>21</v>
      </c>
      <c r="C511" t="s">
        <v>20</v>
      </c>
      <c r="D511" s="1">
        <v>64757</v>
      </c>
      <c r="E511">
        <v>0</v>
      </c>
      <c r="F511" t="s">
        <v>17</v>
      </c>
      <c r="G511" t="s">
        <v>15</v>
      </c>
      <c r="H511" t="s">
        <v>12</v>
      </c>
      <c r="I511" t="s">
        <v>78</v>
      </c>
      <c r="J511" t="s">
        <v>61</v>
      </c>
      <c r="K511">
        <v>45</v>
      </c>
      <c r="L511" t="s">
        <v>13</v>
      </c>
    </row>
    <row r="512" spans="1:12">
      <c r="A512">
        <v>13267</v>
      </c>
      <c r="B512" t="s">
        <v>21</v>
      </c>
      <c r="C512" t="s">
        <v>20</v>
      </c>
      <c r="D512" s="1">
        <v>46917</v>
      </c>
      <c r="E512">
        <v>4</v>
      </c>
      <c r="F512" t="s">
        <v>17</v>
      </c>
      <c r="G512" t="s">
        <v>16</v>
      </c>
      <c r="H512" t="s">
        <v>12</v>
      </c>
      <c r="I512" t="s">
        <v>81</v>
      </c>
      <c r="J512" t="s">
        <v>71</v>
      </c>
      <c r="K512">
        <v>20</v>
      </c>
      <c r="L512" t="s">
        <v>13</v>
      </c>
    </row>
    <row r="513" spans="1:12">
      <c r="A513">
        <v>92745</v>
      </c>
      <c r="B513" t="s">
        <v>22</v>
      </c>
      <c r="C513" t="s">
        <v>20</v>
      </c>
      <c r="D513" s="1">
        <v>42736</v>
      </c>
      <c r="E513">
        <v>0</v>
      </c>
      <c r="F513" t="s">
        <v>10</v>
      </c>
      <c r="G513" t="s">
        <v>15</v>
      </c>
      <c r="H513" t="s">
        <v>13</v>
      </c>
      <c r="I513" t="s">
        <v>81</v>
      </c>
      <c r="J513" t="s">
        <v>63</v>
      </c>
      <c r="K513">
        <v>23</v>
      </c>
      <c r="L513" t="s">
        <v>12</v>
      </c>
    </row>
    <row r="514" spans="1:12">
      <c r="A514">
        <v>99588</v>
      </c>
      <c r="B514" t="s">
        <v>22</v>
      </c>
      <c r="C514" t="s">
        <v>20</v>
      </c>
      <c r="D514" s="1">
        <v>47990</v>
      </c>
      <c r="E514">
        <v>5</v>
      </c>
      <c r="F514" t="s">
        <v>19</v>
      </c>
      <c r="G514" t="s">
        <v>11</v>
      </c>
      <c r="H514" t="s">
        <v>13</v>
      </c>
      <c r="I514" t="s">
        <v>77</v>
      </c>
      <c r="J514" t="s">
        <v>74</v>
      </c>
      <c r="K514">
        <v>58</v>
      </c>
      <c r="L514" t="s">
        <v>12</v>
      </c>
    </row>
    <row r="515" spans="1:12">
      <c r="A515">
        <v>48513</v>
      </c>
      <c r="B515" t="s">
        <v>21</v>
      </c>
      <c r="C515" t="s">
        <v>21</v>
      </c>
      <c r="D515" s="1">
        <v>82551</v>
      </c>
      <c r="E515">
        <v>0</v>
      </c>
      <c r="F515" t="s">
        <v>14</v>
      </c>
      <c r="G515" t="s">
        <v>11</v>
      </c>
      <c r="H515" t="s">
        <v>12</v>
      </c>
      <c r="I515" t="s">
        <v>79</v>
      </c>
      <c r="J515" t="s">
        <v>64</v>
      </c>
      <c r="K515">
        <v>45</v>
      </c>
      <c r="L515" t="s">
        <v>12</v>
      </c>
    </row>
    <row r="516" spans="1:12">
      <c r="A516">
        <v>36092</v>
      </c>
      <c r="B516" t="s">
        <v>22</v>
      </c>
      <c r="C516" t="s">
        <v>21</v>
      </c>
      <c r="D516" s="1">
        <v>78161</v>
      </c>
      <c r="E516">
        <v>2</v>
      </c>
      <c r="F516" t="s">
        <v>10</v>
      </c>
      <c r="G516" t="s">
        <v>15</v>
      </c>
      <c r="H516" t="s">
        <v>13</v>
      </c>
      <c r="I516" t="s">
        <v>78</v>
      </c>
      <c r="J516" t="s">
        <v>64</v>
      </c>
      <c r="K516">
        <v>52</v>
      </c>
      <c r="L516" t="s">
        <v>12</v>
      </c>
    </row>
    <row r="517" spans="1:12">
      <c r="A517">
        <v>21338</v>
      </c>
      <c r="B517" t="s">
        <v>21</v>
      </c>
      <c r="C517" t="s">
        <v>20</v>
      </c>
      <c r="D517" s="1">
        <v>99623</v>
      </c>
      <c r="E517">
        <v>3</v>
      </c>
      <c r="F517" t="s">
        <v>14</v>
      </c>
      <c r="G517" t="s">
        <v>16</v>
      </c>
      <c r="H517" t="s">
        <v>13</v>
      </c>
      <c r="I517" t="s">
        <v>80</v>
      </c>
      <c r="J517" t="s">
        <v>69</v>
      </c>
      <c r="K517">
        <v>52</v>
      </c>
      <c r="L517" t="s">
        <v>13</v>
      </c>
    </row>
    <row r="518" spans="1:12">
      <c r="A518">
        <v>10412</v>
      </c>
      <c r="B518" t="s">
        <v>21</v>
      </c>
      <c r="C518" t="s">
        <v>21</v>
      </c>
      <c r="D518" s="1">
        <v>42440</v>
      </c>
      <c r="E518">
        <v>2</v>
      </c>
      <c r="F518" t="s">
        <v>17</v>
      </c>
      <c r="G518" t="s">
        <v>11</v>
      </c>
      <c r="H518" t="s">
        <v>13</v>
      </c>
      <c r="I518" t="s">
        <v>79</v>
      </c>
      <c r="J518" t="s">
        <v>66</v>
      </c>
      <c r="K518">
        <v>27</v>
      </c>
      <c r="L518" t="s">
        <v>12</v>
      </c>
    </row>
    <row r="519" spans="1:12">
      <c r="A519">
        <v>17543</v>
      </c>
      <c r="B519" t="s">
        <v>22</v>
      </c>
      <c r="C519" t="s">
        <v>20</v>
      </c>
      <c r="D519" s="1">
        <v>55205</v>
      </c>
      <c r="E519">
        <v>5</v>
      </c>
      <c r="F519" t="s">
        <v>10</v>
      </c>
      <c r="G519" t="s">
        <v>18</v>
      </c>
      <c r="H519" t="s">
        <v>12</v>
      </c>
      <c r="I519" t="s">
        <v>77</v>
      </c>
      <c r="J519" t="s">
        <v>67</v>
      </c>
      <c r="K519">
        <v>39</v>
      </c>
      <c r="L519" t="s">
        <v>13</v>
      </c>
    </row>
    <row r="520" spans="1:12">
      <c r="A520">
        <v>43496</v>
      </c>
      <c r="B520" t="s">
        <v>21</v>
      </c>
      <c r="C520" t="s">
        <v>21</v>
      </c>
      <c r="D520" s="1">
        <v>100811</v>
      </c>
      <c r="E520">
        <v>0</v>
      </c>
      <c r="F520" t="s">
        <v>17</v>
      </c>
      <c r="G520" t="s">
        <v>11</v>
      </c>
      <c r="H520" t="s">
        <v>12</v>
      </c>
      <c r="I520" t="s">
        <v>81</v>
      </c>
      <c r="J520" t="s">
        <v>60</v>
      </c>
      <c r="K520">
        <v>35</v>
      </c>
      <c r="L520" t="s">
        <v>13</v>
      </c>
    </row>
    <row r="521" spans="1:12">
      <c r="A521">
        <v>70692</v>
      </c>
      <c r="B521" t="s">
        <v>22</v>
      </c>
      <c r="C521" t="s">
        <v>21</v>
      </c>
      <c r="D521" s="1">
        <v>75103</v>
      </c>
      <c r="E521">
        <v>5</v>
      </c>
      <c r="F521" t="s">
        <v>14</v>
      </c>
      <c r="G521" t="s">
        <v>16</v>
      </c>
      <c r="H521" t="s">
        <v>13</v>
      </c>
      <c r="I521" t="s">
        <v>78</v>
      </c>
      <c r="J521" t="s">
        <v>65</v>
      </c>
      <c r="K521">
        <v>40</v>
      </c>
      <c r="L521" t="s">
        <v>12</v>
      </c>
    </row>
    <row r="522" spans="1:12">
      <c r="A522">
        <v>99084</v>
      </c>
      <c r="B522" t="s">
        <v>21</v>
      </c>
      <c r="C522" t="s">
        <v>21</v>
      </c>
      <c r="D522" s="1">
        <v>90812</v>
      </c>
      <c r="E522">
        <v>4</v>
      </c>
      <c r="F522" t="s">
        <v>14</v>
      </c>
      <c r="G522" t="s">
        <v>18</v>
      </c>
      <c r="H522" t="s">
        <v>12</v>
      </c>
      <c r="I522" t="s">
        <v>79</v>
      </c>
      <c r="J522" t="s">
        <v>65</v>
      </c>
      <c r="K522">
        <v>64</v>
      </c>
      <c r="L522" t="s">
        <v>12</v>
      </c>
    </row>
    <row r="523" spans="1:12">
      <c r="A523">
        <v>54425</v>
      </c>
      <c r="B523" t="s">
        <v>22</v>
      </c>
      <c r="C523" t="s">
        <v>20</v>
      </c>
      <c r="D523" s="1">
        <v>61627</v>
      </c>
      <c r="E523">
        <v>2</v>
      </c>
      <c r="F523" t="s">
        <v>19</v>
      </c>
      <c r="G523" t="s">
        <v>16</v>
      </c>
      <c r="H523" t="s">
        <v>12</v>
      </c>
      <c r="I523" t="s">
        <v>80</v>
      </c>
      <c r="J523" t="s">
        <v>69</v>
      </c>
      <c r="K523">
        <v>45</v>
      </c>
      <c r="L523" t="s">
        <v>13</v>
      </c>
    </row>
    <row r="524" spans="1:12">
      <c r="A524">
        <v>48756</v>
      </c>
      <c r="B524" t="s">
        <v>21</v>
      </c>
      <c r="C524" t="s">
        <v>21</v>
      </c>
      <c r="D524" s="1">
        <v>39008</v>
      </c>
      <c r="E524">
        <v>2</v>
      </c>
      <c r="F524" t="s">
        <v>14</v>
      </c>
      <c r="G524" t="s">
        <v>15</v>
      </c>
      <c r="H524" t="s">
        <v>12</v>
      </c>
      <c r="I524" t="s">
        <v>77</v>
      </c>
      <c r="J524" t="s">
        <v>59</v>
      </c>
      <c r="K524">
        <v>42</v>
      </c>
      <c r="L524" t="s">
        <v>13</v>
      </c>
    </row>
    <row r="525" spans="1:12">
      <c r="A525">
        <v>28888</v>
      </c>
      <c r="B525" t="s">
        <v>21</v>
      </c>
      <c r="C525" t="s">
        <v>20</v>
      </c>
      <c r="D525" s="1">
        <v>91274</v>
      </c>
      <c r="E525">
        <v>1</v>
      </c>
      <c r="F525" t="s">
        <v>17</v>
      </c>
      <c r="G525" t="s">
        <v>18</v>
      </c>
      <c r="H525" t="s">
        <v>12</v>
      </c>
      <c r="I525" t="s">
        <v>77</v>
      </c>
      <c r="J525" t="s">
        <v>62</v>
      </c>
      <c r="K525">
        <v>37</v>
      </c>
      <c r="L525" t="s">
        <v>13</v>
      </c>
    </row>
    <row r="526" spans="1:12">
      <c r="A526">
        <v>45735</v>
      </c>
      <c r="B526" t="s">
        <v>22</v>
      </c>
      <c r="C526" t="s">
        <v>21</v>
      </c>
      <c r="D526" s="1">
        <v>52402</v>
      </c>
      <c r="E526">
        <v>0</v>
      </c>
      <c r="F526" t="s">
        <v>14</v>
      </c>
      <c r="G526" t="s">
        <v>16</v>
      </c>
      <c r="H526" t="s">
        <v>12</v>
      </c>
      <c r="I526" t="s">
        <v>79</v>
      </c>
      <c r="J526" t="s">
        <v>60</v>
      </c>
      <c r="K526">
        <v>50</v>
      </c>
      <c r="L526" t="s">
        <v>13</v>
      </c>
    </row>
    <row r="527" spans="1:12">
      <c r="A527">
        <v>57295</v>
      </c>
      <c r="B527" t="s">
        <v>21</v>
      </c>
      <c r="C527" t="s">
        <v>21</v>
      </c>
      <c r="D527" s="1">
        <v>73384</v>
      </c>
      <c r="E527">
        <v>4</v>
      </c>
      <c r="F527" t="s">
        <v>19</v>
      </c>
      <c r="G527" t="s">
        <v>18</v>
      </c>
      <c r="H527" t="s">
        <v>13</v>
      </c>
      <c r="I527" t="s">
        <v>80</v>
      </c>
      <c r="J527" t="s">
        <v>66</v>
      </c>
      <c r="K527">
        <v>61</v>
      </c>
      <c r="L527" t="s">
        <v>13</v>
      </c>
    </row>
    <row r="528" spans="1:12">
      <c r="A528">
        <v>93042</v>
      </c>
      <c r="B528" t="s">
        <v>22</v>
      </c>
      <c r="C528" t="s">
        <v>21</v>
      </c>
      <c r="D528" s="1">
        <v>25793</v>
      </c>
      <c r="E528">
        <v>2</v>
      </c>
      <c r="F528" t="s">
        <v>19</v>
      </c>
      <c r="G528" t="s">
        <v>16</v>
      </c>
      <c r="H528" t="s">
        <v>12</v>
      </c>
      <c r="I528" t="s">
        <v>77</v>
      </c>
      <c r="J528" t="s">
        <v>63</v>
      </c>
      <c r="K528">
        <v>31</v>
      </c>
      <c r="L528" t="s">
        <v>12</v>
      </c>
    </row>
    <row r="529" spans="1:12">
      <c r="A529">
        <v>95999</v>
      </c>
      <c r="B529" t="s">
        <v>22</v>
      </c>
      <c r="C529" t="s">
        <v>21</v>
      </c>
      <c r="D529" s="1">
        <v>25571</v>
      </c>
      <c r="E529">
        <v>2</v>
      </c>
      <c r="F529" t="s">
        <v>17</v>
      </c>
      <c r="G529" t="s">
        <v>18</v>
      </c>
      <c r="H529" t="s">
        <v>12</v>
      </c>
      <c r="I529" t="s">
        <v>78</v>
      </c>
      <c r="J529" t="s">
        <v>65</v>
      </c>
      <c r="K529">
        <v>20</v>
      </c>
      <c r="L529" t="s">
        <v>13</v>
      </c>
    </row>
    <row r="530" spans="1:12">
      <c r="A530">
        <v>27955</v>
      </c>
      <c r="B530" t="s">
        <v>22</v>
      </c>
      <c r="C530" t="s">
        <v>21</v>
      </c>
      <c r="D530" s="1">
        <v>116867</v>
      </c>
      <c r="E530">
        <v>4</v>
      </c>
      <c r="F530" t="s">
        <v>10</v>
      </c>
      <c r="G530" t="s">
        <v>16</v>
      </c>
      <c r="H530" t="s">
        <v>12</v>
      </c>
      <c r="I530" t="s">
        <v>77</v>
      </c>
      <c r="J530" t="s">
        <v>61</v>
      </c>
      <c r="K530">
        <v>61</v>
      </c>
      <c r="L530" t="s">
        <v>12</v>
      </c>
    </row>
    <row r="531" spans="1:12">
      <c r="A531">
        <v>47841</v>
      </c>
      <c r="B531" t="s">
        <v>22</v>
      </c>
      <c r="C531" t="s">
        <v>20</v>
      </c>
      <c r="D531" s="1">
        <v>36209</v>
      </c>
      <c r="E531">
        <v>5</v>
      </c>
      <c r="F531" t="s">
        <v>14</v>
      </c>
      <c r="G531" t="s">
        <v>15</v>
      </c>
      <c r="H531" t="s">
        <v>13</v>
      </c>
      <c r="I531" t="s">
        <v>80</v>
      </c>
      <c r="J531" t="s">
        <v>66</v>
      </c>
      <c r="K531">
        <v>28</v>
      </c>
      <c r="L531" t="s">
        <v>13</v>
      </c>
    </row>
    <row r="532" spans="1:12">
      <c r="A532">
        <v>80640</v>
      </c>
      <c r="B532" t="s">
        <v>22</v>
      </c>
      <c r="C532" t="s">
        <v>20</v>
      </c>
      <c r="D532" s="1">
        <v>110930</v>
      </c>
      <c r="E532">
        <v>5</v>
      </c>
      <c r="F532" t="s">
        <v>19</v>
      </c>
      <c r="G532" t="s">
        <v>18</v>
      </c>
      <c r="H532" t="s">
        <v>13</v>
      </c>
      <c r="I532" t="s">
        <v>81</v>
      </c>
      <c r="J532" t="s">
        <v>70</v>
      </c>
      <c r="K532">
        <v>22</v>
      </c>
      <c r="L532" t="s">
        <v>13</v>
      </c>
    </row>
    <row r="533" spans="1:12">
      <c r="A533">
        <v>75510</v>
      </c>
      <c r="B533" t="s">
        <v>22</v>
      </c>
      <c r="C533" t="s">
        <v>21</v>
      </c>
      <c r="D533" s="1">
        <v>63148</v>
      </c>
      <c r="E533">
        <v>0</v>
      </c>
      <c r="F533" t="s">
        <v>14</v>
      </c>
      <c r="G533" t="s">
        <v>18</v>
      </c>
      <c r="H533" t="s">
        <v>13</v>
      </c>
      <c r="I533" t="s">
        <v>81</v>
      </c>
      <c r="J533" t="s">
        <v>63</v>
      </c>
      <c r="K533">
        <v>45</v>
      </c>
      <c r="L533" t="s">
        <v>13</v>
      </c>
    </row>
    <row r="534" spans="1:12">
      <c r="A534">
        <v>44911</v>
      </c>
      <c r="B534" t="s">
        <v>22</v>
      </c>
      <c r="C534" t="s">
        <v>21</v>
      </c>
      <c r="D534" s="1">
        <v>111218</v>
      </c>
      <c r="E534">
        <v>1</v>
      </c>
      <c r="F534" t="s">
        <v>14</v>
      </c>
      <c r="G534" t="s">
        <v>18</v>
      </c>
      <c r="H534" t="s">
        <v>12</v>
      </c>
      <c r="I534" t="s">
        <v>79</v>
      </c>
      <c r="J534" t="s">
        <v>62</v>
      </c>
      <c r="K534">
        <v>28</v>
      </c>
      <c r="L534" t="s">
        <v>12</v>
      </c>
    </row>
    <row r="535" spans="1:12">
      <c r="A535">
        <v>69031</v>
      </c>
      <c r="B535" t="s">
        <v>22</v>
      </c>
      <c r="C535" t="s">
        <v>21</v>
      </c>
      <c r="D535" s="1">
        <v>22224</v>
      </c>
      <c r="E535">
        <v>2</v>
      </c>
      <c r="F535" t="s">
        <v>10</v>
      </c>
      <c r="G535" t="s">
        <v>18</v>
      </c>
      <c r="H535" t="s">
        <v>13</v>
      </c>
      <c r="I535" t="s">
        <v>80</v>
      </c>
      <c r="J535" t="s">
        <v>62</v>
      </c>
      <c r="K535">
        <v>61</v>
      </c>
      <c r="L535" t="s">
        <v>12</v>
      </c>
    </row>
    <row r="536" spans="1:12">
      <c r="A536">
        <v>98726</v>
      </c>
      <c r="B536" t="s">
        <v>21</v>
      </c>
      <c r="C536" t="s">
        <v>21</v>
      </c>
      <c r="D536" s="1">
        <v>68695</v>
      </c>
      <c r="E536">
        <v>1</v>
      </c>
      <c r="F536" t="s">
        <v>19</v>
      </c>
      <c r="G536" t="s">
        <v>15</v>
      </c>
      <c r="H536" t="s">
        <v>13</v>
      </c>
      <c r="I536" t="s">
        <v>77</v>
      </c>
      <c r="J536" t="s">
        <v>64</v>
      </c>
      <c r="K536">
        <v>35</v>
      </c>
      <c r="L536" t="s">
        <v>13</v>
      </c>
    </row>
    <row r="537" spans="1:12">
      <c r="A537">
        <v>17357</v>
      </c>
      <c r="B537" t="s">
        <v>21</v>
      </c>
      <c r="C537" t="s">
        <v>20</v>
      </c>
      <c r="D537" s="1">
        <v>52441</v>
      </c>
      <c r="E537">
        <v>5</v>
      </c>
      <c r="F537" t="s">
        <v>14</v>
      </c>
      <c r="G537" t="s">
        <v>18</v>
      </c>
      <c r="H537" t="s">
        <v>13</v>
      </c>
      <c r="I537" t="s">
        <v>77</v>
      </c>
      <c r="J537" t="s">
        <v>73</v>
      </c>
      <c r="K537">
        <v>43</v>
      </c>
      <c r="L537" t="s">
        <v>13</v>
      </c>
    </row>
    <row r="538" spans="1:12">
      <c r="A538">
        <v>42479</v>
      </c>
      <c r="B538" t="s">
        <v>22</v>
      </c>
      <c r="C538" t="s">
        <v>21</v>
      </c>
      <c r="D538" s="1">
        <v>59129</v>
      </c>
      <c r="E538">
        <v>5</v>
      </c>
      <c r="F538" t="s">
        <v>19</v>
      </c>
      <c r="G538" t="s">
        <v>11</v>
      </c>
      <c r="H538" t="s">
        <v>13</v>
      </c>
      <c r="I538" t="s">
        <v>81</v>
      </c>
      <c r="J538" t="s">
        <v>63</v>
      </c>
      <c r="K538">
        <v>69</v>
      </c>
      <c r="L538" t="s">
        <v>13</v>
      </c>
    </row>
    <row r="539" spans="1:12">
      <c r="A539">
        <v>71476</v>
      </c>
      <c r="B539" t="s">
        <v>21</v>
      </c>
      <c r="C539" t="s">
        <v>20</v>
      </c>
      <c r="D539" s="1">
        <v>82368</v>
      </c>
      <c r="E539">
        <v>3</v>
      </c>
      <c r="F539" t="s">
        <v>17</v>
      </c>
      <c r="G539" t="s">
        <v>15</v>
      </c>
      <c r="H539" t="s">
        <v>12</v>
      </c>
      <c r="I539" t="s">
        <v>81</v>
      </c>
      <c r="J539" t="s">
        <v>67</v>
      </c>
      <c r="K539">
        <v>33</v>
      </c>
      <c r="L539" t="s">
        <v>13</v>
      </c>
    </row>
    <row r="540" spans="1:12">
      <c r="A540">
        <v>54811</v>
      </c>
      <c r="B540" t="s">
        <v>21</v>
      </c>
      <c r="C540" t="s">
        <v>21</v>
      </c>
      <c r="D540" s="1">
        <v>112122</v>
      </c>
      <c r="E540">
        <v>0</v>
      </c>
      <c r="F540" t="s">
        <v>17</v>
      </c>
      <c r="G540" t="s">
        <v>11</v>
      </c>
      <c r="H540" t="s">
        <v>13</v>
      </c>
      <c r="I540" t="s">
        <v>78</v>
      </c>
      <c r="J540" t="s">
        <v>60</v>
      </c>
      <c r="K540">
        <v>22</v>
      </c>
      <c r="L540" t="s">
        <v>13</v>
      </c>
    </row>
    <row r="541" spans="1:12">
      <c r="A541">
        <v>46208</v>
      </c>
      <c r="B541" t="s">
        <v>21</v>
      </c>
      <c r="C541" t="s">
        <v>20</v>
      </c>
      <c r="D541" s="1">
        <v>64760</v>
      </c>
      <c r="E541">
        <v>3</v>
      </c>
      <c r="F541" t="s">
        <v>14</v>
      </c>
      <c r="G541" t="s">
        <v>18</v>
      </c>
      <c r="H541" t="s">
        <v>13</v>
      </c>
      <c r="I541" t="s">
        <v>81</v>
      </c>
      <c r="J541" t="s">
        <v>67</v>
      </c>
      <c r="K541">
        <v>53</v>
      </c>
      <c r="L541" t="s">
        <v>12</v>
      </c>
    </row>
    <row r="542" spans="1:12">
      <c r="A542">
        <v>30150</v>
      </c>
      <c r="B542" t="s">
        <v>21</v>
      </c>
      <c r="C542" t="s">
        <v>21</v>
      </c>
      <c r="D542" s="1">
        <v>43478</v>
      </c>
      <c r="E542">
        <v>3</v>
      </c>
      <c r="F542" t="s">
        <v>19</v>
      </c>
      <c r="G542" t="s">
        <v>16</v>
      </c>
      <c r="H542" t="s">
        <v>12</v>
      </c>
      <c r="I542" t="s">
        <v>78</v>
      </c>
      <c r="J542" t="s">
        <v>59</v>
      </c>
      <c r="K542">
        <v>52</v>
      </c>
      <c r="L542" t="s">
        <v>12</v>
      </c>
    </row>
    <row r="543" spans="1:12">
      <c r="A543">
        <v>81180</v>
      </c>
      <c r="B543" t="s">
        <v>22</v>
      </c>
      <c r="C543" t="s">
        <v>21</v>
      </c>
      <c r="D543" s="1">
        <v>91854</v>
      </c>
      <c r="E543">
        <v>3</v>
      </c>
      <c r="F543" t="s">
        <v>14</v>
      </c>
      <c r="G543" t="s">
        <v>11</v>
      </c>
      <c r="H543" t="s">
        <v>12</v>
      </c>
      <c r="I543" t="s">
        <v>77</v>
      </c>
      <c r="J543" t="s">
        <v>64</v>
      </c>
      <c r="K543">
        <v>69</v>
      </c>
      <c r="L543" t="s">
        <v>12</v>
      </c>
    </row>
    <row r="544" spans="1:12">
      <c r="A544">
        <v>53286</v>
      </c>
      <c r="B544" t="s">
        <v>22</v>
      </c>
      <c r="C544" t="s">
        <v>20</v>
      </c>
      <c r="D544" s="1">
        <v>114230</v>
      </c>
      <c r="E544">
        <v>0</v>
      </c>
      <c r="F544" t="s">
        <v>19</v>
      </c>
      <c r="G544" t="s">
        <v>18</v>
      </c>
      <c r="H544" t="s">
        <v>13</v>
      </c>
      <c r="I544" t="s">
        <v>78</v>
      </c>
      <c r="J544" t="s">
        <v>72</v>
      </c>
      <c r="K544">
        <v>43</v>
      </c>
      <c r="L544" t="s">
        <v>13</v>
      </c>
    </row>
    <row r="545" spans="1:12">
      <c r="A545">
        <v>78450</v>
      </c>
      <c r="B545" t="s">
        <v>21</v>
      </c>
      <c r="C545" t="s">
        <v>21</v>
      </c>
      <c r="D545" s="1">
        <v>105716</v>
      </c>
      <c r="E545">
        <v>0</v>
      </c>
      <c r="F545" t="s">
        <v>19</v>
      </c>
      <c r="G545" t="s">
        <v>11</v>
      </c>
      <c r="H545" t="s">
        <v>12</v>
      </c>
      <c r="I545" t="s">
        <v>78</v>
      </c>
      <c r="J545" t="s">
        <v>65</v>
      </c>
      <c r="K545">
        <v>28</v>
      </c>
      <c r="L545" t="s">
        <v>13</v>
      </c>
    </row>
    <row r="546" spans="1:12">
      <c r="A546">
        <v>31352</v>
      </c>
      <c r="B546" t="s">
        <v>21</v>
      </c>
      <c r="C546" t="s">
        <v>21</v>
      </c>
      <c r="D546" s="1">
        <v>32180</v>
      </c>
      <c r="E546">
        <v>4</v>
      </c>
      <c r="F546" t="s">
        <v>10</v>
      </c>
      <c r="G546" t="s">
        <v>18</v>
      </c>
      <c r="H546" t="s">
        <v>13</v>
      </c>
      <c r="I546" t="s">
        <v>79</v>
      </c>
      <c r="J546" t="s">
        <v>70</v>
      </c>
      <c r="K546">
        <v>32</v>
      </c>
      <c r="L546" t="s">
        <v>13</v>
      </c>
    </row>
    <row r="547" spans="1:12">
      <c r="A547">
        <v>65069</v>
      </c>
      <c r="B547" t="s">
        <v>22</v>
      </c>
      <c r="C547" t="s">
        <v>21</v>
      </c>
      <c r="D547" s="1">
        <v>118538</v>
      </c>
      <c r="E547">
        <v>1</v>
      </c>
      <c r="F547" t="s">
        <v>10</v>
      </c>
      <c r="G547" t="s">
        <v>18</v>
      </c>
      <c r="H547" t="s">
        <v>12</v>
      </c>
      <c r="I547" t="s">
        <v>81</v>
      </c>
      <c r="J547" t="s">
        <v>62</v>
      </c>
      <c r="K547">
        <v>21</v>
      </c>
      <c r="L547" t="s">
        <v>12</v>
      </c>
    </row>
    <row r="548" spans="1:12">
      <c r="A548">
        <v>24397</v>
      </c>
      <c r="B548" t="s">
        <v>21</v>
      </c>
      <c r="C548" t="s">
        <v>20</v>
      </c>
      <c r="D548" s="1">
        <v>35372</v>
      </c>
      <c r="E548">
        <v>1</v>
      </c>
      <c r="F548" t="s">
        <v>10</v>
      </c>
      <c r="G548" t="s">
        <v>18</v>
      </c>
      <c r="H548" t="s">
        <v>12</v>
      </c>
      <c r="I548" t="s">
        <v>78</v>
      </c>
      <c r="J548" t="s">
        <v>69</v>
      </c>
      <c r="K548">
        <v>26</v>
      </c>
      <c r="L548" t="s">
        <v>12</v>
      </c>
    </row>
    <row r="549" spans="1:12">
      <c r="A549">
        <v>51555</v>
      </c>
      <c r="B549" t="s">
        <v>22</v>
      </c>
      <c r="C549" t="s">
        <v>21</v>
      </c>
      <c r="D549" s="1">
        <v>49796</v>
      </c>
      <c r="E549">
        <v>4</v>
      </c>
      <c r="F549" t="s">
        <v>14</v>
      </c>
      <c r="G549" t="s">
        <v>16</v>
      </c>
      <c r="H549" t="s">
        <v>13</v>
      </c>
      <c r="I549" t="s">
        <v>77</v>
      </c>
      <c r="J549" t="s">
        <v>73</v>
      </c>
      <c r="K549">
        <v>67</v>
      </c>
      <c r="L549" t="s">
        <v>12</v>
      </c>
    </row>
    <row r="550" spans="1:12">
      <c r="A550">
        <v>56959</v>
      </c>
      <c r="B550" t="s">
        <v>21</v>
      </c>
      <c r="C550" t="s">
        <v>21</v>
      </c>
      <c r="D550" s="1">
        <v>78272</v>
      </c>
      <c r="E550">
        <v>4</v>
      </c>
      <c r="F550" t="s">
        <v>10</v>
      </c>
      <c r="G550" t="s">
        <v>11</v>
      </c>
      <c r="H550" t="s">
        <v>12</v>
      </c>
      <c r="I550" t="s">
        <v>80</v>
      </c>
      <c r="J550" t="s">
        <v>61</v>
      </c>
      <c r="K550">
        <v>40</v>
      </c>
      <c r="L550" t="s">
        <v>13</v>
      </c>
    </row>
    <row r="551" spans="1:12">
      <c r="A551">
        <v>10728</v>
      </c>
      <c r="B551" t="s">
        <v>21</v>
      </c>
      <c r="C551" t="s">
        <v>20</v>
      </c>
      <c r="D551" s="1">
        <v>109963</v>
      </c>
      <c r="E551">
        <v>5</v>
      </c>
      <c r="F551" t="s">
        <v>10</v>
      </c>
      <c r="G551" t="s">
        <v>15</v>
      </c>
      <c r="H551" t="s">
        <v>13</v>
      </c>
      <c r="I551" t="s">
        <v>78</v>
      </c>
      <c r="J551" t="s">
        <v>66</v>
      </c>
      <c r="K551">
        <v>38</v>
      </c>
      <c r="L551" t="s">
        <v>12</v>
      </c>
    </row>
    <row r="552" spans="1:12">
      <c r="A552">
        <v>60517</v>
      </c>
      <c r="B552" t="s">
        <v>22</v>
      </c>
      <c r="C552" t="s">
        <v>20</v>
      </c>
      <c r="D552" s="1">
        <v>118826</v>
      </c>
      <c r="E552">
        <v>3</v>
      </c>
      <c r="F552" t="s">
        <v>17</v>
      </c>
      <c r="G552" t="s">
        <v>15</v>
      </c>
      <c r="H552" t="s">
        <v>12</v>
      </c>
      <c r="I552" t="s">
        <v>81</v>
      </c>
      <c r="J552" t="s">
        <v>66</v>
      </c>
      <c r="K552">
        <v>44</v>
      </c>
      <c r="L552" t="s">
        <v>12</v>
      </c>
    </row>
    <row r="553" spans="1:12">
      <c r="A553">
        <v>76234</v>
      </c>
      <c r="B553" t="s">
        <v>21</v>
      </c>
      <c r="C553" t="s">
        <v>20</v>
      </c>
      <c r="D553" s="1">
        <v>113635</v>
      </c>
      <c r="E553">
        <v>4</v>
      </c>
      <c r="F553" t="s">
        <v>19</v>
      </c>
      <c r="G553" t="s">
        <v>15</v>
      </c>
      <c r="H553" t="s">
        <v>13</v>
      </c>
      <c r="I553" t="s">
        <v>79</v>
      </c>
      <c r="J553" t="s">
        <v>68</v>
      </c>
      <c r="K553">
        <v>66</v>
      </c>
      <c r="L553" t="s">
        <v>12</v>
      </c>
    </row>
    <row r="554" spans="1:12">
      <c r="A554">
        <v>49954</v>
      </c>
      <c r="B554" t="s">
        <v>22</v>
      </c>
      <c r="C554" t="s">
        <v>21</v>
      </c>
      <c r="D554" s="1">
        <v>74040</v>
      </c>
      <c r="E554">
        <v>2</v>
      </c>
      <c r="F554" t="s">
        <v>19</v>
      </c>
      <c r="G554" t="s">
        <v>15</v>
      </c>
      <c r="H554" t="s">
        <v>12</v>
      </c>
      <c r="I554" t="s">
        <v>77</v>
      </c>
      <c r="J554" t="s">
        <v>60</v>
      </c>
      <c r="K554">
        <v>41</v>
      </c>
      <c r="L554" t="s">
        <v>13</v>
      </c>
    </row>
    <row r="555" spans="1:12">
      <c r="A555">
        <v>57280</v>
      </c>
      <c r="B555" t="s">
        <v>22</v>
      </c>
      <c r="C555" t="s">
        <v>21</v>
      </c>
      <c r="D555" s="1">
        <v>95357</v>
      </c>
      <c r="E555">
        <v>1</v>
      </c>
      <c r="F555" t="s">
        <v>10</v>
      </c>
      <c r="G555" t="s">
        <v>18</v>
      </c>
      <c r="H555" t="s">
        <v>12</v>
      </c>
      <c r="I555" t="s">
        <v>79</v>
      </c>
      <c r="J555" t="s">
        <v>70</v>
      </c>
      <c r="K555">
        <v>30</v>
      </c>
      <c r="L555" t="s">
        <v>12</v>
      </c>
    </row>
    <row r="556" spans="1:12">
      <c r="A556">
        <v>89459</v>
      </c>
      <c r="B556" t="s">
        <v>21</v>
      </c>
      <c r="C556" t="s">
        <v>21</v>
      </c>
      <c r="D556" s="1">
        <v>91368</v>
      </c>
      <c r="E556">
        <v>4</v>
      </c>
      <c r="F556" t="s">
        <v>19</v>
      </c>
      <c r="G556" t="s">
        <v>11</v>
      </c>
      <c r="H556" t="s">
        <v>12</v>
      </c>
      <c r="I556" t="s">
        <v>80</v>
      </c>
      <c r="J556" t="s">
        <v>74</v>
      </c>
      <c r="K556">
        <v>52</v>
      </c>
      <c r="L556" t="s">
        <v>13</v>
      </c>
    </row>
    <row r="557" spans="1:12">
      <c r="A557">
        <v>26779</v>
      </c>
      <c r="B557" t="s">
        <v>22</v>
      </c>
      <c r="C557" t="s">
        <v>20</v>
      </c>
      <c r="D557" s="1">
        <v>98356</v>
      </c>
      <c r="E557">
        <v>2</v>
      </c>
      <c r="F557" t="s">
        <v>17</v>
      </c>
      <c r="G557" t="s">
        <v>11</v>
      </c>
      <c r="H557" t="s">
        <v>12</v>
      </c>
      <c r="I557" t="s">
        <v>78</v>
      </c>
      <c r="J557" t="s">
        <v>70</v>
      </c>
      <c r="K557">
        <v>51</v>
      </c>
      <c r="L557" t="s">
        <v>13</v>
      </c>
    </row>
    <row r="558" spans="1:12">
      <c r="A558">
        <v>73932</v>
      </c>
      <c r="B558" t="s">
        <v>22</v>
      </c>
      <c r="C558" t="s">
        <v>21</v>
      </c>
      <c r="D558" s="1">
        <v>36211</v>
      </c>
      <c r="E558">
        <v>2</v>
      </c>
      <c r="F558" t="s">
        <v>17</v>
      </c>
      <c r="G558" t="s">
        <v>16</v>
      </c>
      <c r="H558" t="s">
        <v>12</v>
      </c>
      <c r="I558" t="s">
        <v>78</v>
      </c>
      <c r="J558" t="s">
        <v>69</v>
      </c>
      <c r="K558">
        <v>40</v>
      </c>
      <c r="L558" t="s">
        <v>13</v>
      </c>
    </row>
    <row r="559" spans="1:12">
      <c r="A559">
        <v>82936</v>
      </c>
      <c r="B559" t="s">
        <v>21</v>
      </c>
      <c r="C559" t="s">
        <v>21</v>
      </c>
      <c r="D559" s="1">
        <v>25842</v>
      </c>
      <c r="E559">
        <v>2</v>
      </c>
      <c r="F559" t="s">
        <v>10</v>
      </c>
      <c r="G559" t="s">
        <v>11</v>
      </c>
      <c r="H559" t="s">
        <v>13</v>
      </c>
      <c r="I559" t="s">
        <v>81</v>
      </c>
      <c r="J559" t="s">
        <v>64</v>
      </c>
      <c r="K559">
        <v>58</v>
      </c>
      <c r="L559" t="s">
        <v>13</v>
      </c>
    </row>
    <row r="560" spans="1:12">
      <c r="A560">
        <v>34466</v>
      </c>
      <c r="B560" t="s">
        <v>22</v>
      </c>
      <c r="C560" t="s">
        <v>20</v>
      </c>
      <c r="D560" s="1">
        <v>83115</v>
      </c>
      <c r="E560">
        <v>5</v>
      </c>
      <c r="F560" t="s">
        <v>17</v>
      </c>
      <c r="G560" t="s">
        <v>11</v>
      </c>
      <c r="H560" t="s">
        <v>12</v>
      </c>
      <c r="I560" t="s">
        <v>78</v>
      </c>
      <c r="J560" t="s">
        <v>73</v>
      </c>
      <c r="K560">
        <v>39</v>
      </c>
      <c r="L560" t="s">
        <v>12</v>
      </c>
    </row>
    <row r="561" spans="1:12">
      <c r="A561">
        <v>46939</v>
      </c>
      <c r="B561" t="s">
        <v>22</v>
      </c>
      <c r="C561" t="s">
        <v>20</v>
      </c>
      <c r="D561" s="1">
        <v>86852</v>
      </c>
      <c r="E561">
        <v>5</v>
      </c>
      <c r="F561" t="s">
        <v>19</v>
      </c>
      <c r="G561" t="s">
        <v>11</v>
      </c>
      <c r="H561" t="s">
        <v>13</v>
      </c>
      <c r="I561" t="s">
        <v>77</v>
      </c>
      <c r="J561" t="s">
        <v>70</v>
      </c>
      <c r="K561">
        <v>27</v>
      </c>
      <c r="L561" t="s">
        <v>12</v>
      </c>
    </row>
    <row r="562" spans="1:12">
      <c r="A562">
        <v>79896</v>
      </c>
      <c r="B562" t="s">
        <v>22</v>
      </c>
      <c r="C562" t="s">
        <v>20</v>
      </c>
      <c r="D562" s="1">
        <v>65968</v>
      </c>
      <c r="E562">
        <v>2</v>
      </c>
      <c r="F562" t="s">
        <v>14</v>
      </c>
      <c r="G562" t="s">
        <v>16</v>
      </c>
      <c r="H562" t="s">
        <v>13</v>
      </c>
      <c r="I562" t="s">
        <v>80</v>
      </c>
      <c r="J562" t="s">
        <v>65</v>
      </c>
      <c r="K562">
        <v>61</v>
      </c>
      <c r="L562" t="s">
        <v>13</v>
      </c>
    </row>
    <row r="563" spans="1:12">
      <c r="A563">
        <v>45270</v>
      </c>
      <c r="B563" t="s">
        <v>22</v>
      </c>
      <c r="C563" t="s">
        <v>20</v>
      </c>
      <c r="D563" s="1">
        <v>37508</v>
      </c>
      <c r="E563">
        <v>5</v>
      </c>
      <c r="F563" t="s">
        <v>19</v>
      </c>
      <c r="G563" t="s">
        <v>15</v>
      </c>
      <c r="H563" t="s">
        <v>13</v>
      </c>
      <c r="I563" t="s">
        <v>79</v>
      </c>
      <c r="J563" t="s">
        <v>59</v>
      </c>
      <c r="K563">
        <v>56</v>
      </c>
      <c r="L563" t="s">
        <v>13</v>
      </c>
    </row>
    <row r="564" spans="1:12">
      <c r="A564">
        <v>69163</v>
      </c>
      <c r="B564" t="s">
        <v>21</v>
      </c>
      <c r="C564" t="s">
        <v>20</v>
      </c>
      <c r="D564" s="1">
        <v>42005</v>
      </c>
      <c r="E564">
        <v>3</v>
      </c>
      <c r="F564" t="s">
        <v>14</v>
      </c>
      <c r="G564" t="s">
        <v>11</v>
      </c>
      <c r="H564" t="s">
        <v>12</v>
      </c>
      <c r="I564" t="s">
        <v>80</v>
      </c>
      <c r="J564" t="s">
        <v>68</v>
      </c>
      <c r="K564">
        <v>28</v>
      </c>
      <c r="L564" t="s">
        <v>13</v>
      </c>
    </row>
    <row r="565" spans="1:12">
      <c r="A565">
        <v>92637</v>
      </c>
      <c r="B565" t="s">
        <v>22</v>
      </c>
      <c r="C565" t="s">
        <v>21</v>
      </c>
      <c r="D565" s="1">
        <v>74575</v>
      </c>
      <c r="E565">
        <v>2</v>
      </c>
      <c r="F565" t="s">
        <v>10</v>
      </c>
      <c r="G565" t="s">
        <v>16</v>
      </c>
      <c r="H565" t="s">
        <v>13</v>
      </c>
      <c r="I565" t="s">
        <v>78</v>
      </c>
      <c r="J565" t="s">
        <v>64</v>
      </c>
      <c r="K565">
        <v>44</v>
      </c>
      <c r="L565" t="s">
        <v>13</v>
      </c>
    </row>
    <row r="566" spans="1:12">
      <c r="A566">
        <v>61934</v>
      </c>
      <c r="B566" t="s">
        <v>22</v>
      </c>
      <c r="C566" t="s">
        <v>20</v>
      </c>
      <c r="D566" s="1">
        <v>100742</v>
      </c>
      <c r="E566">
        <v>3</v>
      </c>
      <c r="F566" t="s">
        <v>14</v>
      </c>
      <c r="G566" t="s">
        <v>16</v>
      </c>
      <c r="H566" t="s">
        <v>12</v>
      </c>
      <c r="I566" t="s">
        <v>79</v>
      </c>
      <c r="J566" t="s">
        <v>72</v>
      </c>
      <c r="K566">
        <v>44</v>
      </c>
      <c r="L566" t="s">
        <v>12</v>
      </c>
    </row>
    <row r="567" spans="1:12">
      <c r="A567">
        <v>74895</v>
      </c>
      <c r="B567" t="s">
        <v>22</v>
      </c>
      <c r="C567" t="s">
        <v>21</v>
      </c>
      <c r="D567" s="1">
        <v>38971</v>
      </c>
      <c r="E567">
        <v>3</v>
      </c>
      <c r="F567" t="s">
        <v>17</v>
      </c>
      <c r="G567" t="s">
        <v>18</v>
      </c>
      <c r="H567" t="s">
        <v>13</v>
      </c>
      <c r="I567" t="s">
        <v>81</v>
      </c>
      <c r="J567" t="s">
        <v>60</v>
      </c>
      <c r="K567">
        <v>52</v>
      </c>
      <c r="L567" t="s">
        <v>12</v>
      </c>
    </row>
    <row r="568" spans="1:12">
      <c r="A568">
        <v>42307</v>
      </c>
      <c r="B568" t="s">
        <v>22</v>
      </c>
      <c r="C568" t="s">
        <v>21</v>
      </c>
      <c r="D568" s="1">
        <v>45599</v>
      </c>
      <c r="E568">
        <v>2</v>
      </c>
      <c r="F568" t="s">
        <v>19</v>
      </c>
      <c r="G568" t="s">
        <v>16</v>
      </c>
      <c r="H568" t="s">
        <v>13</v>
      </c>
      <c r="I568" t="s">
        <v>80</v>
      </c>
      <c r="J568" t="s">
        <v>68</v>
      </c>
      <c r="K568">
        <v>21</v>
      </c>
      <c r="L568" t="s">
        <v>13</v>
      </c>
    </row>
    <row r="569" spans="1:12">
      <c r="A569">
        <v>64098</v>
      </c>
      <c r="B569" t="s">
        <v>22</v>
      </c>
      <c r="C569" t="s">
        <v>20</v>
      </c>
      <c r="D569" s="1">
        <v>107592</v>
      </c>
      <c r="E569">
        <v>1</v>
      </c>
      <c r="F569" t="s">
        <v>14</v>
      </c>
      <c r="G569" t="s">
        <v>15</v>
      </c>
      <c r="H569" t="s">
        <v>13</v>
      </c>
      <c r="I569" t="s">
        <v>79</v>
      </c>
      <c r="J569" t="s">
        <v>69</v>
      </c>
      <c r="K569">
        <v>38</v>
      </c>
      <c r="L569" t="s">
        <v>12</v>
      </c>
    </row>
    <row r="570" spans="1:12">
      <c r="A570">
        <v>70921</v>
      </c>
      <c r="B570" t="s">
        <v>21</v>
      </c>
      <c r="C570" t="s">
        <v>20</v>
      </c>
      <c r="D570" s="1">
        <v>86914</v>
      </c>
      <c r="E570">
        <v>2</v>
      </c>
      <c r="F570" t="s">
        <v>19</v>
      </c>
      <c r="G570" t="s">
        <v>11</v>
      </c>
      <c r="H570" t="s">
        <v>13</v>
      </c>
      <c r="I570" t="s">
        <v>79</v>
      </c>
      <c r="J570" t="s">
        <v>60</v>
      </c>
      <c r="K570">
        <v>65</v>
      </c>
      <c r="L570" t="s">
        <v>12</v>
      </c>
    </row>
    <row r="571" spans="1:12">
      <c r="A571">
        <v>15486</v>
      </c>
      <c r="B571" t="s">
        <v>22</v>
      </c>
      <c r="C571" t="s">
        <v>20</v>
      </c>
      <c r="D571" s="1">
        <v>87055</v>
      </c>
      <c r="E571">
        <v>2</v>
      </c>
      <c r="F571" t="s">
        <v>10</v>
      </c>
      <c r="G571" t="s">
        <v>16</v>
      </c>
      <c r="H571" t="s">
        <v>13</v>
      </c>
      <c r="I571" t="s">
        <v>79</v>
      </c>
      <c r="J571" t="s">
        <v>61</v>
      </c>
      <c r="K571">
        <v>39</v>
      </c>
      <c r="L571" t="s">
        <v>13</v>
      </c>
    </row>
    <row r="572" spans="1:12">
      <c r="A572">
        <v>18335</v>
      </c>
      <c r="B572" t="s">
        <v>22</v>
      </c>
      <c r="C572" t="s">
        <v>21</v>
      </c>
      <c r="D572" s="1">
        <v>107697</v>
      </c>
      <c r="E572">
        <v>5</v>
      </c>
      <c r="F572" t="s">
        <v>10</v>
      </c>
      <c r="G572" t="s">
        <v>15</v>
      </c>
      <c r="H572" t="s">
        <v>12</v>
      </c>
      <c r="I572" t="s">
        <v>77</v>
      </c>
      <c r="J572" t="s">
        <v>63</v>
      </c>
      <c r="K572">
        <v>61</v>
      </c>
      <c r="L572" t="s">
        <v>12</v>
      </c>
    </row>
    <row r="573" spans="1:12">
      <c r="A573">
        <v>96900</v>
      </c>
      <c r="B573" t="s">
        <v>22</v>
      </c>
      <c r="C573" t="s">
        <v>20</v>
      </c>
      <c r="D573" s="1">
        <v>25355</v>
      </c>
      <c r="E573">
        <v>2</v>
      </c>
      <c r="F573" t="s">
        <v>17</v>
      </c>
      <c r="G573" t="s">
        <v>16</v>
      </c>
      <c r="H573" t="s">
        <v>13</v>
      </c>
      <c r="I573" t="s">
        <v>80</v>
      </c>
      <c r="J573" t="s">
        <v>73</v>
      </c>
      <c r="K573">
        <v>60</v>
      </c>
      <c r="L573" t="s">
        <v>12</v>
      </c>
    </row>
    <row r="574" spans="1:12">
      <c r="A574">
        <v>99112</v>
      </c>
      <c r="B574" t="s">
        <v>22</v>
      </c>
      <c r="C574" t="s">
        <v>20</v>
      </c>
      <c r="D574" s="1">
        <v>74120</v>
      </c>
      <c r="E574">
        <v>1</v>
      </c>
      <c r="F574" t="s">
        <v>10</v>
      </c>
      <c r="G574" t="s">
        <v>16</v>
      </c>
      <c r="H574" t="s">
        <v>13</v>
      </c>
      <c r="I574" t="s">
        <v>79</v>
      </c>
      <c r="J574" t="s">
        <v>68</v>
      </c>
      <c r="K574">
        <v>61</v>
      </c>
      <c r="L574" t="s">
        <v>13</v>
      </c>
    </row>
    <row r="575" spans="1:12">
      <c r="A575">
        <v>21130</v>
      </c>
      <c r="B575" t="s">
        <v>21</v>
      </c>
      <c r="C575" t="s">
        <v>20</v>
      </c>
      <c r="D575" s="1">
        <v>94619</v>
      </c>
      <c r="E575">
        <v>5</v>
      </c>
      <c r="F575" t="s">
        <v>14</v>
      </c>
      <c r="G575" t="s">
        <v>16</v>
      </c>
      <c r="H575" t="s">
        <v>12</v>
      </c>
      <c r="I575" t="s">
        <v>80</v>
      </c>
      <c r="J575" t="s">
        <v>70</v>
      </c>
      <c r="K575">
        <v>48</v>
      </c>
      <c r="L575" t="s">
        <v>13</v>
      </c>
    </row>
    <row r="576" spans="1:12">
      <c r="A576">
        <v>97508</v>
      </c>
      <c r="B576" t="s">
        <v>21</v>
      </c>
      <c r="C576" t="s">
        <v>20</v>
      </c>
      <c r="D576" s="1">
        <v>58342</v>
      </c>
      <c r="E576">
        <v>0</v>
      </c>
      <c r="F576" t="s">
        <v>10</v>
      </c>
      <c r="G576" t="s">
        <v>16</v>
      </c>
      <c r="H576" t="s">
        <v>12</v>
      </c>
      <c r="I576" t="s">
        <v>79</v>
      </c>
      <c r="J576" t="s">
        <v>59</v>
      </c>
      <c r="K576">
        <v>25</v>
      </c>
      <c r="L576" t="s">
        <v>12</v>
      </c>
    </row>
    <row r="577" spans="1:12">
      <c r="A577">
        <v>70566</v>
      </c>
      <c r="B577" t="s">
        <v>21</v>
      </c>
      <c r="C577" t="s">
        <v>20</v>
      </c>
      <c r="D577" s="1">
        <v>105992</v>
      </c>
      <c r="E577">
        <v>0</v>
      </c>
      <c r="F577" t="s">
        <v>17</v>
      </c>
      <c r="G577" t="s">
        <v>16</v>
      </c>
      <c r="H577" t="s">
        <v>12</v>
      </c>
      <c r="I577" t="s">
        <v>81</v>
      </c>
      <c r="J577" t="s">
        <v>63</v>
      </c>
      <c r="K577">
        <v>36</v>
      </c>
      <c r="L577" t="s">
        <v>13</v>
      </c>
    </row>
    <row r="578" spans="1:12">
      <c r="A578">
        <v>76703</v>
      </c>
      <c r="B578" t="s">
        <v>21</v>
      </c>
      <c r="C578" t="s">
        <v>21</v>
      </c>
      <c r="D578" s="1">
        <v>98860</v>
      </c>
      <c r="E578">
        <v>3</v>
      </c>
      <c r="F578" t="s">
        <v>19</v>
      </c>
      <c r="G578" t="s">
        <v>15</v>
      </c>
      <c r="H578" t="s">
        <v>13</v>
      </c>
      <c r="I578" t="s">
        <v>81</v>
      </c>
      <c r="J578" t="s">
        <v>59</v>
      </c>
      <c r="K578">
        <v>44</v>
      </c>
      <c r="L578" t="s">
        <v>13</v>
      </c>
    </row>
    <row r="579" spans="1:12">
      <c r="A579">
        <v>37192</v>
      </c>
      <c r="B579" t="s">
        <v>22</v>
      </c>
      <c r="C579" t="s">
        <v>21</v>
      </c>
      <c r="D579" s="1">
        <v>22257</v>
      </c>
      <c r="E579">
        <v>3</v>
      </c>
      <c r="F579" t="s">
        <v>19</v>
      </c>
      <c r="G579" t="s">
        <v>11</v>
      </c>
      <c r="H579" t="s">
        <v>13</v>
      </c>
      <c r="I579" t="s">
        <v>81</v>
      </c>
      <c r="J579" t="s">
        <v>63</v>
      </c>
      <c r="K579">
        <v>57</v>
      </c>
      <c r="L579" t="s">
        <v>12</v>
      </c>
    </row>
    <row r="580" spans="1:12">
      <c r="A580">
        <v>11062</v>
      </c>
      <c r="B580" t="s">
        <v>22</v>
      </c>
      <c r="C580" t="s">
        <v>21</v>
      </c>
      <c r="D580" s="1">
        <v>47364</v>
      </c>
      <c r="E580">
        <v>1</v>
      </c>
      <c r="F580" t="s">
        <v>10</v>
      </c>
      <c r="G580" t="s">
        <v>11</v>
      </c>
      <c r="H580" t="s">
        <v>13</v>
      </c>
      <c r="I580" t="s">
        <v>78</v>
      </c>
      <c r="J580" t="s">
        <v>63</v>
      </c>
      <c r="K580">
        <v>23</v>
      </c>
      <c r="L580" t="s">
        <v>12</v>
      </c>
    </row>
    <row r="581" spans="1:12">
      <c r="A581">
        <v>94076</v>
      </c>
      <c r="B581" t="s">
        <v>22</v>
      </c>
      <c r="C581" t="s">
        <v>20</v>
      </c>
      <c r="D581" s="1">
        <v>44972</v>
      </c>
      <c r="E581">
        <v>4</v>
      </c>
      <c r="F581" t="s">
        <v>14</v>
      </c>
      <c r="G581" t="s">
        <v>11</v>
      </c>
      <c r="H581" t="s">
        <v>13</v>
      </c>
      <c r="I581" t="s">
        <v>79</v>
      </c>
      <c r="J581" t="s">
        <v>66</v>
      </c>
      <c r="K581">
        <v>49</v>
      </c>
      <c r="L581" t="s">
        <v>12</v>
      </c>
    </row>
    <row r="582" spans="1:12">
      <c r="A582">
        <v>99780</v>
      </c>
      <c r="B582" t="s">
        <v>21</v>
      </c>
      <c r="C582" t="s">
        <v>20</v>
      </c>
      <c r="D582" s="1">
        <v>46654</v>
      </c>
      <c r="E582">
        <v>0</v>
      </c>
      <c r="F582" t="s">
        <v>17</v>
      </c>
      <c r="G582" t="s">
        <v>11</v>
      </c>
      <c r="H582" t="s">
        <v>13</v>
      </c>
      <c r="I582" t="s">
        <v>78</v>
      </c>
      <c r="J582" t="s">
        <v>70</v>
      </c>
      <c r="K582">
        <v>39</v>
      </c>
      <c r="L582" t="s">
        <v>13</v>
      </c>
    </row>
    <row r="583" spans="1:12">
      <c r="A583">
        <v>31545</v>
      </c>
      <c r="B583" t="s">
        <v>22</v>
      </c>
      <c r="C583" t="s">
        <v>20</v>
      </c>
      <c r="D583" s="1">
        <v>100769</v>
      </c>
      <c r="E583">
        <v>3</v>
      </c>
      <c r="F583" t="s">
        <v>14</v>
      </c>
      <c r="G583" t="s">
        <v>15</v>
      </c>
      <c r="H583" t="s">
        <v>13</v>
      </c>
      <c r="I583" t="s">
        <v>80</v>
      </c>
      <c r="J583" t="s">
        <v>66</v>
      </c>
      <c r="K583">
        <v>22</v>
      </c>
      <c r="L583" t="s">
        <v>12</v>
      </c>
    </row>
    <row r="584" spans="1:12">
      <c r="A584">
        <v>31689</v>
      </c>
      <c r="B584" t="s">
        <v>21</v>
      </c>
      <c r="C584" t="s">
        <v>21</v>
      </c>
      <c r="D584" s="1">
        <v>101423</v>
      </c>
      <c r="E584">
        <v>0</v>
      </c>
      <c r="F584" t="s">
        <v>17</v>
      </c>
      <c r="G584" t="s">
        <v>18</v>
      </c>
      <c r="H584" t="s">
        <v>12</v>
      </c>
      <c r="I584" t="s">
        <v>78</v>
      </c>
      <c r="J584" t="s">
        <v>61</v>
      </c>
      <c r="K584">
        <v>42</v>
      </c>
      <c r="L584" t="s">
        <v>13</v>
      </c>
    </row>
    <row r="585" spans="1:12">
      <c r="A585">
        <v>21174</v>
      </c>
      <c r="B585" t="s">
        <v>21</v>
      </c>
      <c r="C585" t="s">
        <v>20</v>
      </c>
      <c r="D585" s="1">
        <v>49320</v>
      </c>
      <c r="E585">
        <v>1</v>
      </c>
      <c r="F585" t="s">
        <v>10</v>
      </c>
      <c r="G585" t="s">
        <v>18</v>
      </c>
      <c r="H585" t="s">
        <v>12</v>
      </c>
      <c r="I585" t="s">
        <v>80</v>
      </c>
      <c r="J585" t="s">
        <v>72</v>
      </c>
      <c r="K585">
        <v>37</v>
      </c>
      <c r="L585" t="s">
        <v>13</v>
      </c>
    </row>
    <row r="586" spans="1:12">
      <c r="A586">
        <v>98461</v>
      </c>
      <c r="B586" t="s">
        <v>22</v>
      </c>
      <c r="C586" t="s">
        <v>20</v>
      </c>
      <c r="D586" s="1">
        <v>40808</v>
      </c>
      <c r="E586">
        <v>1</v>
      </c>
      <c r="F586" t="s">
        <v>17</v>
      </c>
      <c r="G586" t="s">
        <v>15</v>
      </c>
      <c r="H586" t="s">
        <v>13</v>
      </c>
      <c r="I586" t="s">
        <v>80</v>
      </c>
      <c r="J586" t="s">
        <v>71</v>
      </c>
      <c r="K586">
        <v>45</v>
      </c>
      <c r="L586" t="s">
        <v>13</v>
      </c>
    </row>
    <row r="587" spans="1:12">
      <c r="A587">
        <v>19348</v>
      </c>
      <c r="B587" t="s">
        <v>22</v>
      </c>
      <c r="C587" t="s">
        <v>20</v>
      </c>
      <c r="D587" s="1">
        <v>72389</v>
      </c>
      <c r="E587">
        <v>4</v>
      </c>
      <c r="F587" t="s">
        <v>17</v>
      </c>
      <c r="G587" t="s">
        <v>15</v>
      </c>
      <c r="H587" t="s">
        <v>13</v>
      </c>
      <c r="I587" t="s">
        <v>80</v>
      </c>
      <c r="J587" t="s">
        <v>70</v>
      </c>
      <c r="K587">
        <v>55</v>
      </c>
      <c r="L587" t="s">
        <v>13</v>
      </c>
    </row>
    <row r="588" spans="1:12">
      <c r="A588">
        <v>33714</v>
      </c>
      <c r="B588" t="s">
        <v>21</v>
      </c>
      <c r="C588" t="s">
        <v>21</v>
      </c>
      <c r="D588" s="1">
        <v>115690</v>
      </c>
      <c r="E588">
        <v>4</v>
      </c>
      <c r="F588" t="s">
        <v>10</v>
      </c>
      <c r="G588" t="s">
        <v>16</v>
      </c>
      <c r="H588" t="s">
        <v>13</v>
      </c>
      <c r="I588" t="s">
        <v>78</v>
      </c>
      <c r="J588" t="s">
        <v>73</v>
      </c>
      <c r="K588">
        <v>27</v>
      </c>
      <c r="L588" t="s">
        <v>13</v>
      </c>
    </row>
    <row r="589" spans="1:12">
      <c r="A589">
        <v>48102</v>
      </c>
      <c r="B589" t="s">
        <v>21</v>
      </c>
      <c r="C589" t="s">
        <v>20</v>
      </c>
      <c r="D589" s="1">
        <v>54773</v>
      </c>
      <c r="E589">
        <v>5</v>
      </c>
      <c r="F589" t="s">
        <v>14</v>
      </c>
      <c r="G589" t="s">
        <v>16</v>
      </c>
      <c r="H589" t="s">
        <v>13</v>
      </c>
      <c r="I589" t="s">
        <v>79</v>
      </c>
      <c r="J589" t="s">
        <v>74</v>
      </c>
      <c r="K589">
        <v>36</v>
      </c>
      <c r="L589" t="s">
        <v>12</v>
      </c>
    </row>
    <row r="590" spans="1:12">
      <c r="A590">
        <v>84460</v>
      </c>
      <c r="B590" t="s">
        <v>21</v>
      </c>
      <c r="C590" t="s">
        <v>21</v>
      </c>
      <c r="D590" s="1">
        <v>71168</v>
      </c>
      <c r="E590">
        <v>1</v>
      </c>
      <c r="F590" t="s">
        <v>10</v>
      </c>
      <c r="G590" t="s">
        <v>16</v>
      </c>
      <c r="H590" t="s">
        <v>13</v>
      </c>
      <c r="I590" t="s">
        <v>78</v>
      </c>
      <c r="J590" t="s">
        <v>74</v>
      </c>
      <c r="K590">
        <v>50</v>
      </c>
      <c r="L590" t="s">
        <v>12</v>
      </c>
    </row>
    <row r="591" spans="1:12">
      <c r="A591">
        <v>99930</v>
      </c>
      <c r="B591" t="s">
        <v>21</v>
      </c>
      <c r="C591" t="s">
        <v>20</v>
      </c>
      <c r="D591" s="1">
        <v>47747</v>
      </c>
      <c r="E591">
        <v>3</v>
      </c>
      <c r="F591" t="s">
        <v>17</v>
      </c>
      <c r="G591" t="s">
        <v>11</v>
      </c>
      <c r="H591" t="s">
        <v>12</v>
      </c>
      <c r="I591" t="s">
        <v>79</v>
      </c>
      <c r="J591" t="s">
        <v>63</v>
      </c>
      <c r="K591">
        <v>56</v>
      </c>
      <c r="L591" t="s">
        <v>13</v>
      </c>
    </row>
    <row r="592" spans="1:12">
      <c r="A592">
        <v>16801</v>
      </c>
      <c r="B592" t="s">
        <v>22</v>
      </c>
      <c r="C592" t="s">
        <v>21</v>
      </c>
      <c r="D592" s="1">
        <v>96396</v>
      </c>
      <c r="E592">
        <v>0</v>
      </c>
      <c r="F592" t="s">
        <v>10</v>
      </c>
      <c r="G592" t="s">
        <v>16</v>
      </c>
      <c r="H592" t="s">
        <v>12</v>
      </c>
      <c r="I592" t="s">
        <v>79</v>
      </c>
      <c r="J592" t="s">
        <v>73</v>
      </c>
      <c r="K592">
        <v>64</v>
      </c>
      <c r="L592" t="s">
        <v>12</v>
      </c>
    </row>
    <row r="593" spans="1:12">
      <c r="A593">
        <v>82267</v>
      </c>
      <c r="B593" t="s">
        <v>21</v>
      </c>
      <c r="C593" t="s">
        <v>21</v>
      </c>
      <c r="D593" s="1">
        <v>103692</v>
      </c>
      <c r="E593">
        <v>2</v>
      </c>
      <c r="F593" t="s">
        <v>17</v>
      </c>
      <c r="G593" t="s">
        <v>18</v>
      </c>
      <c r="H593" t="s">
        <v>13</v>
      </c>
      <c r="I593" t="s">
        <v>80</v>
      </c>
      <c r="J593" t="s">
        <v>69</v>
      </c>
      <c r="K593">
        <v>52</v>
      </c>
      <c r="L593" t="s">
        <v>12</v>
      </c>
    </row>
    <row r="594" spans="1:12">
      <c r="A594">
        <v>58136</v>
      </c>
      <c r="B594" t="s">
        <v>21</v>
      </c>
      <c r="C594" t="s">
        <v>21</v>
      </c>
      <c r="D594" s="1">
        <v>77505</v>
      </c>
      <c r="E594">
        <v>4</v>
      </c>
      <c r="F594" t="s">
        <v>10</v>
      </c>
      <c r="G594" t="s">
        <v>11</v>
      </c>
      <c r="H594" t="s">
        <v>12</v>
      </c>
      <c r="I594" t="s">
        <v>78</v>
      </c>
      <c r="J594" t="s">
        <v>61</v>
      </c>
      <c r="K594">
        <v>46</v>
      </c>
      <c r="L594" t="s">
        <v>13</v>
      </c>
    </row>
    <row r="595" spans="1:12">
      <c r="A595">
        <v>33625</v>
      </c>
      <c r="B595" t="s">
        <v>21</v>
      </c>
      <c r="C595" t="s">
        <v>20</v>
      </c>
      <c r="D595" s="1">
        <v>105896</v>
      </c>
      <c r="E595">
        <v>2</v>
      </c>
      <c r="F595" t="s">
        <v>19</v>
      </c>
      <c r="G595" t="s">
        <v>16</v>
      </c>
      <c r="H595" t="s">
        <v>13</v>
      </c>
      <c r="I595" t="s">
        <v>79</v>
      </c>
      <c r="J595" t="s">
        <v>67</v>
      </c>
      <c r="K595">
        <v>64</v>
      </c>
      <c r="L595" t="s">
        <v>13</v>
      </c>
    </row>
    <row r="596" spans="1:12">
      <c r="A596">
        <v>92873</v>
      </c>
      <c r="B596" t="s">
        <v>21</v>
      </c>
      <c r="C596" t="s">
        <v>20</v>
      </c>
      <c r="D596" s="1">
        <v>38135</v>
      </c>
      <c r="E596">
        <v>3</v>
      </c>
      <c r="F596" t="s">
        <v>19</v>
      </c>
      <c r="G596" t="s">
        <v>11</v>
      </c>
      <c r="H596" t="s">
        <v>13</v>
      </c>
      <c r="I596" t="s">
        <v>81</v>
      </c>
      <c r="J596" t="s">
        <v>73</v>
      </c>
      <c r="K596">
        <v>23</v>
      </c>
      <c r="L596" t="s">
        <v>12</v>
      </c>
    </row>
    <row r="597" spans="1:12">
      <c r="A597">
        <v>82592</v>
      </c>
      <c r="B597" t="s">
        <v>21</v>
      </c>
      <c r="C597" t="s">
        <v>21</v>
      </c>
      <c r="D597" s="1">
        <v>110887</v>
      </c>
      <c r="E597">
        <v>4</v>
      </c>
      <c r="F597" t="s">
        <v>10</v>
      </c>
      <c r="G597" t="s">
        <v>18</v>
      </c>
      <c r="H597" t="s">
        <v>13</v>
      </c>
      <c r="I597" t="s">
        <v>79</v>
      </c>
      <c r="J597" t="s">
        <v>62</v>
      </c>
      <c r="K597">
        <v>41</v>
      </c>
      <c r="L597" t="s">
        <v>13</v>
      </c>
    </row>
    <row r="598" spans="1:12">
      <c r="A598">
        <v>87052</v>
      </c>
      <c r="B598" t="s">
        <v>21</v>
      </c>
      <c r="C598" t="s">
        <v>21</v>
      </c>
      <c r="D598" s="1">
        <v>116035</v>
      </c>
      <c r="E598">
        <v>2</v>
      </c>
      <c r="F598" t="s">
        <v>14</v>
      </c>
      <c r="G598" t="s">
        <v>16</v>
      </c>
      <c r="H598" t="s">
        <v>12</v>
      </c>
      <c r="I598" t="s">
        <v>81</v>
      </c>
      <c r="J598" t="s">
        <v>61</v>
      </c>
      <c r="K598">
        <v>45</v>
      </c>
      <c r="L598" t="s">
        <v>12</v>
      </c>
    </row>
    <row r="599" spans="1:12">
      <c r="A599">
        <v>54261</v>
      </c>
      <c r="B599" t="s">
        <v>21</v>
      </c>
      <c r="C599" t="s">
        <v>20</v>
      </c>
      <c r="D599" s="1">
        <v>67377</v>
      </c>
      <c r="E599">
        <v>3</v>
      </c>
      <c r="F599" t="s">
        <v>17</v>
      </c>
      <c r="G599" t="s">
        <v>18</v>
      </c>
      <c r="H599" t="s">
        <v>12</v>
      </c>
      <c r="I599" t="s">
        <v>78</v>
      </c>
      <c r="J599" t="s">
        <v>71</v>
      </c>
      <c r="K599">
        <v>51</v>
      </c>
      <c r="L599" t="s">
        <v>13</v>
      </c>
    </row>
    <row r="600" spans="1:12">
      <c r="A600">
        <v>11542</v>
      </c>
      <c r="B600" t="s">
        <v>21</v>
      </c>
      <c r="C600" t="s">
        <v>20</v>
      </c>
      <c r="D600" s="1">
        <v>43554</v>
      </c>
      <c r="E600">
        <v>0</v>
      </c>
      <c r="F600" t="s">
        <v>19</v>
      </c>
      <c r="G600" t="s">
        <v>18</v>
      </c>
      <c r="H600" t="s">
        <v>13</v>
      </c>
      <c r="I600" t="s">
        <v>78</v>
      </c>
      <c r="J600" t="s">
        <v>66</v>
      </c>
      <c r="K600">
        <v>43</v>
      </c>
      <c r="L600" t="s">
        <v>12</v>
      </c>
    </row>
    <row r="601" spans="1:12">
      <c r="A601">
        <v>31677</v>
      </c>
      <c r="B601" t="s">
        <v>22</v>
      </c>
      <c r="C601" t="s">
        <v>21</v>
      </c>
      <c r="D601" s="1">
        <v>82491</v>
      </c>
      <c r="E601">
        <v>3</v>
      </c>
      <c r="F601" t="s">
        <v>14</v>
      </c>
      <c r="G601" t="s">
        <v>18</v>
      </c>
      <c r="H601" t="s">
        <v>12</v>
      </c>
      <c r="I601" t="s">
        <v>78</v>
      </c>
      <c r="J601" t="s">
        <v>63</v>
      </c>
      <c r="K601">
        <v>65</v>
      </c>
      <c r="L601" t="s">
        <v>13</v>
      </c>
    </row>
    <row r="602" spans="1:12">
      <c r="A602">
        <v>56732</v>
      </c>
      <c r="B602" t="s">
        <v>21</v>
      </c>
      <c r="C602" t="s">
        <v>20</v>
      </c>
      <c r="D602" s="1">
        <v>75621</v>
      </c>
      <c r="E602">
        <v>5</v>
      </c>
      <c r="F602" t="s">
        <v>17</v>
      </c>
      <c r="G602" t="s">
        <v>16</v>
      </c>
      <c r="H602" t="s">
        <v>12</v>
      </c>
      <c r="I602" t="s">
        <v>79</v>
      </c>
      <c r="J602" t="s">
        <v>60</v>
      </c>
      <c r="K602">
        <v>54</v>
      </c>
      <c r="L602" t="s">
        <v>12</v>
      </c>
    </row>
    <row r="603" spans="1:12">
      <c r="A603">
        <v>60343</v>
      </c>
      <c r="B603" t="s">
        <v>22</v>
      </c>
      <c r="C603" t="s">
        <v>20</v>
      </c>
      <c r="D603" s="1">
        <v>78283</v>
      </c>
      <c r="E603">
        <v>4</v>
      </c>
      <c r="F603" t="s">
        <v>19</v>
      </c>
      <c r="G603" t="s">
        <v>15</v>
      </c>
      <c r="H603" t="s">
        <v>13</v>
      </c>
      <c r="I603" t="s">
        <v>77</v>
      </c>
      <c r="J603" t="s">
        <v>70</v>
      </c>
      <c r="K603">
        <v>56</v>
      </c>
      <c r="L603" t="s">
        <v>13</v>
      </c>
    </row>
    <row r="604" spans="1:12">
      <c r="A604">
        <v>49081</v>
      </c>
      <c r="B604" t="s">
        <v>21</v>
      </c>
      <c r="C604" t="s">
        <v>20</v>
      </c>
      <c r="D604" s="1">
        <v>105140</v>
      </c>
      <c r="E604">
        <v>1</v>
      </c>
      <c r="F604" t="s">
        <v>19</v>
      </c>
      <c r="G604" t="s">
        <v>16</v>
      </c>
      <c r="H604" t="s">
        <v>12</v>
      </c>
      <c r="I604" t="s">
        <v>79</v>
      </c>
      <c r="J604" t="s">
        <v>66</v>
      </c>
      <c r="K604">
        <v>51</v>
      </c>
      <c r="L604" t="s">
        <v>12</v>
      </c>
    </row>
    <row r="605" spans="1:12">
      <c r="A605">
        <v>72856</v>
      </c>
      <c r="B605" t="s">
        <v>22</v>
      </c>
      <c r="C605" t="s">
        <v>20</v>
      </c>
      <c r="D605" s="1">
        <v>36923</v>
      </c>
      <c r="E605">
        <v>0</v>
      </c>
      <c r="F605" t="s">
        <v>10</v>
      </c>
      <c r="G605" t="s">
        <v>18</v>
      </c>
      <c r="H605" t="s">
        <v>12</v>
      </c>
      <c r="I605" t="s">
        <v>79</v>
      </c>
      <c r="J605" t="s">
        <v>65</v>
      </c>
      <c r="K605">
        <v>26</v>
      </c>
      <c r="L605" t="s">
        <v>12</v>
      </c>
    </row>
    <row r="606" spans="1:12">
      <c r="A606">
        <v>98858</v>
      </c>
      <c r="B606" t="s">
        <v>22</v>
      </c>
      <c r="C606" t="s">
        <v>21</v>
      </c>
      <c r="D606" s="1">
        <v>67591</v>
      </c>
      <c r="E606">
        <v>2</v>
      </c>
      <c r="F606" t="s">
        <v>17</v>
      </c>
      <c r="G606" t="s">
        <v>16</v>
      </c>
      <c r="H606" t="s">
        <v>13</v>
      </c>
      <c r="I606" t="s">
        <v>80</v>
      </c>
      <c r="J606" t="s">
        <v>70</v>
      </c>
      <c r="K606">
        <v>52</v>
      </c>
      <c r="L606" t="s">
        <v>13</v>
      </c>
    </row>
    <row r="607" spans="1:12">
      <c r="A607">
        <v>29065</v>
      </c>
      <c r="B607" t="s">
        <v>22</v>
      </c>
      <c r="C607" t="s">
        <v>20</v>
      </c>
      <c r="D607" s="1">
        <v>82261</v>
      </c>
      <c r="E607">
        <v>4</v>
      </c>
      <c r="F607" t="s">
        <v>14</v>
      </c>
      <c r="G607" t="s">
        <v>18</v>
      </c>
      <c r="H607" t="s">
        <v>13</v>
      </c>
      <c r="I607" t="s">
        <v>80</v>
      </c>
      <c r="J607" t="s">
        <v>69</v>
      </c>
      <c r="K607">
        <v>50</v>
      </c>
      <c r="L607" t="s">
        <v>12</v>
      </c>
    </row>
    <row r="608" spans="1:12">
      <c r="A608">
        <v>93460</v>
      </c>
      <c r="B608" t="s">
        <v>22</v>
      </c>
      <c r="C608" t="s">
        <v>20</v>
      </c>
      <c r="D608" s="1">
        <v>74336</v>
      </c>
      <c r="E608">
        <v>1</v>
      </c>
      <c r="F608" t="s">
        <v>14</v>
      </c>
      <c r="G608" t="s">
        <v>15</v>
      </c>
      <c r="H608" t="s">
        <v>12</v>
      </c>
      <c r="I608" t="s">
        <v>79</v>
      </c>
      <c r="J608" t="s">
        <v>66</v>
      </c>
      <c r="K608">
        <v>31</v>
      </c>
      <c r="L608" t="s">
        <v>12</v>
      </c>
    </row>
    <row r="609" spans="1:12">
      <c r="A609">
        <v>98092</v>
      </c>
      <c r="B609" t="s">
        <v>21</v>
      </c>
      <c r="C609" t="s">
        <v>21</v>
      </c>
      <c r="D609" s="1">
        <v>94083</v>
      </c>
      <c r="E609">
        <v>3</v>
      </c>
      <c r="F609" t="s">
        <v>14</v>
      </c>
      <c r="G609" t="s">
        <v>11</v>
      </c>
      <c r="H609" t="s">
        <v>13</v>
      </c>
      <c r="I609" t="s">
        <v>81</v>
      </c>
      <c r="J609" t="s">
        <v>72</v>
      </c>
      <c r="K609">
        <v>30</v>
      </c>
      <c r="L609" t="s">
        <v>12</v>
      </c>
    </row>
    <row r="610" spans="1:12">
      <c r="A610">
        <v>64693</v>
      </c>
      <c r="B610" t="s">
        <v>21</v>
      </c>
      <c r="C610" t="s">
        <v>21</v>
      </c>
      <c r="D610" s="1">
        <v>80948</v>
      </c>
      <c r="E610">
        <v>1</v>
      </c>
      <c r="F610" t="s">
        <v>17</v>
      </c>
      <c r="G610" t="s">
        <v>15</v>
      </c>
      <c r="H610" t="s">
        <v>12</v>
      </c>
      <c r="I610" t="s">
        <v>80</v>
      </c>
      <c r="J610" t="s">
        <v>64</v>
      </c>
      <c r="K610">
        <v>43</v>
      </c>
      <c r="L610" t="s">
        <v>13</v>
      </c>
    </row>
    <row r="611" spans="1:12">
      <c r="A611">
        <v>36962</v>
      </c>
      <c r="B611" t="s">
        <v>21</v>
      </c>
      <c r="C611" t="s">
        <v>20</v>
      </c>
      <c r="D611" s="1">
        <v>53002</v>
      </c>
      <c r="E611">
        <v>4</v>
      </c>
      <c r="F611" t="s">
        <v>14</v>
      </c>
      <c r="G611" t="s">
        <v>15</v>
      </c>
      <c r="H611" t="s">
        <v>13</v>
      </c>
      <c r="I611" t="s">
        <v>79</v>
      </c>
      <c r="J611" t="s">
        <v>68</v>
      </c>
      <c r="K611">
        <v>27</v>
      </c>
      <c r="L611" t="s">
        <v>13</v>
      </c>
    </row>
    <row r="612" spans="1:12">
      <c r="A612">
        <v>38295</v>
      </c>
      <c r="B612" t="s">
        <v>22</v>
      </c>
      <c r="C612" t="s">
        <v>20</v>
      </c>
      <c r="D612" s="1">
        <v>100098</v>
      </c>
      <c r="E612">
        <v>4</v>
      </c>
      <c r="F612" t="s">
        <v>14</v>
      </c>
      <c r="G612" t="s">
        <v>11</v>
      </c>
      <c r="H612" t="s">
        <v>13</v>
      </c>
      <c r="I612" t="s">
        <v>77</v>
      </c>
      <c r="J612" t="s">
        <v>71</v>
      </c>
      <c r="K612">
        <v>51</v>
      </c>
      <c r="L612" t="s">
        <v>12</v>
      </c>
    </row>
    <row r="613" spans="1:12">
      <c r="A613">
        <v>23807</v>
      </c>
      <c r="B613" t="s">
        <v>21</v>
      </c>
      <c r="C613" t="s">
        <v>20</v>
      </c>
      <c r="D613" s="1">
        <v>93016</v>
      </c>
      <c r="E613">
        <v>5</v>
      </c>
      <c r="F613" t="s">
        <v>14</v>
      </c>
      <c r="G613" t="s">
        <v>16</v>
      </c>
      <c r="H613" t="s">
        <v>13</v>
      </c>
      <c r="I613" t="s">
        <v>81</v>
      </c>
      <c r="J613" t="s">
        <v>62</v>
      </c>
      <c r="K613">
        <v>57</v>
      </c>
      <c r="L613" t="s">
        <v>13</v>
      </c>
    </row>
    <row r="614" spans="1:12">
      <c r="A614">
        <v>52348</v>
      </c>
      <c r="B614" t="s">
        <v>21</v>
      </c>
      <c r="C614" t="s">
        <v>20</v>
      </c>
      <c r="D614" s="1">
        <v>46672</v>
      </c>
      <c r="E614">
        <v>5</v>
      </c>
      <c r="F614" t="s">
        <v>10</v>
      </c>
      <c r="G614" t="s">
        <v>11</v>
      </c>
      <c r="H614" t="s">
        <v>13</v>
      </c>
      <c r="I614" t="s">
        <v>78</v>
      </c>
      <c r="J614" t="s">
        <v>67</v>
      </c>
      <c r="K614">
        <v>41</v>
      </c>
      <c r="L614" t="s">
        <v>12</v>
      </c>
    </row>
    <row r="615" spans="1:12">
      <c r="A615">
        <v>36432</v>
      </c>
      <c r="B615" t="s">
        <v>22</v>
      </c>
      <c r="C615" t="s">
        <v>21</v>
      </c>
      <c r="D615" s="1">
        <v>24213</v>
      </c>
      <c r="E615">
        <v>1</v>
      </c>
      <c r="F615" t="s">
        <v>10</v>
      </c>
      <c r="G615" t="s">
        <v>16</v>
      </c>
      <c r="H615" t="s">
        <v>12</v>
      </c>
      <c r="I615" t="s">
        <v>79</v>
      </c>
      <c r="J615" t="s">
        <v>61</v>
      </c>
      <c r="K615">
        <v>53</v>
      </c>
      <c r="L615" t="s">
        <v>13</v>
      </c>
    </row>
    <row r="616" spans="1:12">
      <c r="A616">
        <v>93285</v>
      </c>
      <c r="B616" t="s">
        <v>22</v>
      </c>
      <c r="C616" t="s">
        <v>21</v>
      </c>
      <c r="D616" s="1">
        <v>30293</v>
      </c>
      <c r="E616">
        <v>3</v>
      </c>
      <c r="F616" t="s">
        <v>17</v>
      </c>
      <c r="G616" t="s">
        <v>16</v>
      </c>
      <c r="H616" t="s">
        <v>13</v>
      </c>
      <c r="I616" t="s">
        <v>79</v>
      </c>
      <c r="J616" t="s">
        <v>63</v>
      </c>
      <c r="K616">
        <v>38</v>
      </c>
      <c r="L616" t="s">
        <v>12</v>
      </c>
    </row>
    <row r="617" spans="1:12">
      <c r="A617">
        <v>67854</v>
      </c>
      <c r="B617" t="s">
        <v>22</v>
      </c>
      <c r="C617" t="s">
        <v>21</v>
      </c>
      <c r="D617" s="1">
        <v>119977</v>
      </c>
      <c r="E617">
        <v>1</v>
      </c>
      <c r="F617" t="s">
        <v>17</v>
      </c>
      <c r="G617" t="s">
        <v>18</v>
      </c>
      <c r="H617" t="s">
        <v>13</v>
      </c>
      <c r="I617" t="s">
        <v>81</v>
      </c>
      <c r="J617" t="s">
        <v>74</v>
      </c>
      <c r="K617">
        <v>39</v>
      </c>
      <c r="L617" t="s">
        <v>13</v>
      </c>
    </row>
    <row r="618" spans="1:12">
      <c r="A618">
        <v>50262</v>
      </c>
      <c r="B618" t="s">
        <v>22</v>
      </c>
      <c r="C618" t="s">
        <v>20</v>
      </c>
      <c r="D618" s="1">
        <v>75860</v>
      </c>
      <c r="E618">
        <v>4</v>
      </c>
      <c r="F618" t="s">
        <v>14</v>
      </c>
      <c r="G618" t="s">
        <v>18</v>
      </c>
      <c r="H618" t="s">
        <v>13</v>
      </c>
      <c r="I618" t="s">
        <v>80</v>
      </c>
      <c r="J618" t="s">
        <v>71</v>
      </c>
      <c r="K618">
        <v>33</v>
      </c>
      <c r="L618" t="s">
        <v>12</v>
      </c>
    </row>
    <row r="619" spans="1:12">
      <c r="A619">
        <v>47080</v>
      </c>
      <c r="B619" t="s">
        <v>22</v>
      </c>
      <c r="C619" t="s">
        <v>20</v>
      </c>
      <c r="D619" s="1">
        <v>82507</v>
      </c>
      <c r="E619">
        <v>4</v>
      </c>
      <c r="F619" t="s">
        <v>10</v>
      </c>
      <c r="G619" t="s">
        <v>11</v>
      </c>
      <c r="H619" t="s">
        <v>12</v>
      </c>
      <c r="I619" t="s">
        <v>80</v>
      </c>
      <c r="J619" t="s">
        <v>64</v>
      </c>
      <c r="K619">
        <v>52</v>
      </c>
      <c r="L619" t="s">
        <v>13</v>
      </c>
    </row>
    <row r="620" spans="1:12">
      <c r="A620">
        <v>11324</v>
      </c>
      <c r="B620" t="s">
        <v>21</v>
      </c>
      <c r="C620" t="s">
        <v>20</v>
      </c>
      <c r="D620" s="1">
        <v>77134</v>
      </c>
      <c r="E620">
        <v>2</v>
      </c>
      <c r="F620" t="s">
        <v>19</v>
      </c>
      <c r="G620" t="s">
        <v>15</v>
      </c>
      <c r="H620" t="s">
        <v>12</v>
      </c>
      <c r="I620" t="s">
        <v>80</v>
      </c>
      <c r="J620" t="s">
        <v>72</v>
      </c>
      <c r="K620">
        <v>29</v>
      </c>
      <c r="L620" t="s">
        <v>12</v>
      </c>
    </row>
    <row r="621" spans="1:12">
      <c r="A621">
        <v>45909</v>
      </c>
      <c r="B621" t="s">
        <v>21</v>
      </c>
      <c r="C621" t="s">
        <v>20</v>
      </c>
      <c r="D621" s="1">
        <v>22100</v>
      </c>
      <c r="E621">
        <v>5</v>
      </c>
      <c r="F621" t="s">
        <v>19</v>
      </c>
      <c r="G621" t="s">
        <v>11</v>
      </c>
      <c r="H621" t="s">
        <v>13</v>
      </c>
      <c r="I621" t="s">
        <v>78</v>
      </c>
      <c r="J621" t="s">
        <v>71</v>
      </c>
      <c r="K621">
        <v>35</v>
      </c>
      <c r="L621" t="s">
        <v>12</v>
      </c>
    </row>
    <row r="622" spans="1:12">
      <c r="A622">
        <v>99339</v>
      </c>
      <c r="B622" t="s">
        <v>21</v>
      </c>
      <c r="C622" t="s">
        <v>21</v>
      </c>
      <c r="D622" s="1">
        <v>81997</v>
      </c>
      <c r="E622">
        <v>2</v>
      </c>
      <c r="F622" t="s">
        <v>14</v>
      </c>
      <c r="G622" t="s">
        <v>16</v>
      </c>
      <c r="H622" t="s">
        <v>13</v>
      </c>
      <c r="I622" t="s">
        <v>81</v>
      </c>
      <c r="J622" t="s">
        <v>66</v>
      </c>
      <c r="K622">
        <v>23</v>
      </c>
      <c r="L622" t="s">
        <v>12</v>
      </c>
    </row>
    <row r="623" spans="1:12">
      <c r="A623">
        <v>29870</v>
      </c>
      <c r="B623" t="s">
        <v>21</v>
      </c>
      <c r="C623" t="s">
        <v>21</v>
      </c>
      <c r="D623" s="1">
        <v>48172</v>
      </c>
      <c r="E623">
        <v>0</v>
      </c>
      <c r="F623" t="s">
        <v>14</v>
      </c>
      <c r="G623" t="s">
        <v>18</v>
      </c>
      <c r="H623" t="s">
        <v>13</v>
      </c>
      <c r="I623" t="s">
        <v>81</v>
      </c>
      <c r="J623" t="s">
        <v>59</v>
      </c>
      <c r="K623">
        <v>46</v>
      </c>
      <c r="L623" t="s">
        <v>13</v>
      </c>
    </row>
    <row r="624" spans="1:12">
      <c r="A624">
        <v>44578</v>
      </c>
      <c r="B624" t="s">
        <v>22</v>
      </c>
      <c r="C624" t="s">
        <v>20</v>
      </c>
      <c r="D624" s="1">
        <v>40132</v>
      </c>
      <c r="E624">
        <v>4</v>
      </c>
      <c r="F624" t="s">
        <v>10</v>
      </c>
      <c r="G624" t="s">
        <v>11</v>
      </c>
      <c r="H624" t="s">
        <v>13</v>
      </c>
      <c r="I624" t="s">
        <v>80</v>
      </c>
      <c r="J624" t="s">
        <v>62</v>
      </c>
      <c r="K624">
        <v>47</v>
      </c>
      <c r="L624" t="s">
        <v>13</v>
      </c>
    </row>
    <row r="625" spans="1:12">
      <c r="A625">
        <v>82124</v>
      </c>
      <c r="B625" t="s">
        <v>21</v>
      </c>
      <c r="C625" t="s">
        <v>21</v>
      </c>
      <c r="D625" s="1">
        <v>38199</v>
      </c>
      <c r="E625">
        <v>2</v>
      </c>
      <c r="F625" t="s">
        <v>10</v>
      </c>
      <c r="G625" t="s">
        <v>11</v>
      </c>
      <c r="H625" t="s">
        <v>13</v>
      </c>
      <c r="I625" t="s">
        <v>80</v>
      </c>
      <c r="J625" t="s">
        <v>69</v>
      </c>
      <c r="K625">
        <v>62</v>
      </c>
      <c r="L625" t="s">
        <v>13</v>
      </c>
    </row>
    <row r="626" spans="1:12">
      <c r="A626">
        <v>36790</v>
      </c>
      <c r="B626" t="s">
        <v>22</v>
      </c>
      <c r="C626" t="s">
        <v>20</v>
      </c>
      <c r="D626" s="1">
        <v>56609</v>
      </c>
      <c r="E626">
        <v>1</v>
      </c>
      <c r="F626" t="s">
        <v>10</v>
      </c>
      <c r="G626" t="s">
        <v>18</v>
      </c>
      <c r="H626" t="s">
        <v>13</v>
      </c>
      <c r="I626" t="s">
        <v>77</v>
      </c>
      <c r="J626" t="s">
        <v>69</v>
      </c>
      <c r="K626">
        <v>35</v>
      </c>
      <c r="L626" t="s">
        <v>13</v>
      </c>
    </row>
    <row r="627" spans="1:12">
      <c r="A627">
        <v>35289</v>
      </c>
      <c r="B627" t="s">
        <v>21</v>
      </c>
      <c r="C627" t="s">
        <v>20</v>
      </c>
      <c r="D627" s="1">
        <v>62965</v>
      </c>
      <c r="E627">
        <v>5</v>
      </c>
      <c r="F627" t="s">
        <v>17</v>
      </c>
      <c r="G627" t="s">
        <v>18</v>
      </c>
      <c r="H627" t="s">
        <v>12</v>
      </c>
      <c r="I627" t="s">
        <v>77</v>
      </c>
      <c r="J627" t="s">
        <v>59</v>
      </c>
      <c r="K627">
        <v>52</v>
      </c>
      <c r="L627" t="s">
        <v>13</v>
      </c>
    </row>
    <row r="628" spans="1:12">
      <c r="A628">
        <v>65129</v>
      </c>
      <c r="B628" t="s">
        <v>22</v>
      </c>
      <c r="C628" t="s">
        <v>21</v>
      </c>
      <c r="D628" s="1">
        <v>28016</v>
      </c>
      <c r="E628">
        <v>5</v>
      </c>
      <c r="F628" t="s">
        <v>17</v>
      </c>
      <c r="G628" t="s">
        <v>18</v>
      </c>
      <c r="H628" t="s">
        <v>13</v>
      </c>
      <c r="I628" t="s">
        <v>79</v>
      </c>
      <c r="J628" t="s">
        <v>69</v>
      </c>
      <c r="K628">
        <v>67</v>
      </c>
      <c r="L628" t="s">
        <v>13</v>
      </c>
    </row>
    <row r="629" spans="1:12">
      <c r="A629">
        <v>25485</v>
      </c>
      <c r="B629" t="s">
        <v>22</v>
      </c>
      <c r="C629" t="s">
        <v>20</v>
      </c>
      <c r="D629" s="1">
        <v>59779</v>
      </c>
      <c r="E629">
        <v>3</v>
      </c>
      <c r="F629" t="s">
        <v>14</v>
      </c>
      <c r="G629" t="s">
        <v>16</v>
      </c>
      <c r="H629" t="s">
        <v>13</v>
      </c>
      <c r="I629" t="s">
        <v>79</v>
      </c>
      <c r="J629" t="s">
        <v>63</v>
      </c>
      <c r="K629">
        <v>38</v>
      </c>
      <c r="L629" t="s">
        <v>12</v>
      </c>
    </row>
    <row r="630" spans="1:12">
      <c r="A630">
        <v>54482</v>
      </c>
      <c r="B630" t="s">
        <v>21</v>
      </c>
      <c r="C630" t="s">
        <v>20</v>
      </c>
      <c r="D630" s="1">
        <v>51881</v>
      </c>
      <c r="E630">
        <v>1</v>
      </c>
      <c r="F630" t="s">
        <v>17</v>
      </c>
      <c r="G630" t="s">
        <v>18</v>
      </c>
      <c r="H630" t="s">
        <v>13</v>
      </c>
      <c r="I630" t="s">
        <v>81</v>
      </c>
      <c r="J630" t="s">
        <v>70</v>
      </c>
      <c r="K630">
        <v>40</v>
      </c>
      <c r="L630" t="s">
        <v>13</v>
      </c>
    </row>
    <row r="631" spans="1:12">
      <c r="A631">
        <v>96188</v>
      </c>
      <c r="B631" t="s">
        <v>21</v>
      </c>
      <c r="C631" t="s">
        <v>21</v>
      </c>
      <c r="D631" s="1">
        <v>102594</v>
      </c>
      <c r="E631">
        <v>3</v>
      </c>
      <c r="F631" t="s">
        <v>10</v>
      </c>
      <c r="G631" t="s">
        <v>15</v>
      </c>
      <c r="H631" t="s">
        <v>13</v>
      </c>
      <c r="I631" t="s">
        <v>81</v>
      </c>
      <c r="J631" t="s">
        <v>73</v>
      </c>
      <c r="K631">
        <v>41</v>
      </c>
      <c r="L631" t="s">
        <v>12</v>
      </c>
    </row>
    <row r="632" spans="1:12">
      <c r="A632">
        <v>14748</v>
      </c>
      <c r="B632" t="s">
        <v>21</v>
      </c>
      <c r="C632" t="s">
        <v>20</v>
      </c>
      <c r="D632" s="1">
        <v>44472</v>
      </c>
      <c r="E632">
        <v>2</v>
      </c>
      <c r="F632" t="s">
        <v>10</v>
      </c>
      <c r="G632" t="s">
        <v>11</v>
      </c>
      <c r="H632" t="s">
        <v>13</v>
      </c>
      <c r="I632" t="s">
        <v>78</v>
      </c>
      <c r="J632" t="s">
        <v>66</v>
      </c>
      <c r="K632">
        <v>28</v>
      </c>
      <c r="L632" t="s">
        <v>13</v>
      </c>
    </row>
    <row r="633" spans="1:12">
      <c r="A633">
        <v>96769</v>
      </c>
      <c r="B633" t="s">
        <v>21</v>
      </c>
      <c r="C633" t="s">
        <v>20</v>
      </c>
      <c r="D633" s="1">
        <v>71813</v>
      </c>
      <c r="E633">
        <v>0</v>
      </c>
      <c r="F633" t="s">
        <v>17</v>
      </c>
      <c r="G633" t="s">
        <v>18</v>
      </c>
      <c r="H633" t="s">
        <v>13</v>
      </c>
      <c r="I633" t="s">
        <v>78</v>
      </c>
      <c r="J633" t="s">
        <v>65</v>
      </c>
      <c r="K633">
        <v>28</v>
      </c>
      <c r="L633" t="s">
        <v>13</v>
      </c>
    </row>
    <row r="634" spans="1:12">
      <c r="A634">
        <v>13709</v>
      </c>
      <c r="B634" t="s">
        <v>21</v>
      </c>
      <c r="C634" t="s">
        <v>20</v>
      </c>
      <c r="D634" s="1">
        <v>74131</v>
      </c>
      <c r="E634">
        <v>1</v>
      </c>
      <c r="F634" t="s">
        <v>14</v>
      </c>
      <c r="G634" t="s">
        <v>16</v>
      </c>
      <c r="H634" t="s">
        <v>12</v>
      </c>
      <c r="I634" t="s">
        <v>79</v>
      </c>
      <c r="J634" t="s">
        <v>67</v>
      </c>
      <c r="K634">
        <v>46</v>
      </c>
      <c r="L634" t="s">
        <v>13</v>
      </c>
    </row>
    <row r="635" spans="1:12">
      <c r="A635">
        <v>40355</v>
      </c>
      <c r="B635" t="s">
        <v>21</v>
      </c>
      <c r="C635" t="s">
        <v>21</v>
      </c>
      <c r="D635" s="1">
        <v>44087</v>
      </c>
      <c r="E635">
        <v>1</v>
      </c>
      <c r="F635" t="s">
        <v>19</v>
      </c>
      <c r="G635" t="s">
        <v>16</v>
      </c>
      <c r="H635" t="s">
        <v>12</v>
      </c>
      <c r="I635" t="s">
        <v>77</v>
      </c>
      <c r="J635" t="s">
        <v>62</v>
      </c>
      <c r="K635">
        <v>36</v>
      </c>
      <c r="L635" t="s">
        <v>13</v>
      </c>
    </row>
    <row r="636" spans="1:12">
      <c r="A636">
        <v>65771</v>
      </c>
      <c r="B636" t="s">
        <v>22</v>
      </c>
      <c r="C636" t="s">
        <v>20</v>
      </c>
      <c r="D636" s="1">
        <v>32828</v>
      </c>
      <c r="E636">
        <v>3</v>
      </c>
      <c r="F636" t="s">
        <v>14</v>
      </c>
      <c r="G636" t="s">
        <v>11</v>
      </c>
      <c r="H636" t="s">
        <v>12</v>
      </c>
      <c r="I636" t="s">
        <v>77</v>
      </c>
      <c r="J636" t="s">
        <v>63</v>
      </c>
      <c r="K636">
        <v>63</v>
      </c>
      <c r="L636" t="s">
        <v>13</v>
      </c>
    </row>
    <row r="637" spans="1:12">
      <c r="A637">
        <v>67799</v>
      </c>
      <c r="B637" t="s">
        <v>22</v>
      </c>
      <c r="C637" t="s">
        <v>21</v>
      </c>
      <c r="D637" s="1">
        <v>81610</v>
      </c>
      <c r="E637">
        <v>2</v>
      </c>
      <c r="F637" t="s">
        <v>19</v>
      </c>
      <c r="G637" t="s">
        <v>15</v>
      </c>
      <c r="H637" t="s">
        <v>12</v>
      </c>
      <c r="I637" t="s">
        <v>79</v>
      </c>
      <c r="J637" t="s">
        <v>67</v>
      </c>
      <c r="K637">
        <v>64</v>
      </c>
      <c r="L637" t="s">
        <v>12</v>
      </c>
    </row>
    <row r="638" spans="1:12">
      <c r="A638">
        <v>23116</v>
      </c>
      <c r="B638" t="s">
        <v>22</v>
      </c>
      <c r="C638" t="s">
        <v>21</v>
      </c>
      <c r="D638" s="1">
        <v>116664</v>
      </c>
      <c r="E638">
        <v>1</v>
      </c>
      <c r="F638" t="s">
        <v>17</v>
      </c>
      <c r="G638" t="s">
        <v>11</v>
      </c>
      <c r="H638" t="s">
        <v>12</v>
      </c>
      <c r="I638" t="s">
        <v>78</v>
      </c>
      <c r="J638" t="s">
        <v>66</v>
      </c>
      <c r="K638">
        <v>27</v>
      </c>
      <c r="L638" t="s">
        <v>12</v>
      </c>
    </row>
    <row r="639" spans="1:12">
      <c r="A639">
        <v>35470</v>
      </c>
      <c r="B639" t="s">
        <v>21</v>
      </c>
      <c r="C639" t="s">
        <v>21</v>
      </c>
      <c r="D639" s="1">
        <v>21401</v>
      </c>
      <c r="E639">
        <v>1</v>
      </c>
      <c r="F639" t="s">
        <v>14</v>
      </c>
      <c r="G639" t="s">
        <v>18</v>
      </c>
      <c r="H639" t="s">
        <v>13</v>
      </c>
      <c r="I639" t="s">
        <v>79</v>
      </c>
      <c r="J639" t="s">
        <v>66</v>
      </c>
      <c r="K639">
        <v>35</v>
      </c>
      <c r="L639" t="s">
        <v>13</v>
      </c>
    </row>
    <row r="640" spans="1:12">
      <c r="A640">
        <v>52344</v>
      </c>
      <c r="B640" t="s">
        <v>22</v>
      </c>
      <c r="C640" t="s">
        <v>20</v>
      </c>
      <c r="D640" s="1">
        <v>105179</v>
      </c>
      <c r="E640">
        <v>5</v>
      </c>
      <c r="F640" t="s">
        <v>14</v>
      </c>
      <c r="G640" t="s">
        <v>15</v>
      </c>
      <c r="H640" t="s">
        <v>13</v>
      </c>
      <c r="I640" t="s">
        <v>80</v>
      </c>
      <c r="J640" t="s">
        <v>73</v>
      </c>
      <c r="K640">
        <v>37</v>
      </c>
      <c r="L640" t="s">
        <v>13</v>
      </c>
    </row>
    <row r="641" spans="1:12">
      <c r="A641">
        <v>52918</v>
      </c>
      <c r="B641" t="s">
        <v>21</v>
      </c>
      <c r="C641" t="s">
        <v>21</v>
      </c>
      <c r="D641" s="1">
        <v>35193</v>
      </c>
      <c r="E641">
        <v>0</v>
      </c>
      <c r="F641" t="s">
        <v>14</v>
      </c>
      <c r="G641" t="s">
        <v>15</v>
      </c>
      <c r="H641" t="s">
        <v>13</v>
      </c>
      <c r="I641" t="s">
        <v>80</v>
      </c>
      <c r="J641" t="s">
        <v>63</v>
      </c>
      <c r="K641">
        <v>52</v>
      </c>
      <c r="L641" t="s">
        <v>12</v>
      </c>
    </row>
    <row r="642" spans="1:12">
      <c r="A642">
        <v>62224</v>
      </c>
      <c r="B642" t="s">
        <v>21</v>
      </c>
      <c r="C642" t="s">
        <v>21</v>
      </c>
      <c r="D642" s="1">
        <v>112389</v>
      </c>
      <c r="E642">
        <v>5</v>
      </c>
      <c r="F642" t="s">
        <v>10</v>
      </c>
      <c r="G642" t="s">
        <v>15</v>
      </c>
      <c r="H642" t="s">
        <v>13</v>
      </c>
      <c r="I642" t="s">
        <v>80</v>
      </c>
      <c r="J642" t="s">
        <v>72</v>
      </c>
      <c r="K642">
        <v>20</v>
      </c>
      <c r="L642" t="s">
        <v>12</v>
      </c>
    </row>
    <row r="643" spans="1:12">
      <c r="A643">
        <v>49298</v>
      </c>
      <c r="B643" t="s">
        <v>22</v>
      </c>
      <c r="C643" t="s">
        <v>21</v>
      </c>
      <c r="D643" s="1">
        <v>64864</v>
      </c>
      <c r="E643">
        <v>5</v>
      </c>
      <c r="F643" t="s">
        <v>10</v>
      </c>
      <c r="G643" t="s">
        <v>15</v>
      </c>
      <c r="H643" t="s">
        <v>13</v>
      </c>
      <c r="I643" t="s">
        <v>81</v>
      </c>
      <c r="J643" t="s">
        <v>63</v>
      </c>
      <c r="K643">
        <v>31</v>
      </c>
      <c r="L643" t="s">
        <v>12</v>
      </c>
    </row>
    <row r="644" spans="1:12">
      <c r="A644">
        <v>90219</v>
      </c>
      <c r="B644" t="s">
        <v>21</v>
      </c>
      <c r="C644" t="s">
        <v>21</v>
      </c>
      <c r="D644" s="1">
        <v>40307</v>
      </c>
      <c r="E644">
        <v>0</v>
      </c>
      <c r="F644" t="s">
        <v>19</v>
      </c>
      <c r="G644" t="s">
        <v>11</v>
      </c>
      <c r="H644" t="s">
        <v>13</v>
      </c>
      <c r="I644" t="s">
        <v>78</v>
      </c>
      <c r="J644" t="s">
        <v>68</v>
      </c>
      <c r="K644">
        <v>25</v>
      </c>
      <c r="L644" t="s">
        <v>12</v>
      </c>
    </row>
    <row r="645" spans="1:12">
      <c r="A645">
        <v>71629</v>
      </c>
      <c r="B645" t="s">
        <v>22</v>
      </c>
      <c r="C645" t="s">
        <v>21</v>
      </c>
      <c r="D645" s="1">
        <v>39611</v>
      </c>
      <c r="E645">
        <v>2</v>
      </c>
      <c r="F645" t="s">
        <v>17</v>
      </c>
      <c r="G645" t="s">
        <v>16</v>
      </c>
      <c r="H645" t="s">
        <v>12</v>
      </c>
      <c r="I645" t="s">
        <v>78</v>
      </c>
      <c r="J645" t="s">
        <v>63</v>
      </c>
      <c r="K645">
        <v>60</v>
      </c>
      <c r="L645" t="s">
        <v>13</v>
      </c>
    </row>
    <row r="646" spans="1:12">
      <c r="A646">
        <v>76040</v>
      </c>
      <c r="B646" t="s">
        <v>22</v>
      </c>
      <c r="C646" t="s">
        <v>20</v>
      </c>
      <c r="D646" s="1">
        <v>63791</v>
      </c>
      <c r="E646">
        <v>5</v>
      </c>
      <c r="F646" t="s">
        <v>10</v>
      </c>
      <c r="G646" t="s">
        <v>16</v>
      </c>
      <c r="H646" t="s">
        <v>13</v>
      </c>
      <c r="I646" t="s">
        <v>81</v>
      </c>
      <c r="J646" t="s">
        <v>70</v>
      </c>
      <c r="K646">
        <v>24</v>
      </c>
      <c r="L646" t="s">
        <v>13</v>
      </c>
    </row>
    <row r="647" spans="1:12">
      <c r="A647">
        <v>38016</v>
      </c>
      <c r="B647" t="s">
        <v>21</v>
      </c>
      <c r="C647" t="s">
        <v>20</v>
      </c>
      <c r="D647" s="1">
        <v>31950</v>
      </c>
      <c r="E647">
        <v>2</v>
      </c>
      <c r="F647" t="s">
        <v>14</v>
      </c>
      <c r="G647" t="s">
        <v>18</v>
      </c>
      <c r="H647" t="s">
        <v>12</v>
      </c>
      <c r="I647" t="s">
        <v>77</v>
      </c>
      <c r="J647" t="s">
        <v>70</v>
      </c>
      <c r="K647">
        <v>35</v>
      </c>
      <c r="L647" t="s">
        <v>13</v>
      </c>
    </row>
    <row r="648" spans="1:12">
      <c r="A648">
        <v>33960</v>
      </c>
      <c r="B648" t="s">
        <v>21</v>
      </c>
      <c r="C648" t="s">
        <v>20</v>
      </c>
      <c r="D648" s="1">
        <v>96240</v>
      </c>
      <c r="E648">
        <v>5</v>
      </c>
      <c r="F648" t="s">
        <v>10</v>
      </c>
      <c r="G648" t="s">
        <v>16</v>
      </c>
      <c r="H648" t="s">
        <v>12</v>
      </c>
      <c r="I648" t="s">
        <v>80</v>
      </c>
      <c r="J648" t="s">
        <v>64</v>
      </c>
      <c r="K648">
        <v>37</v>
      </c>
      <c r="L648" t="s">
        <v>13</v>
      </c>
    </row>
    <row r="649" spans="1:12">
      <c r="A649">
        <v>43591</v>
      </c>
      <c r="B649" t="s">
        <v>21</v>
      </c>
      <c r="C649" t="s">
        <v>20</v>
      </c>
      <c r="D649" s="1">
        <v>97403</v>
      </c>
      <c r="E649">
        <v>4</v>
      </c>
      <c r="F649" t="s">
        <v>17</v>
      </c>
      <c r="G649" t="s">
        <v>16</v>
      </c>
      <c r="H649" t="s">
        <v>13</v>
      </c>
      <c r="I649" t="s">
        <v>80</v>
      </c>
      <c r="J649" t="s">
        <v>61</v>
      </c>
      <c r="K649">
        <v>68</v>
      </c>
      <c r="L649" t="s">
        <v>13</v>
      </c>
    </row>
    <row r="650" spans="1:12">
      <c r="A650">
        <v>92848</v>
      </c>
      <c r="B650" t="s">
        <v>22</v>
      </c>
      <c r="C650" t="s">
        <v>20</v>
      </c>
      <c r="D650" s="1">
        <v>22745</v>
      </c>
      <c r="E650">
        <v>0</v>
      </c>
      <c r="F650" t="s">
        <v>10</v>
      </c>
      <c r="G650" t="s">
        <v>16</v>
      </c>
      <c r="H650" t="s">
        <v>13</v>
      </c>
      <c r="I650" t="s">
        <v>77</v>
      </c>
      <c r="J650" t="s">
        <v>59</v>
      </c>
      <c r="K650">
        <v>37</v>
      </c>
      <c r="L650" t="s">
        <v>12</v>
      </c>
    </row>
    <row r="651" spans="1:12">
      <c r="A651">
        <v>77641</v>
      </c>
      <c r="B651" t="s">
        <v>21</v>
      </c>
      <c r="C651" t="s">
        <v>20</v>
      </c>
      <c r="D651" s="1">
        <v>75243</v>
      </c>
      <c r="E651">
        <v>5</v>
      </c>
      <c r="F651" t="s">
        <v>14</v>
      </c>
      <c r="G651" t="s">
        <v>16</v>
      </c>
      <c r="H651" t="s">
        <v>13</v>
      </c>
      <c r="I651" t="s">
        <v>79</v>
      </c>
      <c r="J651" t="s">
        <v>67</v>
      </c>
      <c r="K651">
        <v>20</v>
      </c>
      <c r="L651" t="s">
        <v>12</v>
      </c>
    </row>
    <row r="652" spans="1:12">
      <c r="A652">
        <v>46395</v>
      </c>
      <c r="B652" t="s">
        <v>21</v>
      </c>
      <c r="C652" t="s">
        <v>20</v>
      </c>
      <c r="D652" s="1">
        <v>23866</v>
      </c>
      <c r="E652">
        <v>4</v>
      </c>
      <c r="F652" t="s">
        <v>19</v>
      </c>
      <c r="G652" t="s">
        <v>18</v>
      </c>
      <c r="H652" t="s">
        <v>13</v>
      </c>
      <c r="I652" t="s">
        <v>79</v>
      </c>
      <c r="J652" t="s">
        <v>69</v>
      </c>
      <c r="K652">
        <v>38</v>
      </c>
      <c r="L652" t="s">
        <v>13</v>
      </c>
    </row>
    <row r="653" spans="1:12">
      <c r="A653">
        <v>32700</v>
      </c>
      <c r="B653" t="s">
        <v>21</v>
      </c>
      <c r="C653" t="s">
        <v>21</v>
      </c>
      <c r="D653" s="1">
        <v>52245</v>
      </c>
      <c r="E653">
        <v>3</v>
      </c>
      <c r="F653" t="s">
        <v>14</v>
      </c>
      <c r="G653" t="s">
        <v>11</v>
      </c>
      <c r="H653" t="s">
        <v>13</v>
      </c>
      <c r="I653" t="s">
        <v>78</v>
      </c>
      <c r="J653" t="s">
        <v>74</v>
      </c>
      <c r="K653">
        <v>27</v>
      </c>
      <c r="L653" t="s">
        <v>12</v>
      </c>
    </row>
    <row r="654" spans="1:12">
      <c r="A654">
        <v>44620</v>
      </c>
      <c r="B654" t="s">
        <v>22</v>
      </c>
      <c r="C654" t="s">
        <v>20</v>
      </c>
      <c r="D654" s="1">
        <v>64724</v>
      </c>
      <c r="E654">
        <v>4</v>
      </c>
      <c r="F654" t="s">
        <v>17</v>
      </c>
      <c r="G654" t="s">
        <v>15</v>
      </c>
      <c r="H654" t="s">
        <v>13</v>
      </c>
      <c r="I654" t="s">
        <v>81</v>
      </c>
      <c r="J654" t="s">
        <v>71</v>
      </c>
      <c r="K654">
        <v>22</v>
      </c>
      <c r="L654" t="s">
        <v>12</v>
      </c>
    </row>
    <row r="655" spans="1:12">
      <c r="A655">
        <v>30559</v>
      </c>
      <c r="B655" t="s">
        <v>21</v>
      </c>
      <c r="C655" t="s">
        <v>21</v>
      </c>
      <c r="D655" s="1">
        <v>91354</v>
      </c>
      <c r="E655">
        <v>1</v>
      </c>
      <c r="F655" t="s">
        <v>19</v>
      </c>
      <c r="G655" t="s">
        <v>16</v>
      </c>
      <c r="H655" t="s">
        <v>13</v>
      </c>
      <c r="I655" t="s">
        <v>78</v>
      </c>
      <c r="J655" t="s">
        <v>60</v>
      </c>
      <c r="K655">
        <v>44</v>
      </c>
      <c r="L655" t="s">
        <v>12</v>
      </c>
    </row>
    <row r="656" spans="1:12">
      <c r="A656">
        <v>71642</v>
      </c>
      <c r="B656" t="s">
        <v>21</v>
      </c>
      <c r="C656" t="s">
        <v>21</v>
      </c>
      <c r="D656" s="1">
        <v>71374</v>
      </c>
      <c r="E656">
        <v>5</v>
      </c>
      <c r="F656" t="s">
        <v>10</v>
      </c>
      <c r="G656" t="s">
        <v>11</v>
      </c>
      <c r="H656" t="s">
        <v>12</v>
      </c>
      <c r="I656" t="s">
        <v>79</v>
      </c>
      <c r="J656" t="s">
        <v>73</v>
      </c>
      <c r="K656">
        <v>24</v>
      </c>
      <c r="L656" t="s">
        <v>12</v>
      </c>
    </row>
    <row r="657" spans="1:12">
      <c r="A657">
        <v>86539</v>
      </c>
      <c r="B657" t="s">
        <v>22</v>
      </c>
      <c r="C657" t="s">
        <v>20</v>
      </c>
      <c r="D657" s="1">
        <v>50116</v>
      </c>
      <c r="E657">
        <v>4</v>
      </c>
      <c r="F657" t="s">
        <v>10</v>
      </c>
      <c r="G657" t="s">
        <v>16</v>
      </c>
      <c r="H657" t="s">
        <v>13</v>
      </c>
      <c r="I657" t="s">
        <v>77</v>
      </c>
      <c r="J657" t="s">
        <v>62</v>
      </c>
      <c r="K657">
        <v>59</v>
      </c>
      <c r="L657" t="s">
        <v>12</v>
      </c>
    </row>
    <row r="658" spans="1:12">
      <c r="A658">
        <v>31732</v>
      </c>
      <c r="B658" t="s">
        <v>22</v>
      </c>
      <c r="C658" t="s">
        <v>21</v>
      </c>
      <c r="D658" s="1">
        <v>101029</v>
      </c>
      <c r="E658">
        <v>2</v>
      </c>
      <c r="F658" t="s">
        <v>10</v>
      </c>
      <c r="G658" t="s">
        <v>16</v>
      </c>
      <c r="H658" t="s">
        <v>13</v>
      </c>
      <c r="I658" t="s">
        <v>78</v>
      </c>
      <c r="J658" t="s">
        <v>63</v>
      </c>
      <c r="K658">
        <v>38</v>
      </c>
      <c r="L658" t="s">
        <v>13</v>
      </c>
    </row>
    <row r="659" spans="1:12">
      <c r="A659">
        <v>40354</v>
      </c>
      <c r="B659" t="s">
        <v>21</v>
      </c>
      <c r="C659" t="s">
        <v>21</v>
      </c>
      <c r="D659" s="1">
        <v>113574</v>
      </c>
      <c r="E659">
        <v>3</v>
      </c>
      <c r="F659" t="s">
        <v>19</v>
      </c>
      <c r="G659" t="s">
        <v>15</v>
      </c>
      <c r="H659" t="s">
        <v>12</v>
      </c>
      <c r="I659" t="s">
        <v>80</v>
      </c>
      <c r="J659" t="s">
        <v>60</v>
      </c>
      <c r="K659">
        <v>37</v>
      </c>
      <c r="L659" t="s">
        <v>12</v>
      </c>
    </row>
    <row r="660" spans="1:12">
      <c r="A660">
        <v>23843</v>
      </c>
      <c r="B660" t="s">
        <v>21</v>
      </c>
      <c r="C660" t="s">
        <v>21</v>
      </c>
      <c r="D660" s="1">
        <v>40447</v>
      </c>
      <c r="E660">
        <v>5</v>
      </c>
      <c r="F660" t="s">
        <v>14</v>
      </c>
      <c r="G660" t="s">
        <v>15</v>
      </c>
      <c r="H660" t="s">
        <v>13</v>
      </c>
      <c r="I660" t="s">
        <v>80</v>
      </c>
      <c r="J660" t="s">
        <v>59</v>
      </c>
      <c r="K660">
        <v>69</v>
      </c>
      <c r="L660" t="s">
        <v>13</v>
      </c>
    </row>
    <row r="661" spans="1:12">
      <c r="A661">
        <v>81726</v>
      </c>
      <c r="B661" t="s">
        <v>21</v>
      </c>
      <c r="C661" t="s">
        <v>21</v>
      </c>
      <c r="D661" s="1">
        <v>50431</v>
      </c>
      <c r="E661">
        <v>1</v>
      </c>
      <c r="F661" t="s">
        <v>19</v>
      </c>
      <c r="G661" t="s">
        <v>15</v>
      </c>
      <c r="H661" t="s">
        <v>13</v>
      </c>
      <c r="I661" t="s">
        <v>77</v>
      </c>
      <c r="J661" t="s">
        <v>68</v>
      </c>
      <c r="K661">
        <v>50</v>
      </c>
      <c r="L661" t="s">
        <v>12</v>
      </c>
    </row>
    <row r="662" spans="1:12">
      <c r="A662">
        <v>27640</v>
      </c>
      <c r="B662" t="s">
        <v>22</v>
      </c>
      <c r="C662" t="s">
        <v>20</v>
      </c>
      <c r="D662" s="1">
        <v>37908</v>
      </c>
      <c r="E662">
        <v>4</v>
      </c>
      <c r="F662" t="s">
        <v>19</v>
      </c>
      <c r="G662" t="s">
        <v>16</v>
      </c>
      <c r="H662" t="s">
        <v>12</v>
      </c>
      <c r="I662" t="s">
        <v>79</v>
      </c>
      <c r="J662" t="s">
        <v>73</v>
      </c>
      <c r="K662">
        <v>52</v>
      </c>
      <c r="L662" t="s">
        <v>13</v>
      </c>
    </row>
    <row r="663" spans="1:12">
      <c r="A663">
        <v>62528</v>
      </c>
      <c r="B663" t="s">
        <v>21</v>
      </c>
      <c r="C663" t="s">
        <v>20</v>
      </c>
      <c r="D663" s="1">
        <v>49336</v>
      </c>
      <c r="E663">
        <v>3</v>
      </c>
      <c r="F663" t="s">
        <v>17</v>
      </c>
      <c r="G663" t="s">
        <v>16</v>
      </c>
      <c r="H663" t="s">
        <v>13</v>
      </c>
      <c r="I663" t="s">
        <v>80</v>
      </c>
      <c r="J663" t="s">
        <v>64</v>
      </c>
      <c r="K663">
        <v>66</v>
      </c>
      <c r="L663" t="s">
        <v>13</v>
      </c>
    </row>
    <row r="664" spans="1:12">
      <c r="A664">
        <v>48413</v>
      </c>
      <c r="B664" t="s">
        <v>21</v>
      </c>
      <c r="C664" t="s">
        <v>20</v>
      </c>
      <c r="D664" s="1">
        <v>60992</v>
      </c>
      <c r="E664">
        <v>5</v>
      </c>
      <c r="F664" t="s">
        <v>19</v>
      </c>
      <c r="G664" t="s">
        <v>16</v>
      </c>
      <c r="H664" t="s">
        <v>13</v>
      </c>
      <c r="I664" t="s">
        <v>80</v>
      </c>
      <c r="J664" t="s">
        <v>73</v>
      </c>
      <c r="K664">
        <v>37</v>
      </c>
      <c r="L664" t="s">
        <v>13</v>
      </c>
    </row>
    <row r="665" spans="1:12">
      <c r="A665">
        <v>62638</v>
      </c>
      <c r="B665" t="s">
        <v>22</v>
      </c>
      <c r="C665" t="s">
        <v>20</v>
      </c>
      <c r="D665" s="1">
        <v>75350</v>
      </c>
      <c r="E665">
        <v>3</v>
      </c>
      <c r="F665" t="s">
        <v>10</v>
      </c>
      <c r="G665" t="s">
        <v>15</v>
      </c>
      <c r="H665" t="s">
        <v>13</v>
      </c>
      <c r="I665" t="s">
        <v>81</v>
      </c>
      <c r="J665" t="s">
        <v>64</v>
      </c>
      <c r="K665">
        <v>58</v>
      </c>
      <c r="L665" t="s">
        <v>13</v>
      </c>
    </row>
    <row r="666" spans="1:12">
      <c r="A666">
        <v>62736</v>
      </c>
      <c r="B666" t="s">
        <v>22</v>
      </c>
      <c r="C666" t="s">
        <v>20</v>
      </c>
      <c r="D666" s="1">
        <v>89561</v>
      </c>
      <c r="E666">
        <v>1</v>
      </c>
      <c r="F666" t="s">
        <v>14</v>
      </c>
      <c r="G666" t="s">
        <v>18</v>
      </c>
      <c r="H666" t="s">
        <v>13</v>
      </c>
      <c r="I666" t="s">
        <v>78</v>
      </c>
      <c r="J666" t="s">
        <v>62</v>
      </c>
      <c r="K666">
        <v>35</v>
      </c>
      <c r="L666" t="s">
        <v>12</v>
      </c>
    </row>
    <row r="667" spans="1:12">
      <c r="A667">
        <v>78866</v>
      </c>
      <c r="B667" t="s">
        <v>21</v>
      </c>
      <c r="C667" t="s">
        <v>20</v>
      </c>
      <c r="D667" s="1">
        <v>71955</v>
      </c>
      <c r="E667">
        <v>4</v>
      </c>
      <c r="F667" t="s">
        <v>14</v>
      </c>
      <c r="G667" t="s">
        <v>11</v>
      </c>
      <c r="H667" t="s">
        <v>13</v>
      </c>
      <c r="I667" t="s">
        <v>79</v>
      </c>
      <c r="J667" t="s">
        <v>66</v>
      </c>
      <c r="K667">
        <v>35</v>
      </c>
      <c r="L667" t="s">
        <v>12</v>
      </c>
    </row>
    <row r="668" spans="1:12">
      <c r="A668">
        <v>29087</v>
      </c>
      <c r="B668" t="s">
        <v>22</v>
      </c>
      <c r="C668" t="s">
        <v>20</v>
      </c>
      <c r="D668" s="1">
        <v>81240</v>
      </c>
      <c r="E668">
        <v>3</v>
      </c>
      <c r="F668" t="s">
        <v>14</v>
      </c>
      <c r="G668" t="s">
        <v>18</v>
      </c>
      <c r="H668" t="s">
        <v>13</v>
      </c>
      <c r="I668" t="s">
        <v>78</v>
      </c>
      <c r="J668" t="s">
        <v>66</v>
      </c>
      <c r="K668">
        <v>66</v>
      </c>
      <c r="L668" t="s">
        <v>12</v>
      </c>
    </row>
    <row r="669" spans="1:12">
      <c r="A669">
        <v>51430</v>
      </c>
      <c r="B669" t="s">
        <v>22</v>
      </c>
      <c r="C669" t="s">
        <v>20</v>
      </c>
      <c r="D669" s="1">
        <v>40093</v>
      </c>
      <c r="E669">
        <v>3</v>
      </c>
      <c r="F669" t="s">
        <v>10</v>
      </c>
      <c r="G669" t="s">
        <v>16</v>
      </c>
      <c r="H669" t="s">
        <v>12</v>
      </c>
      <c r="I669" t="s">
        <v>79</v>
      </c>
      <c r="J669" t="s">
        <v>60</v>
      </c>
      <c r="K669">
        <v>57</v>
      </c>
      <c r="L669" t="s">
        <v>12</v>
      </c>
    </row>
    <row r="670" spans="1:12">
      <c r="A670">
        <v>34504</v>
      </c>
      <c r="B670" t="s">
        <v>21</v>
      </c>
      <c r="C670" t="s">
        <v>20</v>
      </c>
      <c r="D670" s="1">
        <v>26155</v>
      </c>
      <c r="E670">
        <v>0</v>
      </c>
      <c r="F670" t="s">
        <v>10</v>
      </c>
      <c r="G670" t="s">
        <v>16</v>
      </c>
      <c r="H670" t="s">
        <v>13</v>
      </c>
      <c r="I670" t="s">
        <v>80</v>
      </c>
      <c r="J670" t="s">
        <v>69</v>
      </c>
      <c r="K670">
        <v>60</v>
      </c>
      <c r="L670" t="s">
        <v>12</v>
      </c>
    </row>
    <row r="671" spans="1:12">
      <c r="A671">
        <v>17114</v>
      </c>
      <c r="B671" t="s">
        <v>21</v>
      </c>
      <c r="C671" t="s">
        <v>20</v>
      </c>
      <c r="D671" s="1">
        <v>66607</v>
      </c>
      <c r="E671">
        <v>3</v>
      </c>
      <c r="F671" t="s">
        <v>10</v>
      </c>
      <c r="G671" t="s">
        <v>18</v>
      </c>
      <c r="H671" t="s">
        <v>13</v>
      </c>
      <c r="I671" t="s">
        <v>81</v>
      </c>
      <c r="J671" t="s">
        <v>66</v>
      </c>
      <c r="K671">
        <v>26</v>
      </c>
      <c r="L671" t="s">
        <v>13</v>
      </c>
    </row>
    <row r="672" spans="1:12">
      <c r="A672">
        <v>88859</v>
      </c>
      <c r="B672" t="s">
        <v>22</v>
      </c>
      <c r="C672" t="s">
        <v>21</v>
      </c>
      <c r="D672" s="1">
        <v>53487</v>
      </c>
      <c r="E672">
        <v>0</v>
      </c>
      <c r="F672" t="s">
        <v>10</v>
      </c>
      <c r="G672" t="s">
        <v>16</v>
      </c>
      <c r="H672" t="s">
        <v>12</v>
      </c>
      <c r="I672" t="s">
        <v>78</v>
      </c>
      <c r="J672" t="s">
        <v>60</v>
      </c>
      <c r="K672">
        <v>33</v>
      </c>
      <c r="L672" t="s">
        <v>13</v>
      </c>
    </row>
    <row r="673" spans="1:12">
      <c r="A673">
        <v>20975</v>
      </c>
      <c r="B673" t="s">
        <v>21</v>
      </c>
      <c r="C673" t="s">
        <v>20</v>
      </c>
      <c r="D673" s="1">
        <v>75668</v>
      </c>
      <c r="E673">
        <v>4</v>
      </c>
      <c r="F673" t="s">
        <v>10</v>
      </c>
      <c r="G673" t="s">
        <v>11</v>
      </c>
      <c r="H673" t="s">
        <v>12</v>
      </c>
      <c r="I673" t="s">
        <v>80</v>
      </c>
      <c r="J673" t="s">
        <v>73</v>
      </c>
      <c r="K673">
        <v>62</v>
      </c>
      <c r="L673" t="s">
        <v>13</v>
      </c>
    </row>
    <row r="674" spans="1:12">
      <c r="A674">
        <v>21023</v>
      </c>
      <c r="B674" t="s">
        <v>21</v>
      </c>
      <c r="C674" t="s">
        <v>21</v>
      </c>
      <c r="D674" s="1">
        <v>40963</v>
      </c>
      <c r="E674">
        <v>5</v>
      </c>
      <c r="F674" t="s">
        <v>19</v>
      </c>
      <c r="G674" t="s">
        <v>16</v>
      </c>
      <c r="H674" t="s">
        <v>13</v>
      </c>
      <c r="I674" t="s">
        <v>79</v>
      </c>
      <c r="J674" t="s">
        <v>71</v>
      </c>
      <c r="K674">
        <v>67</v>
      </c>
      <c r="L674" t="s">
        <v>13</v>
      </c>
    </row>
    <row r="675" spans="1:12">
      <c r="A675">
        <v>31447</v>
      </c>
      <c r="B675" t="s">
        <v>21</v>
      </c>
      <c r="C675" t="s">
        <v>21</v>
      </c>
      <c r="D675" s="1">
        <v>70124</v>
      </c>
      <c r="E675">
        <v>5</v>
      </c>
      <c r="F675" t="s">
        <v>10</v>
      </c>
      <c r="G675" t="s">
        <v>11</v>
      </c>
      <c r="H675" t="s">
        <v>12</v>
      </c>
      <c r="I675" t="s">
        <v>78</v>
      </c>
      <c r="J675" t="s">
        <v>66</v>
      </c>
      <c r="K675">
        <v>44</v>
      </c>
      <c r="L675" t="s">
        <v>13</v>
      </c>
    </row>
    <row r="676" spans="1:12">
      <c r="A676">
        <v>33959</v>
      </c>
      <c r="B676" t="s">
        <v>22</v>
      </c>
      <c r="C676" t="s">
        <v>21</v>
      </c>
      <c r="D676" s="1">
        <v>72870</v>
      </c>
      <c r="E676">
        <v>4</v>
      </c>
      <c r="F676" t="s">
        <v>10</v>
      </c>
      <c r="G676" t="s">
        <v>18</v>
      </c>
      <c r="H676" t="s">
        <v>13</v>
      </c>
      <c r="I676" t="s">
        <v>78</v>
      </c>
      <c r="J676" t="s">
        <v>74</v>
      </c>
      <c r="K676">
        <v>51</v>
      </c>
      <c r="L676" t="s">
        <v>13</v>
      </c>
    </row>
    <row r="677" spans="1:12">
      <c r="A677">
        <v>76203</v>
      </c>
      <c r="B677" t="s">
        <v>21</v>
      </c>
      <c r="C677" t="s">
        <v>21</v>
      </c>
      <c r="D677" s="1">
        <v>76547</v>
      </c>
      <c r="E677">
        <v>4</v>
      </c>
      <c r="F677" t="s">
        <v>10</v>
      </c>
      <c r="G677" t="s">
        <v>18</v>
      </c>
      <c r="H677" t="s">
        <v>13</v>
      </c>
      <c r="I677" t="s">
        <v>80</v>
      </c>
      <c r="J677" t="s">
        <v>62</v>
      </c>
      <c r="K677">
        <v>57</v>
      </c>
      <c r="L677" t="s">
        <v>13</v>
      </c>
    </row>
    <row r="678" spans="1:12">
      <c r="A678">
        <v>39703</v>
      </c>
      <c r="B678" t="s">
        <v>21</v>
      </c>
      <c r="C678" t="s">
        <v>20</v>
      </c>
      <c r="D678" s="1">
        <v>84110</v>
      </c>
      <c r="E678">
        <v>2</v>
      </c>
      <c r="F678" t="s">
        <v>10</v>
      </c>
      <c r="G678" t="s">
        <v>16</v>
      </c>
      <c r="H678" t="s">
        <v>12</v>
      </c>
      <c r="I678" t="s">
        <v>78</v>
      </c>
      <c r="J678" t="s">
        <v>65</v>
      </c>
      <c r="K678">
        <v>41</v>
      </c>
      <c r="L678" t="s">
        <v>12</v>
      </c>
    </row>
    <row r="679" spans="1:12">
      <c r="A679">
        <v>19337</v>
      </c>
      <c r="B679" t="s">
        <v>21</v>
      </c>
      <c r="C679" t="s">
        <v>21</v>
      </c>
      <c r="D679" s="1">
        <v>73554</v>
      </c>
      <c r="E679">
        <v>4</v>
      </c>
      <c r="F679" t="s">
        <v>14</v>
      </c>
      <c r="G679" t="s">
        <v>11</v>
      </c>
      <c r="H679" t="s">
        <v>13</v>
      </c>
      <c r="I679" t="s">
        <v>81</v>
      </c>
      <c r="J679" t="s">
        <v>74</v>
      </c>
      <c r="K679">
        <v>35</v>
      </c>
      <c r="L679" t="s">
        <v>12</v>
      </c>
    </row>
    <row r="680" spans="1:12">
      <c r="A680">
        <v>56427</v>
      </c>
      <c r="B680" t="s">
        <v>21</v>
      </c>
      <c r="C680" t="s">
        <v>20</v>
      </c>
      <c r="D680" s="1">
        <v>40936</v>
      </c>
      <c r="E680">
        <v>3</v>
      </c>
      <c r="F680" t="s">
        <v>10</v>
      </c>
      <c r="G680" t="s">
        <v>16</v>
      </c>
      <c r="H680" t="s">
        <v>13</v>
      </c>
      <c r="I680" t="s">
        <v>81</v>
      </c>
      <c r="J680" t="s">
        <v>65</v>
      </c>
      <c r="K680">
        <v>48</v>
      </c>
      <c r="L680" t="s">
        <v>13</v>
      </c>
    </row>
    <row r="681" spans="1:12">
      <c r="A681">
        <v>71529</v>
      </c>
      <c r="B681" t="s">
        <v>22</v>
      </c>
      <c r="C681" t="s">
        <v>20</v>
      </c>
      <c r="D681" s="1">
        <v>24426</v>
      </c>
      <c r="E681">
        <v>5</v>
      </c>
      <c r="F681" t="s">
        <v>19</v>
      </c>
      <c r="G681" t="s">
        <v>15</v>
      </c>
      <c r="H681" t="s">
        <v>12</v>
      </c>
      <c r="I681" t="s">
        <v>80</v>
      </c>
      <c r="J681" t="s">
        <v>72</v>
      </c>
      <c r="K681">
        <v>35</v>
      </c>
      <c r="L681" t="s">
        <v>13</v>
      </c>
    </row>
    <row r="682" spans="1:12">
      <c r="A682">
        <v>94665</v>
      </c>
      <c r="B682" t="s">
        <v>22</v>
      </c>
      <c r="C682" t="s">
        <v>21</v>
      </c>
      <c r="D682" s="1">
        <v>108839</v>
      </c>
      <c r="E682">
        <v>1</v>
      </c>
      <c r="F682" t="s">
        <v>19</v>
      </c>
      <c r="G682" t="s">
        <v>15</v>
      </c>
      <c r="H682" t="s">
        <v>12</v>
      </c>
      <c r="I682" t="s">
        <v>79</v>
      </c>
      <c r="J682" t="s">
        <v>68</v>
      </c>
      <c r="K682">
        <v>31</v>
      </c>
      <c r="L682" t="s">
        <v>13</v>
      </c>
    </row>
    <row r="683" spans="1:12">
      <c r="A683">
        <v>41921</v>
      </c>
      <c r="B683" t="s">
        <v>21</v>
      </c>
      <c r="C683" t="s">
        <v>20</v>
      </c>
      <c r="D683" s="1">
        <v>47606</v>
      </c>
      <c r="E683">
        <v>5</v>
      </c>
      <c r="F683" t="s">
        <v>19</v>
      </c>
      <c r="G683" t="s">
        <v>15</v>
      </c>
      <c r="H683" t="s">
        <v>12</v>
      </c>
      <c r="I683" t="s">
        <v>80</v>
      </c>
      <c r="J683" t="s">
        <v>65</v>
      </c>
      <c r="K683">
        <v>36</v>
      </c>
      <c r="L683" t="s">
        <v>12</v>
      </c>
    </row>
    <row r="684" spans="1:12">
      <c r="A684">
        <v>43307</v>
      </c>
      <c r="B684" t="s">
        <v>21</v>
      </c>
      <c r="C684" t="s">
        <v>21</v>
      </c>
      <c r="D684" s="1">
        <v>67832</v>
      </c>
      <c r="E684">
        <v>0</v>
      </c>
      <c r="F684" t="s">
        <v>17</v>
      </c>
      <c r="G684" t="s">
        <v>15</v>
      </c>
      <c r="H684" t="s">
        <v>12</v>
      </c>
      <c r="I684" t="s">
        <v>81</v>
      </c>
      <c r="J684" t="s">
        <v>70</v>
      </c>
      <c r="K684">
        <v>56</v>
      </c>
      <c r="L684" t="s">
        <v>13</v>
      </c>
    </row>
    <row r="685" spans="1:12">
      <c r="A685">
        <v>37355</v>
      </c>
      <c r="B685" t="s">
        <v>22</v>
      </c>
      <c r="C685" t="s">
        <v>21</v>
      </c>
      <c r="D685" s="1">
        <v>48151</v>
      </c>
      <c r="E685">
        <v>5</v>
      </c>
      <c r="F685" t="s">
        <v>14</v>
      </c>
      <c r="G685" t="s">
        <v>16</v>
      </c>
      <c r="H685" t="s">
        <v>13</v>
      </c>
      <c r="I685" t="s">
        <v>77</v>
      </c>
      <c r="J685" t="s">
        <v>62</v>
      </c>
      <c r="K685">
        <v>46</v>
      </c>
      <c r="L685" t="s">
        <v>12</v>
      </c>
    </row>
    <row r="686" spans="1:12">
      <c r="A686">
        <v>14835</v>
      </c>
      <c r="B686" t="s">
        <v>21</v>
      </c>
      <c r="C686" t="s">
        <v>20</v>
      </c>
      <c r="D686" s="1">
        <v>99303</v>
      </c>
      <c r="E686">
        <v>2</v>
      </c>
      <c r="F686" t="s">
        <v>10</v>
      </c>
      <c r="G686" t="s">
        <v>15</v>
      </c>
      <c r="H686" t="s">
        <v>12</v>
      </c>
      <c r="I686" t="s">
        <v>77</v>
      </c>
      <c r="J686" t="s">
        <v>63</v>
      </c>
      <c r="K686">
        <v>44</v>
      </c>
      <c r="L686" t="s">
        <v>12</v>
      </c>
    </row>
    <row r="687" spans="1:12">
      <c r="A687">
        <v>30159</v>
      </c>
      <c r="B687" t="s">
        <v>21</v>
      </c>
      <c r="C687" t="s">
        <v>20</v>
      </c>
      <c r="D687" s="1">
        <v>31308</v>
      </c>
      <c r="E687">
        <v>4</v>
      </c>
      <c r="F687" t="s">
        <v>17</v>
      </c>
      <c r="G687" t="s">
        <v>11</v>
      </c>
      <c r="H687" t="s">
        <v>12</v>
      </c>
      <c r="I687" t="s">
        <v>78</v>
      </c>
      <c r="J687" t="s">
        <v>68</v>
      </c>
      <c r="K687">
        <v>32</v>
      </c>
      <c r="L687" t="s">
        <v>12</v>
      </c>
    </row>
    <row r="688" spans="1:12">
      <c r="A688">
        <v>57605</v>
      </c>
      <c r="B688" t="s">
        <v>22</v>
      </c>
      <c r="C688" t="s">
        <v>21</v>
      </c>
      <c r="D688" s="1">
        <v>82522</v>
      </c>
      <c r="E688">
        <v>4</v>
      </c>
      <c r="F688" t="s">
        <v>10</v>
      </c>
      <c r="G688" t="s">
        <v>18</v>
      </c>
      <c r="H688" t="s">
        <v>12</v>
      </c>
      <c r="I688" t="s">
        <v>78</v>
      </c>
      <c r="J688" t="s">
        <v>69</v>
      </c>
      <c r="K688">
        <v>27</v>
      </c>
      <c r="L688" t="s">
        <v>13</v>
      </c>
    </row>
    <row r="689" spans="1:12">
      <c r="A689">
        <v>48088</v>
      </c>
      <c r="B689" t="s">
        <v>22</v>
      </c>
      <c r="C689" t="s">
        <v>20</v>
      </c>
      <c r="D689" s="1">
        <v>65671</v>
      </c>
      <c r="E689">
        <v>5</v>
      </c>
      <c r="F689" t="s">
        <v>17</v>
      </c>
      <c r="G689" t="s">
        <v>18</v>
      </c>
      <c r="H689" t="s">
        <v>12</v>
      </c>
      <c r="I689" t="s">
        <v>77</v>
      </c>
      <c r="J689" t="s">
        <v>71</v>
      </c>
      <c r="K689">
        <v>24</v>
      </c>
      <c r="L689" t="s">
        <v>12</v>
      </c>
    </row>
    <row r="690" spans="1:12">
      <c r="A690">
        <v>88752</v>
      </c>
      <c r="B690" t="s">
        <v>21</v>
      </c>
      <c r="C690" t="s">
        <v>20</v>
      </c>
      <c r="D690" s="1">
        <v>110306</v>
      </c>
      <c r="E690">
        <v>1</v>
      </c>
      <c r="F690" t="s">
        <v>17</v>
      </c>
      <c r="G690" t="s">
        <v>15</v>
      </c>
      <c r="H690" t="s">
        <v>12</v>
      </c>
      <c r="I690" t="s">
        <v>81</v>
      </c>
      <c r="J690" t="s">
        <v>60</v>
      </c>
      <c r="K690">
        <v>31</v>
      </c>
      <c r="L690" t="s">
        <v>12</v>
      </c>
    </row>
    <row r="691" spans="1:12">
      <c r="A691">
        <v>65284</v>
      </c>
      <c r="B691" t="s">
        <v>21</v>
      </c>
      <c r="C691" t="s">
        <v>20</v>
      </c>
      <c r="D691" s="1">
        <v>114108</v>
      </c>
      <c r="E691">
        <v>1</v>
      </c>
      <c r="F691" t="s">
        <v>19</v>
      </c>
      <c r="G691" t="s">
        <v>15</v>
      </c>
      <c r="H691" t="s">
        <v>13</v>
      </c>
      <c r="I691" t="s">
        <v>78</v>
      </c>
      <c r="J691" t="s">
        <v>60</v>
      </c>
      <c r="K691">
        <v>60</v>
      </c>
      <c r="L691" t="s">
        <v>12</v>
      </c>
    </row>
    <row r="692" spans="1:12">
      <c r="A692">
        <v>67043</v>
      </c>
      <c r="B692" t="s">
        <v>21</v>
      </c>
      <c r="C692" t="s">
        <v>21</v>
      </c>
      <c r="D692" s="1">
        <v>22204</v>
      </c>
      <c r="E692">
        <v>2</v>
      </c>
      <c r="F692" t="s">
        <v>19</v>
      </c>
      <c r="G692" t="s">
        <v>15</v>
      </c>
      <c r="H692" t="s">
        <v>12</v>
      </c>
      <c r="I692" t="s">
        <v>80</v>
      </c>
      <c r="J692" t="s">
        <v>70</v>
      </c>
      <c r="K692">
        <v>22</v>
      </c>
      <c r="L692" t="s">
        <v>13</v>
      </c>
    </row>
    <row r="693" spans="1:12">
      <c r="A693">
        <v>45547</v>
      </c>
      <c r="B693" t="s">
        <v>21</v>
      </c>
      <c r="C693" t="s">
        <v>21</v>
      </c>
      <c r="D693" s="1">
        <v>112769</v>
      </c>
      <c r="E693">
        <v>0</v>
      </c>
      <c r="F693" t="s">
        <v>17</v>
      </c>
      <c r="G693" t="s">
        <v>16</v>
      </c>
      <c r="H693" t="s">
        <v>13</v>
      </c>
      <c r="I693" t="s">
        <v>80</v>
      </c>
      <c r="J693" t="s">
        <v>74</v>
      </c>
      <c r="K693">
        <v>54</v>
      </c>
      <c r="L693" t="s">
        <v>13</v>
      </c>
    </row>
    <row r="694" spans="1:12">
      <c r="A694">
        <v>92844</v>
      </c>
      <c r="B694" t="s">
        <v>21</v>
      </c>
      <c r="C694" t="s">
        <v>20</v>
      </c>
      <c r="D694" s="1">
        <v>107265</v>
      </c>
      <c r="E694">
        <v>5</v>
      </c>
      <c r="F694" t="s">
        <v>19</v>
      </c>
      <c r="G694" t="s">
        <v>18</v>
      </c>
      <c r="H694" t="s">
        <v>12</v>
      </c>
      <c r="I694" t="s">
        <v>81</v>
      </c>
      <c r="J694" t="s">
        <v>60</v>
      </c>
      <c r="K694">
        <v>52</v>
      </c>
      <c r="L694" t="s">
        <v>13</v>
      </c>
    </row>
    <row r="695" spans="1:12">
      <c r="A695">
        <v>37532</v>
      </c>
      <c r="B695" t="s">
        <v>21</v>
      </c>
      <c r="C695" t="s">
        <v>20</v>
      </c>
      <c r="D695" s="1">
        <v>51131</v>
      </c>
      <c r="E695">
        <v>4</v>
      </c>
      <c r="F695" t="s">
        <v>17</v>
      </c>
      <c r="G695" t="s">
        <v>15</v>
      </c>
      <c r="H695" t="s">
        <v>12</v>
      </c>
      <c r="I695" t="s">
        <v>78</v>
      </c>
      <c r="J695" t="s">
        <v>66</v>
      </c>
      <c r="K695">
        <v>41</v>
      </c>
      <c r="L695" t="s">
        <v>12</v>
      </c>
    </row>
    <row r="696" spans="1:12">
      <c r="A696">
        <v>44349</v>
      </c>
      <c r="B696" t="s">
        <v>21</v>
      </c>
      <c r="C696" t="s">
        <v>20</v>
      </c>
      <c r="D696" s="1">
        <v>72428</v>
      </c>
      <c r="E696">
        <v>5</v>
      </c>
      <c r="F696" t="s">
        <v>14</v>
      </c>
      <c r="G696" t="s">
        <v>11</v>
      </c>
      <c r="H696" t="s">
        <v>12</v>
      </c>
      <c r="I696" t="s">
        <v>80</v>
      </c>
      <c r="J696" t="s">
        <v>61</v>
      </c>
      <c r="K696">
        <v>69</v>
      </c>
      <c r="L696" t="s">
        <v>13</v>
      </c>
    </row>
    <row r="697" spans="1:12">
      <c r="A697">
        <v>55445</v>
      </c>
      <c r="B697" t="s">
        <v>22</v>
      </c>
      <c r="C697" t="s">
        <v>20</v>
      </c>
      <c r="D697" s="1">
        <v>53870</v>
      </c>
      <c r="E697">
        <v>2</v>
      </c>
      <c r="F697" t="s">
        <v>19</v>
      </c>
      <c r="G697" t="s">
        <v>15</v>
      </c>
      <c r="H697" t="s">
        <v>12</v>
      </c>
      <c r="I697" t="s">
        <v>78</v>
      </c>
      <c r="J697" t="s">
        <v>65</v>
      </c>
      <c r="K697">
        <v>63</v>
      </c>
      <c r="L697" t="s">
        <v>13</v>
      </c>
    </row>
    <row r="698" spans="1:12">
      <c r="A698">
        <v>15713</v>
      </c>
      <c r="B698" t="s">
        <v>22</v>
      </c>
      <c r="C698" t="s">
        <v>20</v>
      </c>
      <c r="D698" s="1">
        <v>69067</v>
      </c>
      <c r="E698">
        <v>3</v>
      </c>
      <c r="F698" t="s">
        <v>19</v>
      </c>
      <c r="G698" t="s">
        <v>18</v>
      </c>
      <c r="H698" t="s">
        <v>12</v>
      </c>
      <c r="I698" t="s">
        <v>78</v>
      </c>
      <c r="J698" t="s">
        <v>68</v>
      </c>
      <c r="K698">
        <v>28</v>
      </c>
      <c r="L698" t="s">
        <v>13</v>
      </c>
    </row>
    <row r="699" spans="1:12">
      <c r="A699">
        <v>66178</v>
      </c>
      <c r="B699" t="s">
        <v>21</v>
      </c>
      <c r="C699" t="s">
        <v>21</v>
      </c>
      <c r="D699" s="1">
        <v>78585</v>
      </c>
      <c r="E699">
        <v>3</v>
      </c>
      <c r="F699" t="s">
        <v>19</v>
      </c>
      <c r="G699" t="s">
        <v>15</v>
      </c>
      <c r="H699" t="s">
        <v>12</v>
      </c>
      <c r="I699" t="s">
        <v>80</v>
      </c>
      <c r="J699" t="s">
        <v>73</v>
      </c>
      <c r="K699">
        <v>60</v>
      </c>
      <c r="L699" t="s">
        <v>12</v>
      </c>
    </row>
    <row r="700" spans="1:12">
      <c r="A700">
        <v>59407</v>
      </c>
      <c r="B700" t="s">
        <v>21</v>
      </c>
      <c r="C700" t="s">
        <v>20</v>
      </c>
      <c r="D700" s="1">
        <v>41607</v>
      </c>
      <c r="E700">
        <v>2</v>
      </c>
      <c r="F700" t="s">
        <v>14</v>
      </c>
      <c r="G700" t="s">
        <v>18</v>
      </c>
      <c r="H700" t="s">
        <v>12</v>
      </c>
      <c r="I700" t="s">
        <v>77</v>
      </c>
      <c r="J700" t="s">
        <v>68</v>
      </c>
      <c r="K700">
        <v>37</v>
      </c>
      <c r="L700" t="s">
        <v>13</v>
      </c>
    </row>
    <row r="701" spans="1:12">
      <c r="A701">
        <v>80340</v>
      </c>
      <c r="B701" t="s">
        <v>22</v>
      </c>
      <c r="C701" t="s">
        <v>21</v>
      </c>
      <c r="D701" s="1">
        <v>44968</v>
      </c>
      <c r="E701">
        <v>4</v>
      </c>
      <c r="F701" t="s">
        <v>17</v>
      </c>
      <c r="G701" t="s">
        <v>15</v>
      </c>
      <c r="H701" t="s">
        <v>12</v>
      </c>
      <c r="I701" t="s">
        <v>80</v>
      </c>
      <c r="J701" t="s">
        <v>72</v>
      </c>
      <c r="K701">
        <v>69</v>
      </c>
      <c r="L701" t="s">
        <v>13</v>
      </c>
    </row>
    <row r="702" spans="1:12">
      <c r="A702">
        <v>60990</v>
      </c>
      <c r="B702" t="s">
        <v>21</v>
      </c>
      <c r="C702" t="s">
        <v>20</v>
      </c>
      <c r="D702" s="1">
        <v>118934</v>
      </c>
      <c r="E702">
        <v>2</v>
      </c>
      <c r="F702" t="s">
        <v>10</v>
      </c>
      <c r="G702" t="s">
        <v>11</v>
      </c>
      <c r="H702" t="s">
        <v>13</v>
      </c>
      <c r="I702" t="s">
        <v>81</v>
      </c>
      <c r="J702" t="s">
        <v>68</v>
      </c>
      <c r="K702">
        <v>48</v>
      </c>
      <c r="L702" t="s">
        <v>12</v>
      </c>
    </row>
    <row r="703" spans="1:12">
      <c r="A703">
        <v>85672</v>
      </c>
      <c r="B703" t="s">
        <v>21</v>
      </c>
      <c r="C703" t="s">
        <v>21</v>
      </c>
      <c r="D703" s="1">
        <v>31908</v>
      </c>
      <c r="E703">
        <v>4</v>
      </c>
      <c r="F703" t="s">
        <v>19</v>
      </c>
      <c r="G703" t="s">
        <v>15</v>
      </c>
      <c r="H703" t="s">
        <v>12</v>
      </c>
      <c r="I703" t="s">
        <v>79</v>
      </c>
      <c r="J703" t="s">
        <v>69</v>
      </c>
      <c r="K703">
        <v>58</v>
      </c>
      <c r="L703" t="s">
        <v>12</v>
      </c>
    </row>
    <row r="704" spans="1:12">
      <c r="A704">
        <v>75545</v>
      </c>
      <c r="B704" t="s">
        <v>22</v>
      </c>
      <c r="C704" t="s">
        <v>20</v>
      </c>
      <c r="D704" s="1">
        <v>46423</v>
      </c>
      <c r="E704">
        <v>1</v>
      </c>
      <c r="F704" t="s">
        <v>17</v>
      </c>
      <c r="G704" t="s">
        <v>11</v>
      </c>
      <c r="H704" t="s">
        <v>13</v>
      </c>
      <c r="I704" t="s">
        <v>80</v>
      </c>
      <c r="J704" t="s">
        <v>74</v>
      </c>
      <c r="K704">
        <v>46</v>
      </c>
      <c r="L704" t="s">
        <v>12</v>
      </c>
    </row>
    <row r="705" spans="1:12">
      <c r="A705">
        <v>94791</v>
      </c>
      <c r="B705" t="s">
        <v>21</v>
      </c>
      <c r="C705" t="s">
        <v>21</v>
      </c>
      <c r="D705" s="1">
        <v>94707</v>
      </c>
      <c r="E705">
        <v>2</v>
      </c>
      <c r="F705" t="s">
        <v>14</v>
      </c>
      <c r="G705" t="s">
        <v>11</v>
      </c>
      <c r="H705" t="s">
        <v>12</v>
      </c>
      <c r="I705" t="s">
        <v>78</v>
      </c>
      <c r="J705" t="s">
        <v>70</v>
      </c>
      <c r="K705">
        <v>55</v>
      </c>
      <c r="L705" t="s">
        <v>13</v>
      </c>
    </row>
    <row r="706" spans="1:12">
      <c r="A706">
        <v>68141</v>
      </c>
      <c r="B706" t="s">
        <v>22</v>
      </c>
      <c r="C706" t="s">
        <v>20</v>
      </c>
      <c r="D706" s="1">
        <v>98257</v>
      </c>
      <c r="E706">
        <v>4</v>
      </c>
      <c r="F706" t="s">
        <v>10</v>
      </c>
      <c r="G706" t="s">
        <v>15</v>
      </c>
      <c r="H706" t="s">
        <v>13</v>
      </c>
      <c r="I706" t="s">
        <v>78</v>
      </c>
      <c r="J706" t="s">
        <v>59</v>
      </c>
      <c r="K706">
        <v>64</v>
      </c>
      <c r="L706" t="s">
        <v>12</v>
      </c>
    </row>
    <row r="707" spans="1:12">
      <c r="A707">
        <v>33793</v>
      </c>
      <c r="B707" t="s">
        <v>22</v>
      </c>
      <c r="C707" t="s">
        <v>21</v>
      </c>
      <c r="D707" s="1">
        <v>81215</v>
      </c>
      <c r="E707">
        <v>2</v>
      </c>
      <c r="F707" t="s">
        <v>19</v>
      </c>
      <c r="G707" t="s">
        <v>11</v>
      </c>
      <c r="H707" t="s">
        <v>12</v>
      </c>
      <c r="I707" t="s">
        <v>80</v>
      </c>
      <c r="J707" t="s">
        <v>73</v>
      </c>
      <c r="K707">
        <v>36</v>
      </c>
      <c r="L707" t="s">
        <v>12</v>
      </c>
    </row>
    <row r="708" spans="1:12">
      <c r="A708">
        <v>66570</v>
      </c>
      <c r="B708" t="s">
        <v>21</v>
      </c>
      <c r="C708" t="s">
        <v>21</v>
      </c>
      <c r="D708" s="1">
        <v>75835</v>
      </c>
      <c r="E708">
        <v>2</v>
      </c>
      <c r="F708" t="s">
        <v>14</v>
      </c>
      <c r="G708" t="s">
        <v>16</v>
      </c>
      <c r="H708" t="s">
        <v>12</v>
      </c>
      <c r="I708" t="s">
        <v>79</v>
      </c>
      <c r="J708" t="s">
        <v>61</v>
      </c>
      <c r="K708">
        <v>53</v>
      </c>
      <c r="L708" t="s">
        <v>12</v>
      </c>
    </row>
    <row r="709" spans="1:12">
      <c r="A709">
        <v>47892</v>
      </c>
      <c r="B709" t="s">
        <v>21</v>
      </c>
      <c r="C709" t="s">
        <v>21</v>
      </c>
      <c r="D709" s="1">
        <v>69429</v>
      </c>
      <c r="E709">
        <v>4</v>
      </c>
      <c r="F709" t="s">
        <v>14</v>
      </c>
      <c r="G709" t="s">
        <v>15</v>
      </c>
      <c r="H709" t="s">
        <v>12</v>
      </c>
      <c r="I709" t="s">
        <v>80</v>
      </c>
      <c r="J709" t="s">
        <v>61</v>
      </c>
      <c r="K709">
        <v>65</v>
      </c>
      <c r="L709" t="s">
        <v>13</v>
      </c>
    </row>
    <row r="710" spans="1:12">
      <c r="A710">
        <v>11015</v>
      </c>
      <c r="B710" t="s">
        <v>21</v>
      </c>
      <c r="C710" t="s">
        <v>21</v>
      </c>
      <c r="D710" s="1">
        <v>102152</v>
      </c>
      <c r="E710">
        <v>4</v>
      </c>
      <c r="F710" t="s">
        <v>10</v>
      </c>
      <c r="G710" t="s">
        <v>15</v>
      </c>
      <c r="H710" t="s">
        <v>13</v>
      </c>
      <c r="I710" t="s">
        <v>79</v>
      </c>
      <c r="J710" t="s">
        <v>71</v>
      </c>
      <c r="K710">
        <v>22</v>
      </c>
      <c r="L710" t="s">
        <v>13</v>
      </c>
    </row>
    <row r="711" spans="1:12">
      <c r="A711">
        <v>71813</v>
      </c>
      <c r="B711" t="s">
        <v>22</v>
      </c>
      <c r="C711" t="s">
        <v>21</v>
      </c>
      <c r="D711" s="1">
        <v>58458</v>
      </c>
      <c r="E711">
        <v>0</v>
      </c>
      <c r="F711" t="s">
        <v>17</v>
      </c>
      <c r="G711" t="s">
        <v>11</v>
      </c>
      <c r="H711" t="s">
        <v>13</v>
      </c>
      <c r="I711" t="s">
        <v>79</v>
      </c>
      <c r="J711" t="s">
        <v>69</v>
      </c>
      <c r="K711">
        <v>24</v>
      </c>
      <c r="L711" t="s">
        <v>13</v>
      </c>
    </row>
    <row r="712" spans="1:12">
      <c r="A712">
        <v>37712</v>
      </c>
      <c r="B712" t="s">
        <v>22</v>
      </c>
      <c r="C712" t="s">
        <v>21</v>
      </c>
      <c r="D712" s="1">
        <v>66169</v>
      </c>
      <c r="E712">
        <v>2</v>
      </c>
      <c r="F712" t="s">
        <v>19</v>
      </c>
      <c r="G712" t="s">
        <v>11</v>
      </c>
      <c r="H712" t="s">
        <v>13</v>
      </c>
      <c r="I712" t="s">
        <v>81</v>
      </c>
      <c r="J712" t="s">
        <v>73</v>
      </c>
      <c r="K712">
        <v>33</v>
      </c>
      <c r="L712" t="s">
        <v>13</v>
      </c>
    </row>
    <row r="713" spans="1:12">
      <c r="A713">
        <v>18415</v>
      </c>
      <c r="B713" t="s">
        <v>22</v>
      </c>
      <c r="C713" t="s">
        <v>20</v>
      </c>
      <c r="D713" s="1">
        <v>27659</v>
      </c>
      <c r="E713">
        <v>3</v>
      </c>
      <c r="F713" t="s">
        <v>19</v>
      </c>
      <c r="G713" t="s">
        <v>15</v>
      </c>
      <c r="H713" t="s">
        <v>13</v>
      </c>
      <c r="I713" t="s">
        <v>78</v>
      </c>
      <c r="J713" t="s">
        <v>71</v>
      </c>
      <c r="K713">
        <v>22</v>
      </c>
      <c r="L713" t="s">
        <v>12</v>
      </c>
    </row>
    <row r="714" spans="1:12">
      <c r="A714">
        <v>72292</v>
      </c>
      <c r="B714" t="s">
        <v>21</v>
      </c>
      <c r="C714" t="s">
        <v>21</v>
      </c>
      <c r="D714" s="1">
        <v>80614</v>
      </c>
      <c r="E714">
        <v>2</v>
      </c>
      <c r="F714" t="s">
        <v>17</v>
      </c>
      <c r="G714" t="s">
        <v>16</v>
      </c>
      <c r="H714" t="s">
        <v>12</v>
      </c>
      <c r="I714" t="s">
        <v>78</v>
      </c>
      <c r="J714" t="s">
        <v>66</v>
      </c>
      <c r="K714">
        <v>42</v>
      </c>
      <c r="L714" t="s">
        <v>13</v>
      </c>
    </row>
    <row r="715" spans="1:12">
      <c r="A715">
        <v>33833</v>
      </c>
      <c r="B715" t="s">
        <v>22</v>
      </c>
      <c r="C715" t="s">
        <v>20</v>
      </c>
      <c r="D715" s="1">
        <v>97240</v>
      </c>
      <c r="E715">
        <v>2</v>
      </c>
      <c r="F715" t="s">
        <v>17</v>
      </c>
      <c r="G715" t="s">
        <v>11</v>
      </c>
      <c r="H715" t="s">
        <v>12</v>
      </c>
      <c r="I715" t="s">
        <v>79</v>
      </c>
      <c r="J715" t="s">
        <v>68</v>
      </c>
      <c r="K715">
        <v>58</v>
      </c>
      <c r="L715" t="s">
        <v>13</v>
      </c>
    </row>
    <row r="716" spans="1:12">
      <c r="A716">
        <v>14158</v>
      </c>
      <c r="B716" t="s">
        <v>22</v>
      </c>
      <c r="C716" t="s">
        <v>20</v>
      </c>
      <c r="D716" s="1">
        <v>52793</v>
      </c>
      <c r="E716">
        <v>4</v>
      </c>
      <c r="F716" t="s">
        <v>17</v>
      </c>
      <c r="G716" t="s">
        <v>11</v>
      </c>
      <c r="H716" t="s">
        <v>12</v>
      </c>
      <c r="I716" t="s">
        <v>78</v>
      </c>
      <c r="J716" t="s">
        <v>70</v>
      </c>
      <c r="K716">
        <v>49</v>
      </c>
      <c r="L716" t="s">
        <v>12</v>
      </c>
    </row>
    <row r="717" spans="1:12">
      <c r="A717">
        <v>72680</v>
      </c>
      <c r="B717" t="s">
        <v>22</v>
      </c>
      <c r="C717" t="s">
        <v>20</v>
      </c>
      <c r="D717" s="1">
        <v>66473</v>
      </c>
      <c r="E717">
        <v>2</v>
      </c>
      <c r="F717" t="s">
        <v>10</v>
      </c>
      <c r="G717" t="s">
        <v>18</v>
      </c>
      <c r="H717" t="s">
        <v>13</v>
      </c>
      <c r="I717" t="s">
        <v>77</v>
      </c>
      <c r="J717" t="s">
        <v>70</v>
      </c>
      <c r="K717">
        <v>69</v>
      </c>
      <c r="L717" t="s">
        <v>13</v>
      </c>
    </row>
    <row r="718" spans="1:12">
      <c r="A718">
        <v>30309</v>
      </c>
      <c r="B718" t="s">
        <v>22</v>
      </c>
      <c r="C718" t="s">
        <v>20</v>
      </c>
      <c r="D718" s="1">
        <v>116762</v>
      </c>
      <c r="E718">
        <v>5</v>
      </c>
      <c r="F718" t="s">
        <v>10</v>
      </c>
      <c r="G718" t="s">
        <v>16</v>
      </c>
      <c r="H718" t="s">
        <v>12</v>
      </c>
      <c r="I718" t="s">
        <v>79</v>
      </c>
      <c r="J718" t="s">
        <v>62</v>
      </c>
      <c r="K718">
        <v>64</v>
      </c>
      <c r="L718" t="s">
        <v>13</v>
      </c>
    </row>
    <row r="719" spans="1:12">
      <c r="A719">
        <v>16970</v>
      </c>
      <c r="B719" t="s">
        <v>22</v>
      </c>
      <c r="C719" t="s">
        <v>20</v>
      </c>
      <c r="D719" s="1">
        <v>109388</v>
      </c>
      <c r="E719">
        <v>2</v>
      </c>
      <c r="F719" t="s">
        <v>19</v>
      </c>
      <c r="G719" t="s">
        <v>16</v>
      </c>
      <c r="H719" t="s">
        <v>13</v>
      </c>
      <c r="I719" t="s">
        <v>78</v>
      </c>
      <c r="J719" t="s">
        <v>61</v>
      </c>
      <c r="K719">
        <v>42</v>
      </c>
      <c r="L719" t="s">
        <v>13</v>
      </c>
    </row>
    <row r="720" spans="1:12">
      <c r="A720">
        <v>82474</v>
      </c>
      <c r="B720" t="s">
        <v>22</v>
      </c>
      <c r="C720" t="s">
        <v>21</v>
      </c>
      <c r="D720" s="1">
        <v>117618</v>
      </c>
      <c r="E720">
        <v>5</v>
      </c>
      <c r="F720" t="s">
        <v>10</v>
      </c>
      <c r="G720" t="s">
        <v>15</v>
      </c>
      <c r="H720" t="s">
        <v>13</v>
      </c>
      <c r="I720" t="s">
        <v>77</v>
      </c>
      <c r="J720" t="s">
        <v>65</v>
      </c>
      <c r="K720">
        <v>46</v>
      </c>
      <c r="L720" t="s">
        <v>12</v>
      </c>
    </row>
    <row r="721" spans="1:12">
      <c r="A721">
        <v>96704</v>
      </c>
      <c r="B721" t="s">
        <v>22</v>
      </c>
      <c r="C721" t="s">
        <v>21</v>
      </c>
      <c r="D721" s="1">
        <v>108330</v>
      </c>
      <c r="E721">
        <v>3</v>
      </c>
      <c r="F721" t="s">
        <v>14</v>
      </c>
      <c r="G721" t="s">
        <v>16</v>
      </c>
      <c r="H721" t="s">
        <v>13</v>
      </c>
      <c r="I721" t="s">
        <v>81</v>
      </c>
      <c r="J721" t="s">
        <v>66</v>
      </c>
      <c r="K721">
        <v>29</v>
      </c>
      <c r="L721" t="s">
        <v>13</v>
      </c>
    </row>
    <row r="722" spans="1:12">
      <c r="A722">
        <v>56540</v>
      </c>
      <c r="B722" t="s">
        <v>21</v>
      </c>
      <c r="C722" t="s">
        <v>21</v>
      </c>
      <c r="D722" s="1">
        <v>75751</v>
      </c>
      <c r="E722">
        <v>4</v>
      </c>
      <c r="F722" t="s">
        <v>19</v>
      </c>
      <c r="G722" t="s">
        <v>15</v>
      </c>
      <c r="H722" t="s">
        <v>13</v>
      </c>
      <c r="I722" t="s">
        <v>78</v>
      </c>
      <c r="J722" t="s">
        <v>68</v>
      </c>
      <c r="K722">
        <v>44</v>
      </c>
      <c r="L722" t="s">
        <v>13</v>
      </c>
    </row>
    <row r="723" spans="1:12">
      <c r="A723">
        <v>30384</v>
      </c>
      <c r="B723" t="s">
        <v>21</v>
      </c>
      <c r="C723" t="s">
        <v>20</v>
      </c>
      <c r="D723" s="1">
        <v>98915</v>
      </c>
      <c r="E723">
        <v>2</v>
      </c>
      <c r="F723" t="s">
        <v>10</v>
      </c>
      <c r="G723" t="s">
        <v>18</v>
      </c>
      <c r="H723" t="s">
        <v>13</v>
      </c>
      <c r="I723" t="s">
        <v>77</v>
      </c>
      <c r="J723" t="s">
        <v>62</v>
      </c>
      <c r="K723">
        <v>32</v>
      </c>
      <c r="L723" t="s">
        <v>12</v>
      </c>
    </row>
    <row r="724" spans="1:12">
      <c r="A724">
        <v>28017</v>
      </c>
      <c r="B724" t="s">
        <v>22</v>
      </c>
      <c r="C724" t="s">
        <v>21</v>
      </c>
      <c r="D724" s="1">
        <v>74254</v>
      </c>
      <c r="E724">
        <v>5</v>
      </c>
      <c r="F724" t="s">
        <v>17</v>
      </c>
      <c r="G724" t="s">
        <v>16</v>
      </c>
      <c r="H724" t="s">
        <v>12</v>
      </c>
      <c r="I724" t="s">
        <v>80</v>
      </c>
      <c r="J724" t="s">
        <v>74</v>
      </c>
      <c r="K724">
        <v>35</v>
      </c>
      <c r="L724" t="s">
        <v>12</v>
      </c>
    </row>
    <row r="725" spans="1:12">
      <c r="A725">
        <v>85880</v>
      </c>
      <c r="B725" t="s">
        <v>21</v>
      </c>
      <c r="C725" t="s">
        <v>21</v>
      </c>
      <c r="D725" s="1">
        <v>27006</v>
      </c>
      <c r="E725">
        <v>5</v>
      </c>
      <c r="F725" t="s">
        <v>14</v>
      </c>
      <c r="G725" t="s">
        <v>11</v>
      </c>
      <c r="H725" t="s">
        <v>13</v>
      </c>
      <c r="I725" t="s">
        <v>80</v>
      </c>
      <c r="J725" t="s">
        <v>73</v>
      </c>
      <c r="K725">
        <v>60</v>
      </c>
      <c r="L725" t="s">
        <v>12</v>
      </c>
    </row>
    <row r="726" spans="1:12">
      <c r="A726">
        <v>18702</v>
      </c>
      <c r="B726" t="s">
        <v>22</v>
      </c>
      <c r="C726" t="s">
        <v>21</v>
      </c>
      <c r="D726" s="1">
        <v>94218</v>
      </c>
      <c r="E726">
        <v>5</v>
      </c>
      <c r="F726" t="s">
        <v>17</v>
      </c>
      <c r="G726" t="s">
        <v>18</v>
      </c>
      <c r="H726" t="s">
        <v>13</v>
      </c>
      <c r="I726" t="s">
        <v>77</v>
      </c>
      <c r="J726" t="s">
        <v>68</v>
      </c>
      <c r="K726">
        <v>53</v>
      </c>
      <c r="L726" t="s">
        <v>13</v>
      </c>
    </row>
    <row r="727" spans="1:12">
      <c r="A727">
        <v>10384</v>
      </c>
      <c r="B727" t="s">
        <v>22</v>
      </c>
      <c r="C727" t="s">
        <v>21</v>
      </c>
      <c r="D727" s="1">
        <v>85344</v>
      </c>
      <c r="E727">
        <v>1</v>
      </c>
      <c r="F727" t="s">
        <v>19</v>
      </c>
      <c r="G727" t="s">
        <v>15</v>
      </c>
      <c r="H727" t="s">
        <v>12</v>
      </c>
      <c r="I727" t="s">
        <v>79</v>
      </c>
      <c r="J727" t="s">
        <v>68</v>
      </c>
      <c r="K727">
        <v>56</v>
      </c>
      <c r="L727" t="s">
        <v>13</v>
      </c>
    </row>
    <row r="728" spans="1:12">
      <c r="A728">
        <v>10404</v>
      </c>
      <c r="B728" t="s">
        <v>22</v>
      </c>
      <c r="C728" t="s">
        <v>21</v>
      </c>
      <c r="D728" s="1">
        <v>53840</v>
      </c>
      <c r="E728">
        <v>0</v>
      </c>
      <c r="F728" t="s">
        <v>17</v>
      </c>
      <c r="G728" t="s">
        <v>18</v>
      </c>
      <c r="H728" t="s">
        <v>13</v>
      </c>
      <c r="I728" t="s">
        <v>79</v>
      </c>
      <c r="J728" t="s">
        <v>71</v>
      </c>
      <c r="K728">
        <v>41</v>
      </c>
      <c r="L728" t="s">
        <v>12</v>
      </c>
    </row>
    <row r="729" spans="1:12">
      <c r="A729">
        <v>50943</v>
      </c>
      <c r="B729" t="s">
        <v>21</v>
      </c>
      <c r="C729" t="s">
        <v>20</v>
      </c>
      <c r="D729" s="1">
        <v>52430</v>
      </c>
      <c r="E729">
        <v>3</v>
      </c>
      <c r="F729" t="s">
        <v>10</v>
      </c>
      <c r="G729" t="s">
        <v>15</v>
      </c>
      <c r="H729" t="s">
        <v>13</v>
      </c>
      <c r="I729" t="s">
        <v>78</v>
      </c>
      <c r="J729" t="s">
        <v>70</v>
      </c>
      <c r="K729">
        <v>36</v>
      </c>
      <c r="L729" t="s">
        <v>12</v>
      </c>
    </row>
    <row r="730" spans="1:12">
      <c r="A730">
        <v>57926</v>
      </c>
      <c r="B730" t="s">
        <v>21</v>
      </c>
      <c r="C730" t="s">
        <v>21</v>
      </c>
      <c r="D730" s="1">
        <v>43091</v>
      </c>
      <c r="E730">
        <v>2</v>
      </c>
      <c r="F730" t="s">
        <v>10</v>
      </c>
      <c r="G730" t="s">
        <v>18</v>
      </c>
      <c r="H730" t="s">
        <v>12</v>
      </c>
      <c r="I730" t="s">
        <v>80</v>
      </c>
      <c r="J730" t="s">
        <v>71</v>
      </c>
      <c r="K730">
        <v>42</v>
      </c>
      <c r="L730" t="s">
        <v>12</v>
      </c>
    </row>
    <row r="731" spans="1:12">
      <c r="A731">
        <v>39189</v>
      </c>
      <c r="B731" t="s">
        <v>21</v>
      </c>
      <c r="C731" t="s">
        <v>20</v>
      </c>
      <c r="D731" s="1">
        <v>52983</v>
      </c>
      <c r="E731">
        <v>1</v>
      </c>
      <c r="F731" t="s">
        <v>19</v>
      </c>
      <c r="G731" t="s">
        <v>15</v>
      </c>
      <c r="H731" t="s">
        <v>12</v>
      </c>
      <c r="I731" t="s">
        <v>79</v>
      </c>
      <c r="J731" t="s">
        <v>67</v>
      </c>
      <c r="K731">
        <v>55</v>
      </c>
      <c r="L731" t="s">
        <v>13</v>
      </c>
    </row>
    <row r="732" spans="1:12">
      <c r="A732">
        <v>22763</v>
      </c>
      <c r="B732" t="s">
        <v>22</v>
      </c>
      <c r="C732" t="s">
        <v>20</v>
      </c>
      <c r="D732" s="1">
        <v>43989</v>
      </c>
      <c r="E732">
        <v>2</v>
      </c>
      <c r="F732" t="s">
        <v>17</v>
      </c>
      <c r="G732" t="s">
        <v>16</v>
      </c>
      <c r="H732" t="s">
        <v>12</v>
      </c>
      <c r="I732" t="s">
        <v>79</v>
      </c>
      <c r="J732" t="s">
        <v>70</v>
      </c>
      <c r="K732">
        <v>68</v>
      </c>
      <c r="L732" t="s">
        <v>12</v>
      </c>
    </row>
    <row r="733" spans="1:12">
      <c r="A733">
        <v>28384</v>
      </c>
      <c r="B733" t="s">
        <v>22</v>
      </c>
      <c r="C733" t="s">
        <v>20</v>
      </c>
      <c r="D733" s="1">
        <v>95451</v>
      </c>
      <c r="E733">
        <v>2</v>
      </c>
      <c r="F733" t="s">
        <v>19</v>
      </c>
      <c r="G733" t="s">
        <v>11</v>
      </c>
      <c r="H733" t="s">
        <v>13</v>
      </c>
      <c r="I733" t="s">
        <v>80</v>
      </c>
      <c r="J733" t="s">
        <v>67</v>
      </c>
      <c r="K733">
        <v>28</v>
      </c>
      <c r="L733" t="s">
        <v>13</v>
      </c>
    </row>
    <row r="734" spans="1:12">
      <c r="A734">
        <v>70100</v>
      </c>
      <c r="B734" t="s">
        <v>22</v>
      </c>
      <c r="C734" t="s">
        <v>20</v>
      </c>
      <c r="D734" s="1">
        <v>38990</v>
      </c>
      <c r="E734">
        <v>4</v>
      </c>
      <c r="F734" t="s">
        <v>17</v>
      </c>
      <c r="G734" t="s">
        <v>15</v>
      </c>
      <c r="H734" t="s">
        <v>12</v>
      </c>
      <c r="I734" t="s">
        <v>81</v>
      </c>
      <c r="J734" t="s">
        <v>74</v>
      </c>
      <c r="K734">
        <v>21</v>
      </c>
      <c r="L734" t="s">
        <v>13</v>
      </c>
    </row>
    <row r="735" spans="1:12">
      <c r="A735">
        <v>19860</v>
      </c>
      <c r="B735" t="s">
        <v>21</v>
      </c>
      <c r="C735" t="s">
        <v>20</v>
      </c>
      <c r="D735" s="1">
        <v>110270</v>
      </c>
      <c r="E735">
        <v>4</v>
      </c>
      <c r="F735" t="s">
        <v>14</v>
      </c>
      <c r="G735" t="s">
        <v>18</v>
      </c>
      <c r="H735" t="s">
        <v>12</v>
      </c>
      <c r="I735" t="s">
        <v>79</v>
      </c>
      <c r="J735" t="s">
        <v>68</v>
      </c>
      <c r="K735">
        <v>51</v>
      </c>
      <c r="L735" t="s">
        <v>13</v>
      </c>
    </row>
    <row r="736" spans="1:12">
      <c r="A736">
        <v>90642</v>
      </c>
      <c r="B736" t="s">
        <v>22</v>
      </c>
      <c r="C736" t="s">
        <v>21</v>
      </c>
      <c r="D736" s="1">
        <v>100360</v>
      </c>
      <c r="E736">
        <v>4</v>
      </c>
      <c r="F736" t="s">
        <v>10</v>
      </c>
      <c r="G736" t="s">
        <v>15</v>
      </c>
      <c r="H736" t="s">
        <v>12</v>
      </c>
      <c r="I736" t="s">
        <v>77</v>
      </c>
      <c r="J736" t="s">
        <v>63</v>
      </c>
      <c r="K736">
        <v>69</v>
      </c>
      <c r="L736" t="s">
        <v>12</v>
      </c>
    </row>
    <row r="737" spans="1:12">
      <c r="A737">
        <v>60612</v>
      </c>
      <c r="B737" t="s">
        <v>22</v>
      </c>
      <c r="C737" t="s">
        <v>21</v>
      </c>
      <c r="D737" s="1">
        <v>56081</v>
      </c>
      <c r="E737">
        <v>1</v>
      </c>
      <c r="F737" t="s">
        <v>19</v>
      </c>
      <c r="G737" t="s">
        <v>15</v>
      </c>
      <c r="H737" t="s">
        <v>13</v>
      </c>
      <c r="I737" t="s">
        <v>78</v>
      </c>
      <c r="J737" t="s">
        <v>62</v>
      </c>
      <c r="K737">
        <v>41</v>
      </c>
      <c r="L737" t="s">
        <v>12</v>
      </c>
    </row>
    <row r="738" spans="1:12">
      <c r="A738">
        <v>33574</v>
      </c>
      <c r="B738" t="s">
        <v>21</v>
      </c>
      <c r="C738" t="s">
        <v>21</v>
      </c>
      <c r="D738" s="1">
        <v>31033</v>
      </c>
      <c r="E738">
        <v>2</v>
      </c>
      <c r="F738" t="s">
        <v>14</v>
      </c>
      <c r="G738" t="s">
        <v>15</v>
      </c>
      <c r="H738" t="s">
        <v>12</v>
      </c>
      <c r="I738" t="s">
        <v>79</v>
      </c>
      <c r="J738" t="s">
        <v>61</v>
      </c>
      <c r="K738">
        <v>62</v>
      </c>
      <c r="L738" t="s">
        <v>13</v>
      </c>
    </row>
    <row r="739" spans="1:12">
      <c r="A739">
        <v>33524</v>
      </c>
      <c r="B739" t="s">
        <v>22</v>
      </c>
      <c r="C739" t="s">
        <v>20</v>
      </c>
      <c r="D739" s="1">
        <v>36241</v>
      </c>
      <c r="E739">
        <v>0</v>
      </c>
      <c r="F739" t="s">
        <v>14</v>
      </c>
      <c r="G739" t="s">
        <v>18</v>
      </c>
      <c r="H739" t="s">
        <v>13</v>
      </c>
      <c r="I739" t="s">
        <v>79</v>
      </c>
      <c r="J739" t="s">
        <v>73</v>
      </c>
      <c r="K739">
        <v>32</v>
      </c>
      <c r="L739" t="s">
        <v>12</v>
      </c>
    </row>
    <row r="740" spans="1:12">
      <c r="A740">
        <v>79172</v>
      </c>
      <c r="B740" t="s">
        <v>21</v>
      </c>
      <c r="C740" t="s">
        <v>21</v>
      </c>
      <c r="D740" s="1">
        <v>25939</v>
      </c>
      <c r="E740">
        <v>3</v>
      </c>
      <c r="F740" t="s">
        <v>19</v>
      </c>
      <c r="G740" t="s">
        <v>11</v>
      </c>
      <c r="H740" t="s">
        <v>13</v>
      </c>
      <c r="I740" t="s">
        <v>81</v>
      </c>
      <c r="J740" t="s">
        <v>68</v>
      </c>
      <c r="K740">
        <v>27</v>
      </c>
      <c r="L740" t="s">
        <v>12</v>
      </c>
    </row>
    <row r="741" spans="1:12">
      <c r="A741">
        <v>20916</v>
      </c>
      <c r="B741" t="s">
        <v>21</v>
      </c>
      <c r="C741" t="s">
        <v>21</v>
      </c>
      <c r="D741" s="1">
        <v>67562</v>
      </c>
      <c r="E741">
        <v>4</v>
      </c>
      <c r="F741" t="s">
        <v>19</v>
      </c>
      <c r="G741" t="s">
        <v>16</v>
      </c>
      <c r="H741" t="s">
        <v>12</v>
      </c>
      <c r="I741" t="s">
        <v>77</v>
      </c>
      <c r="J741" t="s">
        <v>68</v>
      </c>
      <c r="K741">
        <v>20</v>
      </c>
      <c r="L741" t="s">
        <v>13</v>
      </c>
    </row>
    <row r="742" spans="1:12">
      <c r="A742">
        <v>14809</v>
      </c>
      <c r="B742" t="s">
        <v>22</v>
      </c>
      <c r="C742" t="s">
        <v>20</v>
      </c>
      <c r="D742" s="1">
        <v>55063</v>
      </c>
      <c r="E742">
        <v>4</v>
      </c>
      <c r="F742" t="s">
        <v>14</v>
      </c>
      <c r="G742" t="s">
        <v>11</v>
      </c>
      <c r="H742" t="s">
        <v>13</v>
      </c>
      <c r="I742" t="s">
        <v>78</v>
      </c>
      <c r="J742" t="s">
        <v>61</v>
      </c>
      <c r="K742">
        <v>36</v>
      </c>
      <c r="L742" t="s">
        <v>12</v>
      </c>
    </row>
    <row r="743" spans="1:12">
      <c r="A743">
        <v>42201</v>
      </c>
      <c r="B743" t="s">
        <v>21</v>
      </c>
      <c r="C743" t="s">
        <v>20</v>
      </c>
      <c r="D743" s="1">
        <v>96721</v>
      </c>
      <c r="E743">
        <v>2</v>
      </c>
      <c r="F743" t="s">
        <v>17</v>
      </c>
      <c r="G743" t="s">
        <v>15</v>
      </c>
      <c r="H743" t="s">
        <v>13</v>
      </c>
      <c r="I743" t="s">
        <v>79</v>
      </c>
      <c r="J743" t="s">
        <v>67</v>
      </c>
      <c r="K743">
        <v>31</v>
      </c>
      <c r="L743" t="s">
        <v>12</v>
      </c>
    </row>
    <row r="744" spans="1:12">
      <c r="A744">
        <v>63330</v>
      </c>
      <c r="B744" t="s">
        <v>22</v>
      </c>
      <c r="C744" t="s">
        <v>20</v>
      </c>
      <c r="D744" s="1">
        <v>47045</v>
      </c>
      <c r="E744">
        <v>2</v>
      </c>
      <c r="F744" t="s">
        <v>14</v>
      </c>
      <c r="G744" t="s">
        <v>18</v>
      </c>
      <c r="H744" t="s">
        <v>12</v>
      </c>
      <c r="I744" t="s">
        <v>78</v>
      </c>
      <c r="J744" t="s">
        <v>63</v>
      </c>
      <c r="K744">
        <v>23</v>
      </c>
      <c r="L744" t="s">
        <v>12</v>
      </c>
    </row>
    <row r="745" spans="1:12">
      <c r="A745">
        <v>23456</v>
      </c>
      <c r="B745" t="s">
        <v>22</v>
      </c>
      <c r="C745" t="s">
        <v>20</v>
      </c>
      <c r="D745" s="1">
        <v>64769</v>
      </c>
      <c r="E745">
        <v>1</v>
      </c>
      <c r="F745" t="s">
        <v>19</v>
      </c>
      <c r="G745" t="s">
        <v>11</v>
      </c>
      <c r="H745" t="s">
        <v>13</v>
      </c>
      <c r="I745" t="s">
        <v>80</v>
      </c>
      <c r="J745" t="s">
        <v>62</v>
      </c>
      <c r="K745">
        <v>32</v>
      </c>
      <c r="L745" t="s">
        <v>12</v>
      </c>
    </row>
    <row r="746" spans="1:12">
      <c r="A746">
        <v>66397</v>
      </c>
      <c r="B746" t="s">
        <v>22</v>
      </c>
      <c r="C746" t="s">
        <v>21</v>
      </c>
      <c r="D746" s="1">
        <v>67118</v>
      </c>
      <c r="E746">
        <v>1</v>
      </c>
      <c r="F746" t="s">
        <v>14</v>
      </c>
      <c r="G746" t="s">
        <v>15</v>
      </c>
      <c r="H746" t="s">
        <v>12</v>
      </c>
      <c r="I746" t="s">
        <v>79</v>
      </c>
      <c r="J746" t="s">
        <v>65</v>
      </c>
      <c r="K746">
        <v>50</v>
      </c>
      <c r="L746" t="s">
        <v>13</v>
      </c>
    </row>
    <row r="747" spans="1:12">
      <c r="A747">
        <v>48765</v>
      </c>
      <c r="B747" t="s">
        <v>21</v>
      </c>
      <c r="C747" t="s">
        <v>20</v>
      </c>
      <c r="D747" s="1">
        <v>104703</v>
      </c>
      <c r="E747">
        <v>4</v>
      </c>
      <c r="F747" t="s">
        <v>17</v>
      </c>
      <c r="G747" t="s">
        <v>16</v>
      </c>
      <c r="H747" t="s">
        <v>13</v>
      </c>
      <c r="I747" t="s">
        <v>79</v>
      </c>
      <c r="J747" t="s">
        <v>69</v>
      </c>
      <c r="K747">
        <v>60</v>
      </c>
      <c r="L747" t="s">
        <v>12</v>
      </c>
    </row>
    <row r="748" spans="1:12">
      <c r="A748">
        <v>44816</v>
      </c>
      <c r="B748" t="s">
        <v>21</v>
      </c>
      <c r="C748" t="s">
        <v>20</v>
      </c>
      <c r="D748" s="1">
        <v>41625</v>
      </c>
      <c r="E748">
        <v>2</v>
      </c>
      <c r="F748" t="s">
        <v>10</v>
      </c>
      <c r="G748" t="s">
        <v>16</v>
      </c>
      <c r="H748" t="s">
        <v>13</v>
      </c>
      <c r="I748" t="s">
        <v>80</v>
      </c>
      <c r="J748" t="s">
        <v>69</v>
      </c>
      <c r="K748">
        <v>26</v>
      </c>
      <c r="L748" t="s">
        <v>12</v>
      </c>
    </row>
    <row r="749" spans="1:12">
      <c r="A749">
        <v>55106</v>
      </c>
      <c r="B749" t="s">
        <v>22</v>
      </c>
      <c r="C749" t="s">
        <v>21</v>
      </c>
      <c r="D749" s="1">
        <v>47076</v>
      </c>
      <c r="E749">
        <v>0</v>
      </c>
      <c r="F749" t="s">
        <v>10</v>
      </c>
      <c r="G749" t="s">
        <v>16</v>
      </c>
      <c r="H749" t="s">
        <v>12</v>
      </c>
      <c r="I749" t="s">
        <v>81</v>
      </c>
      <c r="J749" t="s">
        <v>67</v>
      </c>
      <c r="K749">
        <v>42</v>
      </c>
      <c r="L749" t="s">
        <v>13</v>
      </c>
    </row>
    <row r="750" spans="1:12">
      <c r="A750">
        <v>63932</v>
      </c>
      <c r="B750" t="s">
        <v>21</v>
      </c>
      <c r="C750" t="s">
        <v>21</v>
      </c>
      <c r="D750" s="1">
        <v>84805</v>
      </c>
      <c r="E750">
        <v>3</v>
      </c>
      <c r="F750" t="s">
        <v>14</v>
      </c>
      <c r="G750" t="s">
        <v>15</v>
      </c>
      <c r="H750" t="s">
        <v>12</v>
      </c>
      <c r="I750" t="s">
        <v>79</v>
      </c>
      <c r="J750" t="s">
        <v>67</v>
      </c>
      <c r="K750">
        <v>43</v>
      </c>
      <c r="L750" t="s">
        <v>12</v>
      </c>
    </row>
    <row r="751" spans="1:12">
      <c r="A751">
        <v>27100</v>
      </c>
      <c r="B751" t="s">
        <v>21</v>
      </c>
      <c r="C751" t="s">
        <v>20</v>
      </c>
      <c r="D751" s="1">
        <v>64605</v>
      </c>
      <c r="E751">
        <v>2</v>
      </c>
      <c r="F751" t="s">
        <v>17</v>
      </c>
      <c r="G751" t="s">
        <v>18</v>
      </c>
      <c r="H751" t="s">
        <v>13</v>
      </c>
      <c r="I751" t="s">
        <v>78</v>
      </c>
      <c r="J751" t="s">
        <v>71</v>
      </c>
      <c r="K751">
        <v>24</v>
      </c>
      <c r="L751" t="s">
        <v>12</v>
      </c>
    </row>
    <row r="752" spans="1:12">
      <c r="A752">
        <v>67091</v>
      </c>
      <c r="B752" t="s">
        <v>21</v>
      </c>
      <c r="C752" t="s">
        <v>21</v>
      </c>
      <c r="D752" s="1">
        <v>104565</v>
      </c>
      <c r="E752">
        <v>2</v>
      </c>
      <c r="F752" t="s">
        <v>10</v>
      </c>
      <c r="G752" t="s">
        <v>11</v>
      </c>
      <c r="H752" t="s">
        <v>13</v>
      </c>
      <c r="I752" t="s">
        <v>77</v>
      </c>
      <c r="J752" t="s">
        <v>69</v>
      </c>
      <c r="K752">
        <v>24</v>
      </c>
      <c r="L752" t="s">
        <v>12</v>
      </c>
    </row>
    <row r="753" spans="1:12">
      <c r="A753">
        <v>31949</v>
      </c>
      <c r="B753" t="s">
        <v>22</v>
      </c>
      <c r="C753" t="s">
        <v>20</v>
      </c>
      <c r="D753" s="1">
        <v>108509</v>
      </c>
      <c r="E753">
        <v>5</v>
      </c>
      <c r="F753" t="s">
        <v>14</v>
      </c>
      <c r="G753" t="s">
        <v>16</v>
      </c>
      <c r="H753" t="s">
        <v>12</v>
      </c>
      <c r="I753" t="s">
        <v>78</v>
      </c>
      <c r="J753" t="s">
        <v>68</v>
      </c>
      <c r="K753">
        <v>36</v>
      </c>
      <c r="L753" t="s">
        <v>12</v>
      </c>
    </row>
    <row r="754" spans="1:12">
      <c r="A754">
        <v>80080</v>
      </c>
      <c r="B754" t="s">
        <v>21</v>
      </c>
      <c r="C754" t="s">
        <v>20</v>
      </c>
      <c r="D754" s="1">
        <v>59121</v>
      </c>
      <c r="E754">
        <v>1</v>
      </c>
      <c r="F754" t="s">
        <v>14</v>
      </c>
      <c r="G754" t="s">
        <v>15</v>
      </c>
      <c r="H754" t="s">
        <v>13</v>
      </c>
      <c r="I754" t="s">
        <v>81</v>
      </c>
      <c r="J754" t="s">
        <v>60</v>
      </c>
      <c r="K754">
        <v>49</v>
      </c>
      <c r="L754" t="s">
        <v>12</v>
      </c>
    </row>
    <row r="755" spans="1:12">
      <c r="A755">
        <v>47744</v>
      </c>
      <c r="B755" t="s">
        <v>22</v>
      </c>
      <c r="C755" t="s">
        <v>21</v>
      </c>
      <c r="D755" s="1">
        <v>85101</v>
      </c>
      <c r="E755">
        <v>3</v>
      </c>
      <c r="F755" t="s">
        <v>17</v>
      </c>
      <c r="G755" t="s">
        <v>15</v>
      </c>
      <c r="H755" t="s">
        <v>13</v>
      </c>
      <c r="I755" t="s">
        <v>77</v>
      </c>
      <c r="J755" t="s">
        <v>74</v>
      </c>
      <c r="K755">
        <v>28</v>
      </c>
      <c r="L755" t="s">
        <v>12</v>
      </c>
    </row>
    <row r="756" spans="1:12">
      <c r="A756">
        <v>46187</v>
      </c>
      <c r="B756" t="s">
        <v>21</v>
      </c>
      <c r="C756" t="s">
        <v>20</v>
      </c>
      <c r="D756" s="1">
        <v>63309</v>
      </c>
      <c r="E756">
        <v>2</v>
      </c>
      <c r="F756" t="s">
        <v>14</v>
      </c>
      <c r="G756" t="s">
        <v>16</v>
      </c>
      <c r="H756" t="s">
        <v>13</v>
      </c>
      <c r="I756" t="s">
        <v>78</v>
      </c>
      <c r="J756" t="s">
        <v>72</v>
      </c>
      <c r="K756">
        <v>44</v>
      </c>
      <c r="L756" t="s">
        <v>12</v>
      </c>
    </row>
    <row r="757" spans="1:12">
      <c r="A757">
        <v>17239</v>
      </c>
      <c r="B757" t="s">
        <v>21</v>
      </c>
      <c r="C757" t="s">
        <v>20</v>
      </c>
      <c r="D757" s="1">
        <v>87468</v>
      </c>
      <c r="E757">
        <v>4</v>
      </c>
      <c r="F757" t="s">
        <v>19</v>
      </c>
      <c r="G757" t="s">
        <v>15</v>
      </c>
      <c r="H757" t="s">
        <v>12</v>
      </c>
      <c r="I757" t="s">
        <v>80</v>
      </c>
      <c r="J757" t="s">
        <v>66</v>
      </c>
      <c r="K757">
        <v>38</v>
      </c>
      <c r="L757" t="s">
        <v>13</v>
      </c>
    </row>
    <row r="758" spans="1:12">
      <c r="A758">
        <v>24489</v>
      </c>
      <c r="B758" t="s">
        <v>22</v>
      </c>
      <c r="C758" t="s">
        <v>20</v>
      </c>
      <c r="D758" s="1">
        <v>64254</v>
      </c>
      <c r="E758">
        <v>2</v>
      </c>
      <c r="F758" t="s">
        <v>19</v>
      </c>
      <c r="G758" t="s">
        <v>11</v>
      </c>
      <c r="H758" t="s">
        <v>12</v>
      </c>
      <c r="I758" t="s">
        <v>81</v>
      </c>
      <c r="J758" t="s">
        <v>74</v>
      </c>
      <c r="K758">
        <v>35</v>
      </c>
      <c r="L758" t="s">
        <v>13</v>
      </c>
    </row>
    <row r="759" spans="1:12">
      <c r="A759">
        <v>68017</v>
      </c>
      <c r="B759" t="s">
        <v>22</v>
      </c>
      <c r="C759" t="s">
        <v>21</v>
      </c>
      <c r="D759" s="1">
        <v>87293</v>
      </c>
      <c r="E759">
        <v>4</v>
      </c>
      <c r="F759" t="s">
        <v>10</v>
      </c>
      <c r="G759" t="s">
        <v>18</v>
      </c>
      <c r="H759" t="s">
        <v>12</v>
      </c>
      <c r="I759" t="s">
        <v>80</v>
      </c>
      <c r="J759" t="s">
        <v>62</v>
      </c>
      <c r="K759">
        <v>40</v>
      </c>
      <c r="L759" t="s">
        <v>13</v>
      </c>
    </row>
    <row r="760" spans="1:12">
      <c r="A760">
        <v>71877</v>
      </c>
      <c r="B760" t="s">
        <v>22</v>
      </c>
      <c r="C760" t="s">
        <v>20</v>
      </c>
      <c r="D760" s="1">
        <v>116258</v>
      </c>
      <c r="E760">
        <v>3</v>
      </c>
      <c r="F760" t="s">
        <v>19</v>
      </c>
      <c r="G760" t="s">
        <v>18</v>
      </c>
      <c r="H760" t="s">
        <v>12</v>
      </c>
      <c r="I760" t="s">
        <v>77</v>
      </c>
      <c r="J760" t="s">
        <v>66</v>
      </c>
      <c r="K760">
        <v>21</v>
      </c>
      <c r="L760" t="s">
        <v>12</v>
      </c>
    </row>
    <row r="761" spans="1:12">
      <c r="A761">
        <v>53125</v>
      </c>
      <c r="B761" t="s">
        <v>22</v>
      </c>
      <c r="C761" t="s">
        <v>20</v>
      </c>
      <c r="D761" s="1">
        <v>57853</v>
      </c>
      <c r="E761">
        <v>1</v>
      </c>
      <c r="F761" t="s">
        <v>17</v>
      </c>
      <c r="G761" t="s">
        <v>18</v>
      </c>
      <c r="H761" t="s">
        <v>12</v>
      </c>
      <c r="I761" t="s">
        <v>80</v>
      </c>
      <c r="J761" t="s">
        <v>73</v>
      </c>
      <c r="K761">
        <v>29</v>
      </c>
      <c r="L761" t="s">
        <v>12</v>
      </c>
    </row>
    <row r="762" spans="1:12">
      <c r="A762">
        <v>59922</v>
      </c>
      <c r="B762" t="s">
        <v>21</v>
      </c>
      <c r="C762" t="s">
        <v>20</v>
      </c>
      <c r="D762" s="1">
        <v>58405</v>
      </c>
      <c r="E762">
        <v>3</v>
      </c>
      <c r="F762" t="s">
        <v>10</v>
      </c>
      <c r="G762" t="s">
        <v>16</v>
      </c>
      <c r="H762" t="s">
        <v>12</v>
      </c>
      <c r="I762" t="s">
        <v>81</v>
      </c>
      <c r="J762" t="s">
        <v>65</v>
      </c>
      <c r="K762">
        <v>35</v>
      </c>
      <c r="L762" t="s">
        <v>13</v>
      </c>
    </row>
    <row r="763" spans="1:12">
      <c r="A763">
        <v>42049</v>
      </c>
      <c r="B763" t="s">
        <v>21</v>
      </c>
      <c r="C763" t="s">
        <v>20</v>
      </c>
      <c r="D763" s="1">
        <v>86652</v>
      </c>
      <c r="E763">
        <v>5</v>
      </c>
      <c r="F763" t="s">
        <v>10</v>
      </c>
      <c r="G763" t="s">
        <v>11</v>
      </c>
      <c r="H763" t="s">
        <v>13</v>
      </c>
      <c r="I763" t="s">
        <v>79</v>
      </c>
      <c r="J763" t="s">
        <v>69</v>
      </c>
      <c r="K763">
        <v>56</v>
      </c>
      <c r="L763" t="s">
        <v>13</v>
      </c>
    </row>
    <row r="764" spans="1:12">
      <c r="A764">
        <v>47131</v>
      </c>
      <c r="B764" t="s">
        <v>21</v>
      </c>
      <c r="C764" t="s">
        <v>20</v>
      </c>
      <c r="D764" s="1">
        <v>63527</v>
      </c>
      <c r="E764">
        <v>0</v>
      </c>
      <c r="F764" t="s">
        <v>10</v>
      </c>
      <c r="G764" t="s">
        <v>11</v>
      </c>
      <c r="H764" t="s">
        <v>12</v>
      </c>
      <c r="I764" t="s">
        <v>79</v>
      </c>
      <c r="J764" t="s">
        <v>70</v>
      </c>
      <c r="K764">
        <v>34</v>
      </c>
      <c r="L764" t="s">
        <v>13</v>
      </c>
    </row>
    <row r="765" spans="1:12">
      <c r="A765">
        <v>52944</v>
      </c>
      <c r="B765" t="s">
        <v>21</v>
      </c>
      <c r="C765" t="s">
        <v>21</v>
      </c>
      <c r="D765" s="1">
        <v>97227</v>
      </c>
      <c r="E765">
        <v>1</v>
      </c>
      <c r="F765" t="s">
        <v>14</v>
      </c>
      <c r="G765" t="s">
        <v>15</v>
      </c>
      <c r="H765" t="s">
        <v>13</v>
      </c>
      <c r="I765" t="s">
        <v>77</v>
      </c>
      <c r="J765" t="s">
        <v>71</v>
      </c>
      <c r="K765">
        <v>32</v>
      </c>
      <c r="L765" t="s">
        <v>12</v>
      </c>
    </row>
    <row r="766" spans="1:12">
      <c r="A766">
        <v>83963</v>
      </c>
      <c r="B766" t="s">
        <v>21</v>
      </c>
      <c r="C766" t="s">
        <v>20</v>
      </c>
      <c r="D766" s="1">
        <v>20492</v>
      </c>
      <c r="E766">
        <v>3</v>
      </c>
      <c r="F766" t="s">
        <v>14</v>
      </c>
      <c r="G766" t="s">
        <v>15</v>
      </c>
      <c r="H766" t="s">
        <v>13</v>
      </c>
      <c r="I766" t="s">
        <v>79</v>
      </c>
      <c r="J766" t="s">
        <v>69</v>
      </c>
      <c r="K766">
        <v>32</v>
      </c>
      <c r="L766" t="s">
        <v>13</v>
      </c>
    </row>
    <row r="767" spans="1:12">
      <c r="A767">
        <v>34285</v>
      </c>
      <c r="B767" t="s">
        <v>21</v>
      </c>
      <c r="C767" t="s">
        <v>20</v>
      </c>
      <c r="D767" s="1">
        <v>113418</v>
      </c>
      <c r="E767">
        <v>5</v>
      </c>
      <c r="F767" t="s">
        <v>19</v>
      </c>
      <c r="G767" t="s">
        <v>15</v>
      </c>
      <c r="H767" t="s">
        <v>13</v>
      </c>
      <c r="I767" t="s">
        <v>80</v>
      </c>
      <c r="J767" t="s">
        <v>61</v>
      </c>
      <c r="K767">
        <v>51</v>
      </c>
      <c r="L767" t="s">
        <v>12</v>
      </c>
    </row>
    <row r="768" spans="1:12">
      <c r="A768">
        <v>47626</v>
      </c>
      <c r="B768" t="s">
        <v>21</v>
      </c>
      <c r="C768" t="s">
        <v>20</v>
      </c>
      <c r="D768" s="1">
        <v>28811</v>
      </c>
      <c r="E768">
        <v>0</v>
      </c>
      <c r="F768" t="s">
        <v>10</v>
      </c>
      <c r="G768" t="s">
        <v>11</v>
      </c>
      <c r="H768" t="s">
        <v>12</v>
      </c>
      <c r="I768" t="s">
        <v>77</v>
      </c>
      <c r="J768" t="s">
        <v>68</v>
      </c>
      <c r="K768">
        <v>64</v>
      </c>
      <c r="L768" t="s">
        <v>12</v>
      </c>
    </row>
    <row r="769" spans="1:12">
      <c r="A769">
        <v>52808</v>
      </c>
      <c r="B769" t="s">
        <v>22</v>
      </c>
      <c r="C769" t="s">
        <v>20</v>
      </c>
      <c r="D769" s="1">
        <v>113344</v>
      </c>
      <c r="E769">
        <v>5</v>
      </c>
      <c r="F769" t="s">
        <v>10</v>
      </c>
      <c r="G769" t="s">
        <v>15</v>
      </c>
      <c r="H769" t="s">
        <v>13</v>
      </c>
      <c r="I769" t="s">
        <v>81</v>
      </c>
      <c r="J769" t="s">
        <v>65</v>
      </c>
      <c r="K769">
        <v>66</v>
      </c>
      <c r="L769" t="s">
        <v>12</v>
      </c>
    </row>
    <row r="770" spans="1:12">
      <c r="A770">
        <v>98464</v>
      </c>
      <c r="B770" t="s">
        <v>22</v>
      </c>
      <c r="C770" t="s">
        <v>21</v>
      </c>
      <c r="D770" s="1">
        <v>44272</v>
      </c>
      <c r="E770">
        <v>2</v>
      </c>
      <c r="F770" t="s">
        <v>17</v>
      </c>
      <c r="G770" t="s">
        <v>11</v>
      </c>
      <c r="H770" t="s">
        <v>12</v>
      </c>
      <c r="I770" t="s">
        <v>77</v>
      </c>
      <c r="J770" t="s">
        <v>74</v>
      </c>
      <c r="K770">
        <v>65</v>
      </c>
      <c r="L770" t="s">
        <v>12</v>
      </c>
    </row>
    <row r="771" spans="1:12">
      <c r="A771">
        <v>63871</v>
      </c>
      <c r="B771" t="s">
        <v>21</v>
      </c>
      <c r="C771" t="s">
        <v>21</v>
      </c>
      <c r="D771" s="1">
        <v>113935</v>
      </c>
      <c r="E771">
        <v>2</v>
      </c>
      <c r="F771" t="s">
        <v>19</v>
      </c>
      <c r="G771" t="s">
        <v>11</v>
      </c>
      <c r="H771" t="s">
        <v>13</v>
      </c>
      <c r="I771" t="s">
        <v>77</v>
      </c>
      <c r="J771" t="s">
        <v>66</v>
      </c>
      <c r="K771">
        <v>27</v>
      </c>
      <c r="L771" t="s">
        <v>13</v>
      </c>
    </row>
    <row r="772" spans="1:12">
      <c r="A772">
        <v>29198</v>
      </c>
      <c r="B772" t="s">
        <v>22</v>
      </c>
      <c r="C772" t="s">
        <v>21</v>
      </c>
      <c r="D772" s="1">
        <v>92010</v>
      </c>
      <c r="E772">
        <v>4</v>
      </c>
      <c r="F772" t="s">
        <v>17</v>
      </c>
      <c r="G772" t="s">
        <v>18</v>
      </c>
      <c r="H772" t="s">
        <v>13</v>
      </c>
      <c r="I772" t="s">
        <v>78</v>
      </c>
      <c r="J772" t="s">
        <v>59</v>
      </c>
      <c r="K772">
        <v>62</v>
      </c>
      <c r="L772" t="s">
        <v>13</v>
      </c>
    </row>
    <row r="773" spans="1:12">
      <c r="A773">
        <v>29758</v>
      </c>
      <c r="B773" t="s">
        <v>21</v>
      </c>
      <c r="C773" t="s">
        <v>20</v>
      </c>
      <c r="D773" s="1">
        <v>112492</v>
      </c>
      <c r="E773">
        <v>1</v>
      </c>
      <c r="F773" t="s">
        <v>19</v>
      </c>
      <c r="G773" t="s">
        <v>15</v>
      </c>
      <c r="H773" t="s">
        <v>12</v>
      </c>
      <c r="I773" t="s">
        <v>78</v>
      </c>
      <c r="J773" t="s">
        <v>61</v>
      </c>
      <c r="K773">
        <v>37</v>
      </c>
      <c r="L773" t="s">
        <v>13</v>
      </c>
    </row>
    <row r="774" spans="1:12">
      <c r="A774">
        <v>25254</v>
      </c>
      <c r="B774" t="s">
        <v>22</v>
      </c>
      <c r="C774" t="s">
        <v>20</v>
      </c>
      <c r="D774" s="1">
        <v>67153</v>
      </c>
      <c r="E774">
        <v>2</v>
      </c>
      <c r="F774" t="s">
        <v>19</v>
      </c>
      <c r="G774" t="s">
        <v>18</v>
      </c>
      <c r="H774" t="s">
        <v>13</v>
      </c>
      <c r="I774" t="s">
        <v>77</v>
      </c>
      <c r="J774" t="s">
        <v>72</v>
      </c>
      <c r="K774">
        <v>55</v>
      </c>
      <c r="L774" t="s">
        <v>13</v>
      </c>
    </row>
    <row r="775" spans="1:12">
      <c r="A775">
        <v>54238</v>
      </c>
      <c r="B775" t="s">
        <v>21</v>
      </c>
      <c r="C775" t="s">
        <v>21</v>
      </c>
      <c r="D775" s="1">
        <v>74110</v>
      </c>
      <c r="E775">
        <v>5</v>
      </c>
      <c r="F775" t="s">
        <v>14</v>
      </c>
      <c r="G775" t="s">
        <v>16</v>
      </c>
      <c r="H775" t="s">
        <v>13</v>
      </c>
      <c r="I775" t="s">
        <v>79</v>
      </c>
      <c r="J775" t="s">
        <v>71</v>
      </c>
      <c r="K775">
        <v>45</v>
      </c>
      <c r="L775" t="s">
        <v>13</v>
      </c>
    </row>
    <row r="776" spans="1:12">
      <c r="A776">
        <v>11252</v>
      </c>
      <c r="B776" t="s">
        <v>22</v>
      </c>
      <c r="C776" t="s">
        <v>21</v>
      </c>
      <c r="D776" s="1">
        <v>33979</v>
      </c>
      <c r="E776">
        <v>1</v>
      </c>
      <c r="F776" t="s">
        <v>14</v>
      </c>
      <c r="G776" t="s">
        <v>16</v>
      </c>
      <c r="H776" t="s">
        <v>13</v>
      </c>
      <c r="I776" t="s">
        <v>78</v>
      </c>
      <c r="J776" t="s">
        <v>68</v>
      </c>
      <c r="K776">
        <v>29</v>
      </c>
      <c r="L776" t="s">
        <v>13</v>
      </c>
    </row>
    <row r="777" spans="1:12">
      <c r="A777">
        <v>49764</v>
      </c>
      <c r="B777" t="s">
        <v>22</v>
      </c>
      <c r="C777" t="s">
        <v>21</v>
      </c>
      <c r="D777" s="1">
        <v>48328</v>
      </c>
      <c r="E777">
        <v>2</v>
      </c>
      <c r="F777" t="s">
        <v>17</v>
      </c>
      <c r="G777" t="s">
        <v>16</v>
      </c>
      <c r="H777" t="s">
        <v>13</v>
      </c>
      <c r="I777" t="s">
        <v>81</v>
      </c>
      <c r="J777" t="s">
        <v>72</v>
      </c>
      <c r="K777">
        <v>50</v>
      </c>
      <c r="L777" t="s">
        <v>12</v>
      </c>
    </row>
    <row r="778" spans="1:12">
      <c r="A778">
        <v>87709</v>
      </c>
      <c r="B778" t="s">
        <v>21</v>
      </c>
      <c r="C778" t="s">
        <v>20</v>
      </c>
      <c r="D778" s="1">
        <v>32867</v>
      </c>
      <c r="E778">
        <v>4</v>
      </c>
      <c r="F778" t="s">
        <v>19</v>
      </c>
      <c r="G778" t="s">
        <v>11</v>
      </c>
      <c r="H778" t="s">
        <v>12</v>
      </c>
      <c r="I778" t="s">
        <v>80</v>
      </c>
      <c r="J778" t="s">
        <v>70</v>
      </c>
      <c r="K778">
        <v>52</v>
      </c>
      <c r="L778" t="s">
        <v>13</v>
      </c>
    </row>
    <row r="779" spans="1:12">
      <c r="A779">
        <v>47441</v>
      </c>
      <c r="B779" t="s">
        <v>21</v>
      </c>
      <c r="C779" t="s">
        <v>20</v>
      </c>
      <c r="D779" s="1">
        <v>79234</v>
      </c>
      <c r="E779">
        <v>3</v>
      </c>
      <c r="F779" t="s">
        <v>10</v>
      </c>
      <c r="G779" t="s">
        <v>11</v>
      </c>
      <c r="H779" t="s">
        <v>13</v>
      </c>
      <c r="I779" t="s">
        <v>78</v>
      </c>
      <c r="J779" t="s">
        <v>66</v>
      </c>
      <c r="K779">
        <v>48</v>
      </c>
      <c r="L779" t="s">
        <v>12</v>
      </c>
    </row>
    <row r="780" spans="1:12">
      <c r="A780">
        <v>63682</v>
      </c>
      <c r="B780" t="s">
        <v>21</v>
      </c>
      <c r="C780" t="s">
        <v>21</v>
      </c>
      <c r="D780" s="1">
        <v>45851</v>
      </c>
      <c r="E780">
        <v>4</v>
      </c>
      <c r="F780" t="s">
        <v>14</v>
      </c>
      <c r="G780" t="s">
        <v>11</v>
      </c>
      <c r="H780" t="s">
        <v>13</v>
      </c>
      <c r="I780" t="s">
        <v>77</v>
      </c>
      <c r="J780" t="s">
        <v>72</v>
      </c>
      <c r="K780">
        <v>24</v>
      </c>
      <c r="L780" t="s">
        <v>12</v>
      </c>
    </row>
    <row r="781" spans="1:12">
      <c r="A781">
        <v>69494</v>
      </c>
      <c r="B781" t="s">
        <v>21</v>
      </c>
      <c r="C781" t="s">
        <v>21</v>
      </c>
      <c r="D781" s="1">
        <v>51279</v>
      </c>
      <c r="E781">
        <v>0</v>
      </c>
      <c r="F781" t="s">
        <v>10</v>
      </c>
      <c r="G781" t="s">
        <v>15</v>
      </c>
      <c r="H781" t="s">
        <v>12</v>
      </c>
      <c r="I781" t="s">
        <v>79</v>
      </c>
      <c r="J781" t="s">
        <v>71</v>
      </c>
      <c r="K781">
        <v>32</v>
      </c>
      <c r="L781" t="s">
        <v>12</v>
      </c>
    </row>
    <row r="782" spans="1:12">
      <c r="A782">
        <v>91317</v>
      </c>
      <c r="B782" t="s">
        <v>21</v>
      </c>
      <c r="C782" t="s">
        <v>21</v>
      </c>
      <c r="D782" s="1">
        <v>116063</v>
      </c>
      <c r="E782">
        <v>2</v>
      </c>
      <c r="F782" t="s">
        <v>17</v>
      </c>
      <c r="G782" t="s">
        <v>18</v>
      </c>
      <c r="H782" t="s">
        <v>13</v>
      </c>
      <c r="I782" t="s">
        <v>80</v>
      </c>
      <c r="J782" t="s">
        <v>69</v>
      </c>
      <c r="K782">
        <v>20</v>
      </c>
      <c r="L782" t="s">
        <v>12</v>
      </c>
    </row>
    <row r="783" spans="1:12">
      <c r="A783">
        <v>75215</v>
      </c>
      <c r="B783" t="s">
        <v>22</v>
      </c>
      <c r="C783" t="s">
        <v>20</v>
      </c>
      <c r="D783" s="1">
        <v>93402</v>
      </c>
      <c r="E783">
        <v>0</v>
      </c>
      <c r="F783" t="s">
        <v>14</v>
      </c>
      <c r="G783" t="s">
        <v>11</v>
      </c>
      <c r="H783" t="s">
        <v>13</v>
      </c>
      <c r="I783" t="s">
        <v>78</v>
      </c>
      <c r="J783" t="s">
        <v>67</v>
      </c>
      <c r="K783">
        <v>42</v>
      </c>
      <c r="L783" t="s">
        <v>13</v>
      </c>
    </row>
    <row r="784" spans="1:12">
      <c r="A784">
        <v>88587</v>
      </c>
      <c r="B784" t="s">
        <v>21</v>
      </c>
      <c r="C784" t="s">
        <v>20</v>
      </c>
      <c r="D784" s="1">
        <v>35449</v>
      </c>
      <c r="E784">
        <v>0</v>
      </c>
      <c r="F784" t="s">
        <v>14</v>
      </c>
      <c r="G784" t="s">
        <v>18</v>
      </c>
      <c r="H784" t="s">
        <v>13</v>
      </c>
      <c r="I784" t="s">
        <v>79</v>
      </c>
      <c r="J784" t="s">
        <v>73</v>
      </c>
      <c r="K784">
        <v>59</v>
      </c>
      <c r="L784" t="s">
        <v>13</v>
      </c>
    </row>
    <row r="785" spans="1:12">
      <c r="A785">
        <v>16949</v>
      </c>
      <c r="B785" t="s">
        <v>22</v>
      </c>
      <c r="C785" t="s">
        <v>20</v>
      </c>
      <c r="D785" s="1">
        <v>96221</v>
      </c>
      <c r="E785">
        <v>5</v>
      </c>
      <c r="F785" t="s">
        <v>19</v>
      </c>
      <c r="G785" t="s">
        <v>18</v>
      </c>
      <c r="H785" t="s">
        <v>13</v>
      </c>
      <c r="I785" t="s">
        <v>79</v>
      </c>
      <c r="J785" t="s">
        <v>64</v>
      </c>
      <c r="K785">
        <v>22</v>
      </c>
      <c r="L785" t="s">
        <v>12</v>
      </c>
    </row>
    <row r="786" spans="1:12">
      <c r="A786">
        <v>65393</v>
      </c>
      <c r="B786" t="s">
        <v>22</v>
      </c>
      <c r="C786" t="s">
        <v>21</v>
      </c>
      <c r="D786" s="1">
        <v>109080</v>
      </c>
      <c r="E786">
        <v>1</v>
      </c>
      <c r="F786" t="s">
        <v>17</v>
      </c>
      <c r="G786" t="s">
        <v>18</v>
      </c>
      <c r="H786" t="s">
        <v>12</v>
      </c>
      <c r="I786" t="s">
        <v>79</v>
      </c>
      <c r="J786" t="s">
        <v>74</v>
      </c>
      <c r="K786">
        <v>22</v>
      </c>
      <c r="L786" t="s">
        <v>13</v>
      </c>
    </row>
    <row r="787" spans="1:12">
      <c r="A787">
        <v>83553</v>
      </c>
      <c r="B787" t="s">
        <v>21</v>
      </c>
      <c r="C787" t="s">
        <v>21</v>
      </c>
      <c r="D787" s="1">
        <v>25451</v>
      </c>
      <c r="E787">
        <v>5</v>
      </c>
      <c r="F787" t="s">
        <v>19</v>
      </c>
      <c r="G787" t="s">
        <v>15</v>
      </c>
      <c r="H787" t="s">
        <v>13</v>
      </c>
      <c r="I787" t="s">
        <v>77</v>
      </c>
      <c r="J787" t="s">
        <v>63</v>
      </c>
      <c r="K787">
        <v>26</v>
      </c>
      <c r="L787" t="s">
        <v>13</v>
      </c>
    </row>
    <row r="788" spans="1:12">
      <c r="A788">
        <v>16941</v>
      </c>
      <c r="B788" t="s">
        <v>22</v>
      </c>
      <c r="C788" t="s">
        <v>20</v>
      </c>
      <c r="D788" s="1">
        <v>107178</v>
      </c>
      <c r="E788">
        <v>2</v>
      </c>
      <c r="F788" t="s">
        <v>14</v>
      </c>
      <c r="G788" t="s">
        <v>15</v>
      </c>
      <c r="H788" t="s">
        <v>12</v>
      </c>
      <c r="I788" t="s">
        <v>81</v>
      </c>
      <c r="J788" t="s">
        <v>67</v>
      </c>
      <c r="K788">
        <v>55</v>
      </c>
      <c r="L788" t="s">
        <v>13</v>
      </c>
    </row>
    <row r="789" spans="1:12">
      <c r="A789">
        <v>35934</v>
      </c>
      <c r="B789" t="s">
        <v>21</v>
      </c>
      <c r="C789" t="s">
        <v>21</v>
      </c>
      <c r="D789" s="1">
        <v>61316</v>
      </c>
      <c r="E789">
        <v>0</v>
      </c>
      <c r="F789" t="s">
        <v>17</v>
      </c>
      <c r="G789" t="s">
        <v>16</v>
      </c>
      <c r="H789" t="s">
        <v>13</v>
      </c>
      <c r="I789" t="s">
        <v>79</v>
      </c>
      <c r="J789" t="s">
        <v>59</v>
      </c>
      <c r="K789">
        <v>54</v>
      </c>
      <c r="L789" t="s">
        <v>13</v>
      </c>
    </row>
    <row r="790" spans="1:12">
      <c r="A790">
        <v>33386</v>
      </c>
      <c r="B790" t="s">
        <v>22</v>
      </c>
      <c r="C790" t="s">
        <v>20</v>
      </c>
      <c r="D790" s="1">
        <v>83064</v>
      </c>
      <c r="E790">
        <v>3</v>
      </c>
      <c r="F790" t="s">
        <v>14</v>
      </c>
      <c r="G790" t="s">
        <v>16</v>
      </c>
      <c r="H790" t="s">
        <v>13</v>
      </c>
      <c r="I790" t="s">
        <v>80</v>
      </c>
      <c r="J790" t="s">
        <v>62</v>
      </c>
      <c r="K790">
        <v>34</v>
      </c>
      <c r="L790" t="s">
        <v>12</v>
      </c>
    </row>
    <row r="791" spans="1:12">
      <c r="A791">
        <v>71886</v>
      </c>
      <c r="B791" t="s">
        <v>21</v>
      </c>
      <c r="C791" t="s">
        <v>21</v>
      </c>
      <c r="D791" s="1">
        <v>83761</v>
      </c>
      <c r="E791">
        <v>0</v>
      </c>
      <c r="F791" t="s">
        <v>17</v>
      </c>
      <c r="G791" t="s">
        <v>18</v>
      </c>
      <c r="H791" t="s">
        <v>13</v>
      </c>
      <c r="I791" t="s">
        <v>78</v>
      </c>
      <c r="J791" t="s">
        <v>66</v>
      </c>
      <c r="K791">
        <v>59</v>
      </c>
      <c r="L791" t="s">
        <v>13</v>
      </c>
    </row>
    <row r="792" spans="1:12">
      <c r="A792">
        <v>85745</v>
      </c>
      <c r="B792" t="s">
        <v>22</v>
      </c>
      <c r="C792" t="s">
        <v>21</v>
      </c>
      <c r="D792" s="1">
        <v>58870</v>
      </c>
      <c r="E792">
        <v>3</v>
      </c>
      <c r="F792" t="s">
        <v>14</v>
      </c>
      <c r="G792" t="s">
        <v>16</v>
      </c>
      <c r="H792" t="s">
        <v>12</v>
      </c>
      <c r="I792" t="s">
        <v>80</v>
      </c>
      <c r="J792" t="s">
        <v>74</v>
      </c>
      <c r="K792">
        <v>22</v>
      </c>
      <c r="L792" t="s">
        <v>13</v>
      </c>
    </row>
    <row r="793" spans="1:12">
      <c r="A793">
        <v>93251</v>
      </c>
      <c r="B793" t="s">
        <v>22</v>
      </c>
      <c r="C793" t="s">
        <v>21</v>
      </c>
      <c r="D793" s="1">
        <v>116566</v>
      </c>
      <c r="E793">
        <v>5</v>
      </c>
      <c r="F793" t="s">
        <v>10</v>
      </c>
      <c r="G793" t="s">
        <v>18</v>
      </c>
      <c r="H793" t="s">
        <v>13</v>
      </c>
      <c r="I793" t="s">
        <v>77</v>
      </c>
      <c r="J793" t="s">
        <v>65</v>
      </c>
      <c r="K793">
        <v>48</v>
      </c>
      <c r="L793" t="s">
        <v>13</v>
      </c>
    </row>
    <row r="794" spans="1:12">
      <c r="A794">
        <v>63413</v>
      </c>
      <c r="B794" t="s">
        <v>21</v>
      </c>
      <c r="C794" t="s">
        <v>21</v>
      </c>
      <c r="D794" s="1">
        <v>50873</v>
      </c>
      <c r="E794">
        <v>5</v>
      </c>
      <c r="F794" t="s">
        <v>10</v>
      </c>
      <c r="G794" t="s">
        <v>15</v>
      </c>
      <c r="H794" t="s">
        <v>13</v>
      </c>
      <c r="I794" t="s">
        <v>77</v>
      </c>
      <c r="J794" t="s">
        <v>72</v>
      </c>
      <c r="K794">
        <v>49</v>
      </c>
      <c r="L794" t="s">
        <v>13</v>
      </c>
    </row>
    <row r="795" spans="1:12">
      <c r="A795">
        <v>66800</v>
      </c>
      <c r="B795" t="s">
        <v>21</v>
      </c>
      <c r="C795" t="s">
        <v>20</v>
      </c>
      <c r="D795" s="1">
        <v>78627</v>
      </c>
      <c r="E795">
        <v>1</v>
      </c>
      <c r="F795" t="s">
        <v>19</v>
      </c>
      <c r="G795" t="s">
        <v>15</v>
      </c>
      <c r="H795" t="s">
        <v>12</v>
      </c>
      <c r="I795" t="s">
        <v>80</v>
      </c>
      <c r="J795" t="s">
        <v>67</v>
      </c>
      <c r="K795">
        <v>58</v>
      </c>
      <c r="L795" t="s">
        <v>13</v>
      </c>
    </row>
    <row r="796" spans="1:12">
      <c r="A796">
        <v>52318</v>
      </c>
      <c r="B796" t="s">
        <v>22</v>
      </c>
      <c r="C796" t="s">
        <v>21</v>
      </c>
      <c r="D796" s="1">
        <v>86155</v>
      </c>
      <c r="E796">
        <v>0</v>
      </c>
      <c r="F796" t="s">
        <v>10</v>
      </c>
      <c r="G796" t="s">
        <v>15</v>
      </c>
      <c r="H796" t="s">
        <v>12</v>
      </c>
      <c r="I796" t="s">
        <v>81</v>
      </c>
      <c r="J796" t="s">
        <v>59</v>
      </c>
      <c r="K796">
        <v>37</v>
      </c>
      <c r="L796" t="s">
        <v>13</v>
      </c>
    </row>
    <row r="797" spans="1:12">
      <c r="A797">
        <v>80173</v>
      </c>
      <c r="B797" t="s">
        <v>22</v>
      </c>
      <c r="C797" t="s">
        <v>20</v>
      </c>
      <c r="D797" s="1">
        <v>119186</v>
      </c>
      <c r="E797">
        <v>4</v>
      </c>
      <c r="F797" t="s">
        <v>14</v>
      </c>
      <c r="G797" t="s">
        <v>11</v>
      </c>
      <c r="H797" t="s">
        <v>12</v>
      </c>
      <c r="I797" t="s">
        <v>77</v>
      </c>
      <c r="J797" t="s">
        <v>66</v>
      </c>
      <c r="K797">
        <v>30</v>
      </c>
      <c r="L797" t="s">
        <v>12</v>
      </c>
    </row>
    <row r="798" spans="1:12">
      <c r="A798">
        <v>80390</v>
      </c>
      <c r="B798" t="s">
        <v>21</v>
      </c>
      <c r="C798" t="s">
        <v>20</v>
      </c>
      <c r="D798" s="1">
        <v>45372</v>
      </c>
      <c r="E798">
        <v>5</v>
      </c>
      <c r="F798" t="s">
        <v>14</v>
      </c>
      <c r="G798" t="s">
        <v>18</v>
      </c>
      <c r="H798" t="s">
        <v>12</v>
      </c>
      <c r="I798" t="s">
        <v>77</v>
      </c>
      <c r="J798" t="s">
        <v>71</v>
      </c>
      <c r="K798">
        <v>62</v>
      </c>
      <c r="L798" t="s">
        <v>12</v>
      </c>
    </row>
    <row r="799" spans="1:12">
      <c r="A799">
        <v>62329</v>
      </c>
      <c r="B799" t="s">
        <v>21</v>
      </c>
      <c r="C799" t="s">
        <v>20</v>
      </c>
      <c r="D799" s="1">
        <v>23642</v>
      </c>
      <c r="E799">
        <v>5</v>
      </c>
      <c r="F799" t="s">
        <v>10</v>
      </c>
      <c r="G799" t="s">
        <v>15</v>
      </c>
      <c r="H799" t="s">
        <v>13</v>
      </c>
      <c r="I799" t="s">
        <v>80</v>
      </c>
      <c r="J799" t="s">
        <v>68</v>
      </c>
      <c r="K799">
        <v>68</v>
      </c>
      <c r="L799" t="s">
        <v>12</v>
      </c>
    </row>
    <row r="800" spans="1:12">
      <c r="A800">
        <v>53088</v>
      </c>
      <c r="B800" t="s">
        <v>22</v>
      </c>
      <c r="C800" t="s">
        <v>21</v>
      </c>
      <c r="D800" s="1">
        <v>48001</v>
      </c>
      <c r="E800">
        <v>1</v>
      </c>
      <c r="F800" t="s">
        <v>19</v>
      </c>
      <c r="G800" t="s">
        <v>18</v>
      </c>
      <c r="H800" t="s">
        <v>13</v>
      </c>
      <c r="I800" t="s">
        <v>77</v>
      </c>
      <c r="J800" t="s">
        <v>60</v>
      </c>
      <c r="K800">
        <v>57</v>
      </c>
      <c r="L800" t="s">
        <v>12</v>
      </c>
    </row>
    <row r="801" spans="1:12">
      <c r="A801">
        <v>49811</v>
      </c>
      <c r="B801" t="s">
        <v>21</v>
      </c>
      <c r="C801" t="s">
        <v>20</v>
      </c>
      <c r="D801" s="1">
        <v>54064</v>
      </c>
      <c r="E801">
        <v>3</v>
      </c>
      <c r="F801" t="s">
        <v>10</v>
      </c>
      <c r="G801" t="s">
        <v>16</v>
      </c>
      <c r="H801" t="s">
        <v>13</v>
      </c>
      <c r="I801" t="s">
        <v>81</v>
      </c>
      <c r="J801" t="s">
        <v>61</v>
      </c>
      <c r="K801">
        <v>59</v>
      </c>
      <c r="L801" t="s">
        <v>12</v>
      </c>
    </row>
    <row r="802" spans="1:12">
      <c r="A802">
        <v>65479</v>
      </c>
      <c r="B802" t="s">
        <v>22</v>
      </c>
      <c r="C802" t="s">
        <v>20</v>
      </c>
      <c r="D802" s="1">
        <v>114826</v>
      </c>
      <c r="E802">
        <v>1</v>
      </c>
      <c r="F802" t="s">
        <v>17</v>
      </c>
      <c r="G802" t="s">
        <v>16</v>
      </c>
      <c r="H802" t="s">
        <v>13</v>
      </c>
      <c r="I802" t="s">
        <v>81</v>
      </c>
      <c r="J802" t="s">
        <v>69</v>
      </c>
      <c r="K802">
        <v>20</v>
      </c>
      <c r="L802" t="s">
        <v>13</v>
      </c>
    </row>
    <row r="803" spans="1:12">
      <c r="A803">
        <v>95392</v>
      </c>
      <c r="B803" t="s">
        <v>21</v>
      </c>
      <c r="C803" t="s">
        <v>20</v>
      </c>
      <c r="D803" s="1">
        <v>34122</v>
      </c>
      <c r="E803">
        <v>0</v>
      </c>
      <c r="F803" t="s">
        <v>17</v>
      </c>
      <c r="G803" t="s">
        <v>15</v>
      </c>
      <c r="H803" t="s">
        <v>12</v>
      </c>
      <c r="I803" t="s">
        <v>81</v>
      </c>
      <c r="J803" t="s">
        <v>69</v>
      </c>
      <c r="K803">
        <v>48</v>
      </c>
      <c r="L803" t="s">
        <v>13</v>
      </c>
    </row>
    <row r="804" spans="1:12">
      <c r="A804">
        <v>97369</v>
      </c>
      <c r="B804" t="s">
        <v>21</v>
      </c>
      <c r="C804" t="s">
        <v>21</v>
      </c>
      <c r="D804" s="1">
        <v>44820</v>
      </c>
      <c r="E804">
        <v>2</v>
      </c>
      <c r="F804" t="s">
        <v>17</v>
      </c>
      <c r="G804" t="s">
        <v>18</v>
      </c>
      <c r="H804" t="s">
        <v>13</v>
      </c>
      <c r="I804" t="s">
        <v>78</v>
      </c>
      <c r="J804" t="s">
        <v>59</v>
      </c>
      <c r="K804">
        <v>29</v>
      </c>
      <c r="L804" t="s">
        <v>13</v>
      </c>
    </row>
    <row r="805" spans="1:12">
      <c r="A805">
        <v>29963</v>
      </c>
      <c r="B805" t="s">
        <v>22</v>
      </c>
      <c r="C805" t="s">
        <v>21</v>
      </c>
      <c r="D805" s="1">
        <v>88431</v>
      </c>
      <c r="E805">
        <v>2</v>
      </c>
      <c r="F805" t="s">
        <v>10</v>
      </c>
      <c r="G805" t="s">
        <v>15</v>
      </c>
      <c r="H805" t="s">
        <v>13</v>
      </c>
      <c r="I805" t="s">
        <v>81</v>
      </c>
      <c r="J805" t="s">
        <v>70</v>
      </c>
      <c r="K805">
        <v>47</v>
      </c>
      <c r="L805" t="s">
        <v>13</v>
      </c>
    </row>
    <row r="806" spans="1:12">
      <c r="A806">
        <v>65123</v>
      </c>
      <c r="B806" t="s">
        <v>21</v>
      </c>
      <c r="C806" t="s">
        <v>20</v>
      </c>
      <c r="D806" s="1">
        <v>75745</v>
      </c>
      <c r="E806">
        <v>3</v>
      </c>
      <c r="F806" t="s">
        <v>10</v>
      </c>
      <c r="G806" t="s">
        <v>16</v>
      </c>
      <c r="H806" t="s">
        <v>13</v>
      </c>
      <c r="I806" t="s">
        <v>81</v>
      </c>
      <c r="J806" t="s">
        <v>66</v>
      </c>
      <c r="K806">
        <v>50</v>
      </c>
      <c r="L806" t="s">
        <v>13</v>
      </c>
    </row>
    <row r="807" spans="1:12">
      <c r="A807">
        <v>83477</v>
      </c>
      <c r="B807" t="s">
        <v>21</v>
      </c>
      <c r="C807" t="s">
        <v>21</v>
      </c>
      <c r="D807" s="1">
        <v>70081</v>
      </c>
      <c r="E807">
        <v>5</v>
      </c>
      <c r="F807" t="s">
        <v>10</v>
      </c>
      <c r="G807" t="s">
        <v>15</v>
      </c>
      <c r="H807" t="s">
        <v>13</v>
      </c>
      <c r="I807" t="s">
        <v>78</v>
      </c>
      <c r="J807" t="s">
        <v>62</v>
      </c>
      <c r="K807">
        <v>38</v>
      </c>
      <c r="L807" t="s">
        <v>13</v>
      </c>
    </row>
    <row r="808" spans="1:12">
      <c r="A808">
        <v>24388</v>
      </c>
      <c r="B808" t="s">
        <v>21</v>
      </c>
      <c r="C808" t="s">
        <v>20</v>
      </c>
      <c r="D808" s="1">
        <v>90902</v>
      </c>
      <c r="E808">
        <v>3</v>
      </c>
      <c r="F808" t="s">
        <v>17</v>
      </c>
      <c r="G808" t="s">
        <v>18</v>
      </c>
      <c r="H808" t="s">
        <v>12</v>
      </c>
      <c r="I808" t="s">
        <v>79</v>
      </c>
      <c r="J808" t="s">
        <v>64</v>
      </c>
      <c r="K808">
        <v>22</v>
      </c>
      <c r="L808" t="s">
        <v>13</v>
      </c>
    </row>
    <row r="809" spans="1:12">
      <c r="A809">
        <v>15569</v>
      </c>
      <c r="B809" t="s">
        <v>21</v>
      </c>
      <c r="C809" t="s">
        <v>20</v>
      </c>
      <c r="D809" s="1">
        <v>28711</v>
      </c>
      <c r="E809">
        <v>5</v>
      </c>
      <c r="F809" t="s">
        <v>19</v>
      </c>
      <c r="G809" t="s">
        <v>16</v>
      </c>
      <c r="H809" t="s">
        <v>13</v>
      </c>
      <c r="I809" t="s">
        <v>77</v>
      </c>
      <c r="J809" t="s">
        <v>72</v>
      </c>
      <c r="K809">
        <v>55</v>
      </c>
      <c r="L809" t="s">
        <v>13</v>
      </c>
    </row>
    <row r="810" spans="1:12">
      <c r="A810">
        <v>79836</v>
      </c>
      <c r="B810" t="s">
        <v>22</v>
      </c>
      <c r="C810" t="s">
        <v>21</v>
      </c>
      <c r="D810" s="1">
        <v>105132</v>
      </c>
      <c r="E810">
        <v>5</v>
      </c>
      <c r="F810" t="s">
        <v>14</v>
      </c>
      <c r="G810" t="s">
        <v>11</v>
      </c>
      <c r="H810" t="s">
        <v>13</v>
      </c>
      <c r="I810" t="s">
        <v>81</v>
      </c>
      <c r="J810" t="s">
        <v>73</v>
      </c>
      <c r="K810">
        <v>62</v>
      </c>
      <c r="L810" t="s">
        <v>12</v>
      </c>
    </row>
    <row r="811" spans="1:12">
      <c r="A811">
        <v>46586</v>
      </c>
      <c r="B811" t="s">
        <v>21</v>
      </c>
      <c r="C811" t="s">
        <v>20</v>
      </c>
      <c r="D811" s="1">
        <v>38793</v>
      </c>
      <c r="E811">
        <v>2</v>
      </c>
      <c r="F811" t="s">
        <v>10</v>
      </c>
      <c r="G811" t="s">
        <v>16</v>
      </c>
      <c r="H811" t="s">
        <v>13</v>
      </c>
      <c r="I811" t="s">
        <v>77</v>
      </c>
      <c r="J811" t="s">
        <v>67</v>
      </c>
      <c r="K811">
        <v>34</v>
      </c>
      <c r="L811" t="s">
        <v>12</v>
      </c>
    </row>
    <row r="812" spans="1:12">
      <c r="A812">
        <v>22015</v>
      </c>
      <c r="B812" t="s">
        <v>22</v>
      </c>
      <c r="C812" t="s">
        <v>21</v>
      </c>
      <c r="D812" s="1">
        <v>28199</v>
      </c>
      <c r="E812">
        <v>3</v>
      </c>
      <c r="F812" t="s">
        <v>19</v>
      </c>
      <c r="G812" t="s">
        <v>11</v>
      </c>
      <c r="H812" t="s">
        <v>12</v>
      </c>
      <c r="I812" t="s">
        <v>80</v>
      </c>
      <c r="J812" t="s">
        <v>71</v>
      </c>
      <c r="K812">
        <v>52</v>
      </c>
      <c r="L812" t="s">
        <v>12</v>
      </c>
    </row>
    <row r="813" spans="1:12">
      <c r="A813">
        <v>55002</v>
      </c>
      <c r="B813" t="s">
        <v>22</v>
      </c>
      <c r="C813" t="s">
        <v>21</v>
      </c>
      <c r="D813" s="1">
        <v>96253</v>
      </c>
      <c r="E813">
        <v>1</v>
      </c>
      <c r="F813" t="s">
        <v>14</v>
      </c>
      <c r="G813" t="s">
        <v>15</v>
      </c>
      <c r="H813" t="s">
        <v>12</v>
      </c>
      <c r="I813" t="s">
        <v>77</v>
      </c>
      <c r="J813" t="s">
        <v>59</v>
      </c>
      <c r="K813">
        <v>60</v>
      </c>
      <c r="L813" t="s">
        <v>13</v>
      </c>
    </row>
    <row r="814" spans="1:12">
      <c r="A814">
        <v>16254</v>
      </c>
      <c r="B814" t="s">
        <v>22</v>
      </c>
      <c r="C814" t="s">
        <v>20</v>
      </c>
      <c r="D814" s="1">
        <v>56191</v>
      </c>
      <c r="E814">
        <v>5</v>
      </c>
      <c r="F814" t="s">
        <v>14</v>
      </c>
      <c r="G814" t="s">
        <v>15</v>
      </c>
      <c r="H814" t="s">
        <v>13</v>
      </c>
      <c r="I814" t="s">
        <v>78</v>
      </c>
      <c r="J814" t="s">
        <v>74</v>
      </c>
      <c r="K814">
        <v>62</v>
      </c>
      <c r="L814" t="s">
        <v>13</v>
      </c>
    </row>
    <row r="815" spans="1:12">
      <c r="A815">
        <v>27144</v>
      </c>
      <c r="B815" t="s">
        <v>21</v>
      </c>
      <c r="C815" t="s">
        <v>21</v>
      </c>
      <c r="D815" s="1">
        <v>30211</v>
      </c>
      <c r="E815">
        <v>4</v>
      </c>
      <c r="F815" t="s">
        <v>14</v>
      </c>
      <c r="G815" t="s">
        <v>18</v>
      </c>
      <c r="H815" t="s">
        <v>13</v>
      </c>
      <c r="I815" t="s">
        <v>77</v>
      </c>
      <c r="J815" t="s">
        <v>63</v>
      </c>
      <c r="K815">
        <v>64</v>
      </c>
      <c r="L815" t="s">
        <v>13</v>
      </c>
    </row>
    <row r="816" spans="1:12">
      <c r="A816">
        <v>34214</v>
      </c>
      <c r="B816" t="s">
        <v>21</v>
      </c>
      <c r="C816" t="s">
        <v>21</v>
      </c>
      <c r="D816" s="1">
        <v>83069</v>
      </c>
      <c r="E816">
        <v>4</v>
      </c>
      <c r="F816" t="s">
        <v>19</v>
      </c>
      <c r="G816" t="s">
        <v>11</v>
      </c>
      <c r="H816" t="s">
        <v>13</v>
      </c>
      <c r="I816" t="s">
        <v>77</v>
      </c>
      <c r="J816" t="s">
        <v>73</v>
      </c>
      <c r="K816">
        <v>45</v>
      </c>
      <c r="L816" t="s">
        <v>12</v>
      </c>
    </row>
    <row r="817" spans="1:12">
      <c r="A817">
        <v>90719</v>
      </c>
      <c r="B817" t="s">
        <v>22</v>
      </c>
      <c r="C817" t="s">
        <v>20</v>
      </c>
      <c r="D817" s="1">
        <v>108896</v>
      </c>
      <c r="E817">
        <v>1</v>
      </c>
      <c r="F817" t="s">
        <v>19</v>
      </c>
      <c r="G817" t="s">
        <v>15</v>
      </c>
      <c r="H817" t="s">
        <v>12</v>
      </c>
      <c r="I817" t="s">
        <v>77</v>
      </c>
      <c r="J817" t="s">
        <v>65</v>
      </c>
      <c r="K817">
        <v>35</v>
      </c>
      <c r="L817" t="s">
        <v>13</v>
      </c>
    </row>
    <row r="818" spans="1:12">
      <c r="A818">
        <v>81774</v>
      </c>
      <c r="B818" t="s">
        <v>22</v>
      </c>
      <c r="C818" t="s">
        <v>20</v>
      </c>
      <c r="D818" s="1">
        <v>76746</v>
      </c>
      <c r="E818">
        <v>4</v>
      </c>
      <c r="F818" t="s">
        <v>17</v>
      </c>
      <c r="G818" t="s">
        <v>11</v>
      </c>
      <c r="H818" t="s">
        <v>13</v>
      </c>
      <c r="I818" t="s">
        <v>79</v>
      </c>
      <c r="J818" t="s">
        <v>60</v>
      </c>
      <c r="K818">
        <v>55</v>
      </c>
      <c r="L818" t="s">
        <v>13</v>
      </c>
    </row>
    <row r="819" spans="1:12">
      <c r="A819">
        <v>16090</v>
      </c>
      <c r="B819" t="s">
        <v>22</v>
      </c>
      <c r="C819" t="s">
        <v>21</v>
      </c>
      <c r="D819" s="1">
        <v>41542</v>
      </c>
      <c r="E819">
        <v>0</v>
      </c>
      <c r="F819" t="s">
        <v>19</v>
      </c>
      <c r="G819" t="s">
        <v>15</v>
      </c>
      <c r="H819" t="s">
        <v>13</v>
      </c>
      <c r="I819" t="s">
        <v>79</v>
      </c>
      <c r="J819" t="s">
        <v>64</v>
      </c>
      <c r="K819">
        <v>52</v>
      </c>
      <c r="L819" t="s">
        <v>12</v>
      </c>
    </row>
    <row r="820" spans="1:12">
      <c r="A820">
        <v>21637</v>
      </c>
      <c r="B820" t="s">
        <v>21</v>
      </c>
      <c r="C820" t="s">
        <v>21</v>
      </c>
      <c r="D820" s="1">
        <v>51312</v>
      </c>
      <c r="E820">
        <v>5</v>
      </c>
      <c r="F820" t="s">
        <v>19</v>
      </c>
      <c r="G820" t="s">
        <v>16</v>
      </c>
      <c r="H820" t="s">
        <v>13</v>
      </c>
      <c r="I820" t="s">
        <v>80</v>
      </c>
      <c r="J820" t="s">
        <v>61</v>
      </c>
      <c r="K820">
        <v>39</v>
      </c>
      <c r="L820" t="s">
        <v>13</v>
      </c>
    </row>
    <row r="821" spans="1:12">
      <c r="A821">
        <v>32415</v>
      </c>
      <c r="B821" t="s">
        <v>21</v>
      </c>
      <c r="C821" t="s">
        <v>20</v>
      </c>
      <c r="D821" s="1">
        <v>65242</v>
      </c>
      <c r="E821">
        <v>1</v>
      </c>
      <c r="F821" t="s">
        <v>19</v>
      </c>
      <c r="G821" t="s">
        <v>15</v>
      </c>
      <c r="H821" t="s">
        <v>12</v>
      </c>
      <c r="I821" t="s">
        <v>78</v>
      </c>
      <c r="J821" t="s">
        <v>64</v>
      </c>
      <c r="K821">
        <v>32</v>
      </c>
      <c r="L821" t="s">
        <v>13</v>
      </c>
    </row>
    <row r="822" spans="1:12">
      <c r="A822">
        <v>34071</v>
      </c>
      <c r="B822" t="s">
        <v>22</v>
      </c>
      <c r="C822" t="s">
        <v>21</v>
      </c>
      <c r="D822" s="1">
        <v>113783</v>
      </c>
      <c r="E822">
        <v>3</v>
      </c>
      <c r="F822" t="s">
        <v>14</v>
      </c>
      <c r="G822" t="s">
        <v>18</v>
      </c>
      <c r="H822" t="s">
        <v>13</v>
      </c>
      <c r="I822" t="s">
        <v>77</v>
      </c>
      <c r="J822" t="s">
        <v>62</v>
      </c>
      <c r="K822">
        <v>52</v>
      </c>
      <c r="L822" t="s">
        <v>13</v>
      </c>
    </row>
    <row r="823" spans="1:12">
      <c r="A823">
        <v>68243</v>
      </c>
      <c r="B823" t="s">
        <v>22</v>
      </c>
      <c r="C823" t="s">
        <v>21</v>
      </c>
      <c r="D823" s="1">
        <v>107893</v>
      </c>
      <c r="E823">
        <v>5</v>
      </c>
      <c r="F823" t="s">
        <v>10</v>
      </c>
      <c r="G823" t="s">
        <v>16</v>
      </c>
      <c r="H823" t="s">
        <v>13</v>
      </c>
      <c r="I823" t="s">
        <v>77</v>
      </c>
      <c r="J823" t="s">
        <v>61</v>
      </c>
      <c r="K823">
        <v>24</v>
      </c>
      <c r="L823" t="s">
        <v>13</v>
      </c>
    </row>
    <row r="824" spans="1:12">
      <c r="A824">
        <v>51240</v>
      </c>
      <c r="B824" t="s">
        <v>22</v>
      </c>
      <c r="C824" t="s">
        <v>21</v>
      </c>
      <c r="D824" s="1">
        <v>75388</v>
      </c>
      <c r="E824">
        <v>1</v>
      </c>
      <c r="F824" t="s">
        <v>17</v>
      </c>
      <c r="G824" t="s">
        <v>18</v>
      </c>
      <c r="H824" t="s">
        <v>12</v>
      </c>
      <c r="I824" t="s">
        <v>77</v>
      </c>
      <c r="J824" t="s">
        <v>61</v>
      </c>
      <c r="K824">
        <v>56</v>
      </c>
      <c r="L824" t="s">
        <v>12</v>
      </c>
    </row>
    <row r="825" spans="1:12">
      <c r="A825">
        <v>93807</v>
      </c>
      <c r="B825" t="s">
        <v>22</v>
      </c>
      <c r="C825" t="s">
        <v>21</v>
      </c>
      <c r="D825" s="1">
        <v>47691</v>
      </c>
      <c r="E825">
        <v>2</v>
      </c>
      <c r="F825" t="s">
        <v>10</v>
      </c>
      <c r="G825" t="s">
        <v>16</v>
      </c>
      <c r="H825" t="s">
        <v>12</v>
      </c>
      <c r="I825" t="s">
        <v>77</v>
      </c>
      <c r="J825" t="s">
        <v>74</v>
      </c>
      <c r="K825">
        <v>33</v>
      </c>
      <c r="L825" t="s">
        <v>12</v>
      </c>
    </row>
    <row r="826" spans="1:12">
      <c r="A826">
        <v>43434</v>
      </c>
      <c r="B826" t="s">
        <v>22</v>
      </c>
      <c r="C826" t="s">
        <v>21</v>
      </c>
      <c r="D826" s="1">
        <v>97960</v>
      </c>
      <c r="E826">
        <v>3</v>
      </c>
      <c r="F826" t="s">
        <v>10</v>
      </c>
      <c r="G826" t="s">
        <v>11</v>
      </c>
      <c r="H826" t="s">
        <v>13</v>
      </c>
      <c r="I826" t="s">
        <v>79</v>
      </c>
      <c r="J826" t="s">
        <v>62</v>
      </c>
      <c r="K826">
        <v>46</v>
      </c>
      <c r="L826" t="s">
        <v>12</v>
      </c>
    </row>
    <row r="827" spans="1:12">
      <c r="A827">
        <v>79724</v>
      </c>
      <c r="B827" t="s">
        <v>21</v>
      </c>
      <c r="C827" t="s">
        <v>21</v>
      </c>
      <c r="D827" s="1">
        <v>104388</v>
      </c>
      <c r="E827">
        <v>2</v>
      </c>
      <c r="F827" t="s">
        <v>19</v>
      </c>
      <c r="G827" t="s">
        <v>18</v>
      </c>
      <c r="H827" t="s">
        <v>12</v>
      </c>
      <c r="I827" t="s">
        <v>80</v>
      </c>
      <c r="J827" t="s">
        <v>59</v>
      </c>
      <c r="K827">
        <v>42</v>
      </c>
      <c r="L827" t="s">
        <v>13</v>
      </c>
    </row>
    <row r="828" spans="1:12">
      <c r="A828">
        <v>85697</v>
      </c>
      <c r="B828" t="s">
        <v>21</v>
      </c>
      <c r="C828" t="s">
        <v>21</v>
      </c>
      <c r="D828" s="1">
        <v>42601</v>
      </c>
      <c r="E828">
        <v>5</v>
      </c>
      <c r="F828" t="s">
        <v>17</v>
      </c>
      <c r="G828" t="s">
        <v>15</v>
      </c>
      <c r="H828" t="s">
        <v>13</v>
      </c>
      <c r="I828" t="s">
        <v>81</v>
      </c>
      <c r="J828" t="s">
        <v>70</v>
      </c>
      <c r="K828">
        <v>33</v>
      </c>
      <c r="L828" t="s">
        <v>12</v>
      </c>
    </row>
    <row r="829" spans="1:12">
      <c r="A829">
        <v>38732</v>
      </c>
      <c r="B829" t="s">
        <v>21</v>
      </c>
      <c r="C829" t="s">
        <v>20</v>
      </c>
      <c r="D829" s="1">
        <v>38020</v>
      </c>
      <c r="E829">
        <v>3</v>
      </c>
      <c r="F829" t="s">
        <v>10</v>
      </c>
      <c r="G829" t="s">
        <v>11</v>
      </c>
      <c r="H829" t="s">
        <v>12</v>
      </c>
      <c r="I829" t="s">
        <v>78</v>
      </c>
      <c r="J829" t="s">
        <v>61</v>
      </c>
      <c r="K829">
        <v>59</v>
      </c>
      <c r="L829" t="s">
        <v>13</v>
      </c>
    </row>
    <row r="830" spans="1:12">
      <c r="A830">
        <v>21314</v>
      </c>
      <c r="B830" t="s">
        <v>21</v>
      </c>
      <c r="C830" t="s">
        <v>20</v>
      </c>
      <c r="D830" s="1">
        <v>28155</v>
      </c>
      <c r="E830">
        <v>4</v>
      </c>
      <c r="F830" t="s">
        <v>10</v>
      </c>
      <c r="G830" t="s">
        <v>15</v>
      </c>
      <c r="H830" t="s">
        <v>12</v>
      </c>
      <c r="I830" t="s">
        <v>77</v>
      </c>
      <c r="J830" t="s">
        <v>62</v>
      </c>
      <c r="K830">
        <v>23</v>
      </c>
      <c r="L830" t="s">
        <v>13</v>
      </c>
    </row>
    <row r="831" spans="1:12">
      <c r="A831">
        <v>33954</v>
      </c>
      <c r="B831" t="s">
        <v>22</v>
      </c>
      <c r="C831" t="s">
        <v>20</v>
      </c>
      <c r="D831" s="1">
        <v>89119</v>
      </c>
      <c r="E831">
        <v>1</v>
      </c>
      <c r="F831" t="s">
        <v>17</v>
      </c>
      <c r="G831" t="s">
        <v>16</v>
      </c>
      <c r="H831" t="s">
        <v>13</v>
      </c>
      <c r="I831" t="s">
        <v>80</v>
      </c>
      <c r="J831" t="s">
        <v>71</v>
      </c>
      <c r="K831">
        <v>58</v>
      </c>
      <c r="L831" t="s">
        <v>13</v>
      </c>
    </row>
    <row r="832" spans="1:12">
      <c r="A832">
        <v>67108</v>
      </c>
      <c r="B832" t="s">
        <v>21</v>
      </c>
      <c r="C832" t="s">
        <v>20</v>
      </c>
      <c r="D832" s="1">
        <v>101051</v>
      </c>
      <c r="E832">
        <v>5</v>
      </c>
      <c r="F832" t="s">
        <v>19</v>
      </c>
      <c r="G832" t="s">
        <v>16</v>
      </c>
      <c r="H832" t="s">
        <v>13</v>
      </c>
      <c r="I832" t="s">
        <v>81</v>
      </c>
      <c r="J832" t="s">
        <v>65</v>
      </c>
      <c r="K832">
        <v>38</v>
      </c>
      <c r="L832" t="s">
        <v>12</v>
      </c>
    </row>
    <row r="833" spans="1:12">
      <c r="A833">
        <v>97044</v>
      </c>
      <c r="B833" t="s">
        <v>21</v>
      </c>
      <c r="C833" t="s">
        <v>20</v>
      </c>
      <c r="D833" s="1">
        <v>56777</v>
      </c>
      <c r="E833">
        <v>0</v>
      </c>
      <c r="F833" t="s">
        <v>10</v>
      </c>
      <c r="G833" t="s">
        <v>15</v>
      </c>
      <c r="H833" t="s">
        <v>13</v>
      </c>
      <c r="I833" t="s">
        <v>80</v>
      </c>
      <c r="J833" t="s">
        <v>70</v>
      </c>
      <c r="K833">
        <v>66</v>
      </c>
      <c r="L833" t="s">
        <v>13</v>
      </c>
    </row>
    <row r="834" spans="1:12">
      <c r="A834">
        <v>97505</v>
      </c>
      <c r="B834" t="s">
        <v>21</v>
      </c>
      <c r="C834" t="s">
        <v>21</v>
      </c>
      <c r="D834" s="1">
        <v>39710</v>
      </c>
      <c r="E834">
        <v>3</v>
      </c>
      <c r="F834" t="s">
        <v>14</v>
      </c>
      <c r="G834" t="s">
        <v>15</v>
      </c>
      <c r="H834" t="s">
        <v>12</v>
      </c>
      <c r="I834" t="s">
        <v>79</v>
      </c>
      <c r="J834" t="s">
        <v>70</v>
      </c>
      <c r="K834">
        <v>23</v>
      </c>
      <c r="L834" t="s">
        <v>13</v>
      </c>
    </row>
    <row r="835" spans="1:12">
      <c r="A835">
        <v>46668</v>
      </c>
      <c r="B835" t="s">
        <v>21</v>
      </c>
      <c r="C835" t="s">
        <v>21</v>
      </c>
      <c r="D835" s="1">
        <v>44532</v>
      </c>
      <c r="E835">
        <v>3</v>
      </c>
      <c r="F835" t="s">
        <v>10</v>
      </c>
      <c r="G835" t="s">
        <v>11</v>
      </c>
      <c r="H835" t="s">
        <v>13</v>
      </c>
      <c r="I835" t="s">
        <v>81</v>
      </c>
      <c r="J835" t="s">
        <v>63</v>
      </c>
      <c r="K835">
        <v>49</v>
      </c>
      <c r="L835" t="s">
        <v>13</v>
      </c>
    </row>
    <row r="836" spans="1:12">
      <c r="A836">
        <v>33061</v>
      </c>
      <c r="B836" t="s">
        <v>21</v>
      </c>
      <c r="C836" t="s">
        <v>21</v>
      </c>
      <c r="D836" s="1">
        <v>38601</v>
      </c>
      <c r="E836">
        <v>5</v>
      </c>
      <c r="F836" t="s">
        <v>14</v>
      </c>
      <c r="G836" t="s">
        <v>15</v>
      </c>
      <c r="H836" t="s">
        <v>13</v>
      </c>
      <c r="I836" t="s">
        <v>80</v>
      </c>
      <c r="J836" t="s">
        <v>71</v>
      </c>
      <c r="K836">
        <v>38</v>
      </c>
      <c r="L836" t="s">
        <v>12</v>
      </c>
    </row>
    <row r="837" spans="1:12">
      <c r="A837">
        <v>89252</v>
      </c>
      <c r="B837" t="s">
        <v>21</v>
      </c>
      <c r="C837" t="s">
        <v>21</v>
      </c>
      <c r="D837" s="1">
        <v>83227</v>
      </c>
      <c r="E837">
        <v>5</v>
      </c>
      <c r="F837" t="s">
        <v>19</v>
      </c>
      <c r="G837" t="s">
        <v>18</v>
      </c>
      <c r="H837" t="s">
        <v>13</v>
      </c>
      <c r="I837" t="s">
        <v>79</v>
      </c>
      <c r="J837" t="s">
        <v>66</v>
      </c>
      <c r="K837">
        <v>50</v>
      </c>
      <c r="L837" t="s">
        <v>12</v>
      </c>
    </row>
    <row r="838" spans="1:12">
      <c r="A838">
        <v>49749</v>
      </c>
      <c r="B838" t="s">
        <v>22</v>
      </c>
      <c r="C838" t="s">
        <v>20</v>
      </c>
      <c r="D838" s="1">
        <v>24967</v>
      </c>
      <c r="E838">
        <v>2</v>
      </c>
      <c r="F838" t="s">
        <v>10</v>
      </c>
      <c r="G838" t="s">
        <v>18</v>
      </c>
      <c r="H838" t="s">
        <v>13</v>
      </c>
      <c r="I838" t="s">
        <v>80</v>
      </c>
      <c r="J838" t="s">
        <v>70</v>
      </c>
      <c r="K838">
        <v>50</v>
      </c>
      <c r="L838" t="s">
        <v>13</v>
      </c>
    </row>
    <row r="839" spans="1:12">
      <c r="A839">
        <v>26907</v>
      </c>
      <c r="B839" t="s">
        <v>21</v>
      </c>
      <c r="C839" t="s">
        <v>21</v>
      </c>
      <c r="D839" s="1">
        <v>104289</v>
      </c>
      <c r="E839">
        <v>4</v>
      </c>
      <c r="F839" t="s">
        <v>17</v>
      </c>
      <c r="G839" t="s">
        <v>15</v>
      </c>
      <c r="H839" t="s">
        <v>13</v>
      </c>
      <c r="I839" t="s">
        <v>80</v>
      </c>
      <c r="J839" t="s">
        <v>64</v>
      </c>
      <c r="K839">
        <v>28</v>
      </c>
      <c r="L839" t="s">
        <v>12</v>
      </c>
    </row>
    <row r="840" spans="1:12">
      <c r="A840">
        <v>28777</v>
      </c>
      <c r="B840" t="s">
        <v>22</v>
      </c>
      <c r="C840" t="s">
        <v>21</v>
      </c>
      <c r="D840" s="1">
        <v>40022</v>
      </c>
      <c r="E840">
        <v>2</v>
      </c>
      <c r="F840" t="s">
        <v>17</v>
      </c>
      <c r="G840" t="s">
        <v>18</v>
      </c>
      <c r="H840" t="s">
        <v>12</v>
      </c>
      <c r="I840" t="s">
        <v>81</v>
      </c>
      <c r="J840" t="s">
        <v>68</v>
      </c>
      <c r="K840">
        <v>32</v>
      </c>
      <c r="L840" t="s">
        <v>12</v>
      </c>
    </row>
    <row r="841" spans="1:12">
      <c r="A841">
        <v>61745</v>
      </c>
      <c r="B841" t="s">
        <v>21</v>
      </c>
      <c r="C841" t="s">
        <v>20</v>
      </c>
      <c r="D841" s="1">
        <v>63463</v>
      </c>
      <c r="E841">
        <v>2</v>
      </c>
      <c r="F841" t="s">
        <v>10</v>
      </c>
      <c r="G841" t="s">
        <v>15</v>
      </c>
      <c r="H841" t="s">
        <v>13</v>
      </c>
      <c r="I841" t="s">
        <v>79</v>
      </c>
      <c r="J841" t="s">
        <v>72</v>
      </c>
      <c r="K841">
        <v>33</v>
      </c>
      <c r="L841" t="s">
        <v>12</v>
      </c>
    </row>
    <row r="842" spans="1:12">
      <c r="A842">
        <v>91818</v>
      </c>
      <c r="B842" t="s">
        <v>21</v>
      </c>
      <c r="C842" t="s">
        <v>21</v>
      </c>
      <c r="D842" s="1">
        <v>94671</v>
      </c>
      <c r="E842">
        <v>4</v>
      </c>
      <c r="F842" t="s">
        <v>19</v>
      </c>
      <c r="G842" t="s">
        <v>11</v>
      </c>
      <c r="H842" t="s">
        <v>13</v>
      </c>
      <c r="I842" t="s">
        <v>77</v>
      </c>
      <c r="J842" t="s">
        <v>71</v>
      </c>
      <c r="K842">
        <v>65</v>
      </c>
      <c r="L842" t="s">
        <v>13</v>
      </c>
    </row>
    <row r="843" spans="1:12">
      <c r="A843">
        <v>33624</v>
      </c>
      <c r="B843" t="s">
        <v>21</v>
      </c>
      <c r="C843" t="s">
        <v>21</v>
      </c>
      <c r="D843" s="1">
        <v>25722</v>
      </c>
      <c r="E843">
        <v>0</v>
      </c>
      <c r="F843" t="s">
        <v>19</v>
      </c>
      <c r="G843" t="s">
        <v>18</v>
      </c>
      <c r="H843" t="s">
        <v>12</v>
      </c>
      <c r="I843" t="s">
        <v>78</v>
      </c>
      <c r="J843" t="s">
        <v>66</v>
      </c>
      <c r="K843">
        <v>29</v>
      </c>
      <c r="L843" t="s">
        <v>13</v>
      </c>
    </row>
    <row r="844" spans="1:12">
      <c r="A844">
        <v>33321</v>
      </c>
      <c r="B844" t="s">
        <v>22</v>
      </c>
      <c r="C844" t="s">
        <v>20</v>
      </c>
      <c r="D844" s="1">
        <v>47413</v>
      </c>
      <c r="E844">
        <v>2</v>
      </c>
      <c r="F844" t="s">
        <v>17</v>
      </c>
      <c r="G844" t="s">
        <v>18</v>
      </c>
      <c r="H844" t="s">
        <v>13</v>
      </c>
      <c r="I844" t="s">
        <v>81</v>
      </c>
      <c r="J844" t="s">
        <v>72</v>
      </c>
      <c r="K844">
        <v>67</v>
      </c>
      <c r="L844" t="s">
        <v>12</v>
      </c>
    </row>
    <row r="845" spans="1:12">
      <c r="A845">
        <v>20488</v>
      </c>
      <c r="B845" t="s">
        <v>22</v>
      </c>
      <c r="C845" t="s">
        <v>21</v>
      </c>
      <c r="D845" s="1">
        <v>112772</v>
      </c>
      <c r="E845">
        <v>2</v>
      </c>
      <c r="F845" t="s">
        <v>10</v>
      </c>
      <c r="G845" t="s">
        <v>15</v>
      </c>
      <c r="H845" t="s">
        <v>13</v>
      </c>
      <c r="I845" t="s">
        <v>79</v>
      </c>
      <c r="J845" t="s">
        <v>64</v>
      </c>
      <c r="K845">
        <v>50</v>
      </c>
      <c r="L845" t="s">
        <v>12</v>
      </c>
    </row>
    <row r="846" spans="1:12">
      <c r="A846">
        <v>32574</v>
      </c>
      <c r="B846" t="s">
        <v>21</v>
      </c>
      <c r="C846" t="s">
        <v>21</v>
      </c>
      <c r="D846" s="1">
        <v>101050</v>
      </c>
      <c r="E846">
        <v>3</v>
      </c>
      <c r="F846" t="s">
        <v>19</v>
      </c>
      <c r="G846" t="s">
        <v>18</v>
      </c>
      <c r="H846" t="s">
        <v>13</v>
      </c>
      <c r="I846" t="s">
        <v>80</v>
      </c>
      <c r="J846" t="s">
        <v>64</v>
      </c>
      <c r="K846">
        <v>56</v>
      </c>
      <c r="L846" t="s">
        <v>13</v>
      </c>
    </row>
    <row r="847" spans="1:12">
      <c r="A847">
        <v>15240</v>
      </c>
      <c r="B847" t="s">
        <v>21</v>
      </c>
      <c r="C847" t="s">
        <v>21</v>
      </c>
      <c r="D847" s="1">
        <v>105867</v>
      </c>
      <c r="E847">
        <v>4</v>
      </c>
      <c r="F847" t="s">
        <v>17</v>
      </c>
      <c r="G847" t="s">
        <v>16</v>
      </c>
      <c r="H847" t="s">
        <v>13</v>
      </c>
      <c r="I847" t="s">
        <v>79</v>
      </c>
      <c r="J847" t="s">
        <v>60</v>
      </c>
      <c r="K847">
        <v>42</v>
      </c>
      <c r="L847" t="s">
        <v>13</v>
      </c>
    </row>
    <row r="848" spans="1:12">
      <c r="A848">
        <v>53221</v>
      </c>
      <c r="B848" t="s">
        <v>22</v>
      </c>
      <c r="C848" t="s">
        <v>21</v>
      </c>
      <c r="D848" s="1">
        <v>103596</v>
      </c>
      <c r="E848">
        <v>1</v>
      </c>
      <c r="F848" t="s">
        <v>14</v>
      </c>
      <c r="G848" t="s">
        <v>11</v>
      </c>
      <c r="H848" t="s">
        <v>13</v>
      </c>
      <c r="I848" t="s">
        <v>78</v>
      </c>
      <c r="J848" t="s">
        <v>61</v>
      </c>
      <c r="K848">
        <v>46</v>
      </c>
      <c r="L848" t="s">
        <v>12</v>
      </c>
    </row>
    <row r="849" spans="1:12">
      <c r="A849">
        <v>20478</v>
      </c>
      <c r="B849" t="s">
        <v>21</v>
      </c>
      <c r="C849" t="s">
        <v>21</v>
      </c>
      <c r="D849" s="1">
        <v>86732</v>
      </c>
      <c r="E849">
        <v>0</v>
      </c>
      <c r="F849" t="s">
        <v>10</v>
      </c>
      <c r="G849" t="s">
        <v>11</v>
      </c>
      <c r="H849" t="s">
        <v>12</v>
      </c>
      <c r="I849" t="s">
        <v>78</v>
      </c>
      <c r="J849" t="s">
        <v>63</v>
      </c>
      <c r="K849">
        <v>25</v>
      </c>
      <c r="L849" t="s">
        <v>12</v>
      </c>
    </row>
    <row r="850" spans="1:12">
      <c r="A850">
        <v>65645</v>
      </c>
      <c r="B850" t="s">
        <v>21</v>
      </c>
      <c r="C850" t="s">
        <v>20</v>
      </c>
      <c r="D850" s="1">
        <v>32297</v>
      </c>
      <c r="E850">
        <v>0</v>
      </c>
      <c r="F850" t="s">
        <v>14</v>
      </c>
      <c r="G850" t="s">
        <v>18</v>
      </c>
      <c r="H850" t="s">
        <v>12</v>
      </c>
      <c r="I850" t="s">
        <v>77</v>
      </c>
      <c r="J850" t="s">
        <v>59</v>
      </c>
      <c r="K850">
        <v>45</v>
      </c>
      <c r="L850" t="s">
        <v>13</v>
      </c>
    </row>
    <row r="851" spans="1:12">
      <c r="A851">
        <v>29262</v>
      </c>
      <c r="B851" t="s">
        <v>22</v>
      </c>
      <c r="C851" t="s">
        <v>20</v>
      </c>
      <c r="D851" s="1">
        <v>88323</v>
      </c>
      <c r="E851">
        <v>4</v>
      </c>
      <c r="F851" t="s">
        <v>14</v>
      </c>
      <c r="G851" t="s">
        <v>18</v>
      </c>
      <c r="H851" t="s">
        <v>12</v>
      </c>
      <c r="I851" t="s">
        <v>77</v>
      </c>
      <c r="J851" t="s">
        <v>69</v>
      </c>
      <c r="K851">
        <v>21</v>
      </c>
      <c r="L851" t="s">
        <v>13</v>
      </c>
    </row>
    <row r="852" spans="1:12">
      <c r="A852">
        <v>62796</v>
      </c>
      <c r="B852" t="s">
        <v>22</v>
      </c>
      <c r="C852" t="s">
        <v>20</v>
      </c>
      <c r="D852" s="1">
        <v>43816</v>
      </c>
      <c r="E852">
        <v>5</v>
      </c>
      <c r="F852" t="s">
        <v>19</v>
      </c>
      <c r="G852" t="s">
        <v>16</v>
      </c>
      <c r="H852" t="s">
        <v>13</v>
      </c>
      <c r="I852" t="s">
        <v>78</v>
      </c>
      <c r="J852" t="s">
        <v>62</v>
      </c>
      <c r="K852">
        <v>64</v>
      </c>
      <c r="L852" t="s">
        <v>13</v>
      </c>
    </row>
    <row r="853" spans="1:12">
      <c r="A853">
        <v>14432</v>
      </c>
      <c r="B853" t="s">
        <v>21</v>
      </c>
      <c r="C853" t="s">
        <v>20</v>
      </c>
      <c r="D853" s="1">
        <v>60695</v>
      </c>
      <c r="E853">
        <v>5</v>
      </c>
      <c r="F853" t="s">
        <v>19</v>
      </c>
      <c r="G853" t="s">
        <v>16</v>
      </c>
      <c r="H853" t="s">
        <v>12</v>
      </c>
      <c r="I853" t="s">
        <v>81</v>
      </c>
      <c r="J853" t="s">
        <v>70</v>
      </c>
      <c r="K853">
        <v>32</v>
      </c>
      <c r="L853" t="s">
        <v>13</v>
      </c>
    </row>
    <row r="854" spans="1:12">
      <c r="A854">
        <v>74291</v>
      </c>
      <c r="B854" t="s">
        <v>22</v>
      </c>
      <c r="C854" t="s">
        <v>20</v>
      </c>
      <c r="D854" s="1">
        <v>39702</v>
      </c>
      <c r="E854">
        <v>3</v>
      </c>
      <c r="F854" t="s">
        <v>19</v>
      </c>
      <c r="G854" t="s">
        <v>18</v>
      </c>
      <c r="H854" t="s">
        <v>13</v>
      </c>
      <c r="I854" t="s">
        <v>81</v>
      </c>
      <c r="J854" t="s">
        <v>60</v>
      </c>
      <c r="K854">
        <v>69</v>
      </c>
      <c r="L854" t="s">
        <v>12</v>
      </c>
    </row>
    <row r="855" spans="1:12">
      <c r="A855">
        <v>89104</v>
      </c>
      <c r="B855" t="s">
        <v>22</v>
      </c>
      <c r="C855" t="s">
        <v>20</v>
      </c>
      <c r="D855" s="1">
        <v>45242</v>
      </c>
      <c r="E855">
        <v>3</v>
      </c>
      <c r="F855" t="s">
        <v>10</v>
      </c>
      <c r="G855" t="s">
        <v>18</v>
      </c>
      <c r="H855" t="s">
        <v>13</v>
      </c>
      <c r="I855" t="s">
        <v>80</v>
      </c>
      <c r="J855" t="s">
        <v>68</v>
      </c>
      <c r="K855">
        <v>38</v>
      </c>
      <c r="L855" t="s">
        <v>13</v>
      </c>
    </row>
    <row r="856" spans="1:12">
      <c r="A856">
        <v>69399</v>
      </c>
      <c r="B856" t="s">
        <v>21</v>
      </c>
      <c r="C856" t="s">
        <v>21</v>
      </c>
      <c r="D856" s="1">
        <v>75841</v>
      </c>
      <c r="E856">
        <v>4</v>
      </c>
      <c r="F856" t="s">
        <v>14</v>
      </c>
      <c r="G856" t="s">
        <v>16</v>
      </c>
      <c r="H856" t="s">
        <v>13</v>
      </c>
      <c r="I856" t="s">
        <v>77</v>
      </c>
      <c r="J856" t="s">
        <v>73</v>
      </c>
      <c r="K856">
        <v>20</v>
      </c>
      <c r="L856" t="s">
        <v>12</v>
      </c>
    </row>
    <row r="857" spans="1:12">
      <c r="A857">
        <v>89714</v>
      </c>
      <c r="B857" t="s">
        <v>22</v>
      </c>
      <c r="C857" t="s">
        <v>20</v>
      </c>
      <c r="D857" s="1">
        <v>87712</v>
      </c>
      <c r="E857">
        <v>3</v>
      </c>
      <c r="F857" t="s">
        <v>10</v>
      </c>
      <c r="G857" t="s">
        <v>15</v>
      </c>
      <c r="H857" t="s">
        <v>12</v>
      </c>
      <c r="I857" t="s">
        <v>80</v>
      </c>
      <c r="J857" t="s">
        <v>63</v>
      </c>
      <c r="K857">
        <v>59</v>
      </c>
      <c r="L857" t="s">
        <v>13</v>
      </c>
    </row>
    <row r="858" spans="1:12">
      <c r="A858">
        <v>60428</v>
      </c>
      <c r="B858" t="s">
        <v>22</v>
      </c>
      <c r="C858" t="s">
        <v>20</v>
      </c>
      <c r="D858" s="1">
        <v>105663</v>
      </c>
      <c r="E858">
        <v>0</v>
      </c>
      <c r="F858" t="s">
        <v>19</v>
      </c>
      <c r="G858" t="s">
        <v>16</v>
      </c>
      <c r="H858" t="s">
        <v>12</v>
      </c>
      <c r="I858" t="s">
        <v>77</v>
      </c>
      <c r="J858" t="s">
        <v>60</v>
      </c>
      <c r="K858">
        <v>51</v>
      </c>
      <c r="L858" t="s">
        <v>12</v>
      </c>
    </row>
    <row r="859" spans="1:12">
      <c r="A859">
        <v>97731</v>
      </c>
      <c r="B859" t="s">
        <v>21</v>
      </c>
      <c r="C859" t="s">
        <v>21</v>
      </c>
      <c r="D859" s="1">
        <v>112764</v>
      </c>
      <c r="E859">
        <v>0</v>
      </c>
      <c r="F859" t="s">
        <v>14</v>
      </c>
      <c r="G859" t="s">
        <v>15</v>
      </c>
      <c r="H859" t="s">
        <v>12</v>
      </c>
      <c r="I859" t="s">
        <v>78</v>
      </c>
      <c r="J859" t="s">
        <v>67</v>
      </c>
      <c r="K859">
        <v>41</v>
      </c>
      <c r="L859" t="s">
        <v>13</v>
      </c>
    </row>
    <row r="860" spans="1:12">
      <c r="A860">
        <v>10302</v>
      </c>
      <c r="B860" t="s">
        <v>21</v>
      </c>
      <c r="C860" t="s">
        <v>21</v>
      </c>
      <c r="D860" s="1">
        <v>73574</v>
      </c>
      <c r="E860">
        <v>1</v>
      </c>
      <c r="F860" t="s">
        <v>10</v>
      </c>
      <c r="G860" t="s">
        <v>11</v>
      </c>
      <c r="H860" t="s">
        <v>13</v>
      </c>
      <c r="I860" t="s">
        <v>81</v>
      </c>
      <c r="J860" t="s">
        <v>64</v>
      </c>
      <c r="K860">
        <v>67</v>
      </c>
      <c r="L860" t="s">
        <v>13</v>
      </c>
    </row>
    <row r="861" spans="1:12">
      <c r="A861">
        <v>92558</v>
      </c>
      <c r="B861" t="s">
        <v>21</v>
      </c>
      <c r="C861" t="s">
        <v>20</v>
      </c>
      <c r="D861" s="1">
        <v>105744</v>
      </c>
      <c r="E861">
        <v>5</v>
      </c>
      <c r="F861" t="s">
        <v>10</v>
      </c>
      <c r="G861" t="s">
        <v>11</v>
      </c>
      <c r="H861" t="s">
        <v>12</v>
      </c>
      <c r="I861" t="s">
        <v>81</v>
      </c>
      <c r="J861" t="s">
        <v>66</v>
      </c>
      <c r="K861">
        <v>48</v>
      </c>
      <c r="L861" t="s">
        <v>12</v>
      </c>
    </row>
    <row r="862" spans="1:12">
      <c r="A862">
        <v>10055</v>
      </c>
      <c r="B862" t="s">
        <v>22</v>
      </c>
      <c r="C862" t="s">
        <v>21</v>
      </c>
      <c r="D862" s="1">
        <v>48482</v>
      </c>
      <c r="E862">
        <v>4</v>
      </c>
      <c r="F862" t="s">
        <v>17</v>
      </c>
      <c r="G862" t="s">
        <v>16</v>
      </c>
      <c r="H862" t="s">
        <v>13</v>
      </c>
      <c r="I862" t="s">
        <v>78</v>
      </c>
      <c r="J862" t="s">
        <v>72</v>
      </c>
      <c r="K862">
        <v>21</v>
      </c>
      <c r="L862" t="s">
        <v>13</v>
      </c>
    </row>
    <row r="863" spans="1:12">
      <c r="A863">
        <v>18717</v>
      </c>
      <c r="B863" t="s">
        <v>21</v>
      </c>
      <c r="C863" t="s">
        <v>20</v>
      </c>
      <c r="D863" s="1">
        <v>29171</v>
      </c>
      <c r="E863">
        <v>2</v>
      </c>
      <c r="F863" t="s">
        <v>10</v>
      </c>
      <c r="G863" t="s">
        <v>15</v>
      </c>
      <c r="H863" t="s">
        <v>12</v>
      </c>
      <c r="I863" t="s">
        <v>80</v>
      </c>
      <c r="J863" t="s">
        <v>63</v>
      </c>
      <c r="K863">
        <v>59</v>
      </c>
      <c r="L863" t="s">
        <v>12</v>
      </c>
    </row>
    <row r="864" spans="1:12">
      <c r="A864">
        <v>38699</v>
      </c>
      <c r="B864" t="s">
        <v>22</v>
      </c>
      <c r="C864" t="s">
        <v>21</v>
      </c>
      <c r="D864" s="1">
        <v>118932</v>
      </c>
      <c r="E864">
        <v>5</v>
      </c>
      <c r="F864" t="s">
        <v>19</v>
      </c>
      <c r="G864" t="s">
        <v>16</v>
      </c>
      <c r="H864" t="s">
        <v>12</v>
      </c>
      <c r="I864" t="s">
        <v>80</v>
      </c>
      <c r="J864" t="s">
        <v>70</v>
      </c>
      <c r="K864">
        <v>57</v>
      </c>
      <c r="L864" t="s">
        <v>12</v>
      </c>
    </row>
    <row r="865" spans="1:12">
      <c r="A865">
        <v>83686</v>
      </c>
      <c r="B865" t="s">
        <v>22</v>
      </c>
      <c r="C865" t="s">
        <v>20</v>
      </c>
      <c r="D865" s="1">
        <v>23696</v>
      </c>
      <c r="E865">
        <v>2</v>
      </c>
      <c r="F865" t="s">
        <v>10</v>
      </c>
      <c r="G865" t="s">
        <v>16</v>
      </c>
      <c r="H865" t="s">
        <v>13</v>
      </c>
      <c r="I865" t="s">
        <v>79</v>
      </c>
      <c r="J865" t="s">
        <v>69</v>
      </c>
      <c r="K865">
        <v>67</v>
      </c>
      <c r="L865" t="s">
        <v>12</v>
      </c>
    </row>
    <row r="866" spans="1:12">
      <c r="A866">
        <v>77661</v>
      </c>
      <c r="B866" t="s">
        <v>21</v>
      </c>
      <c r="C866" t="s">
        <v>21</v>
      </c>
      <c r="D866" s="1">
        <v>40058</v>
      </c>
      <c r="E866">
        <v>1</v>
      </c>
      <c r="F866" t="s">
        <v>14</v>
      </c>
      <c r="G866" t="s">
        <v>15</v>
      </c>
      <c r="H866" t="s">
        <v>13</v>
      </c>
      <c r="I866" t="s">
        <v>77</v>
      </c>
      <c r="J866" t="s">
        <v>72</v>
      </c>
      <c r="K866">
        <v>30</v>
      </c>
      <c r="L866" t="s">
        <v>12</v>
      </c>
    </row>
    <row r="867" spans="1:12">
      <c r="A867">
        <v>54247</v>
      </c>
      <c r="B867" t="s">
        <v>22</v>
      </c>
      <c r="C867" t="s">
        <v>21</v>
      </c>
      <c r="D867" s="1">
        <v>40313</v>
      </c>
      <c r="E867">
        <v>1</v>
      </c>
      <c r="F867" t="s">
        <v>10</v>
      </c>
      <c r="G867" t="s">
        <v>16</v>
      </c>
      <c r="H867" t="s">
        <v>12</v>
      </c>
      <c r="I867" t="s">
        <v>80</v>
      </c>
      <c r="J867" t="s">
        <v>65</v>
      </c>
      <c r="K867">
        <v>36</v>
      </c>
      <c r="L867" t="s">
        <v>12</v>
      </c>
    </row>
    <row r="868" spans="1:12">
      <c r="A868">
        <v>26748</v>
      </c>
      <c r="B868" t="s">
        <v>21</v>
      </c>
      <c r="C868" t="s">
        <v>20</v>
      </c>
      <c r="D868" s="1">
        <v>39149</v>
      </c>
      <c r="E868">
        <v>3</v>
      </c>
      <c r="F868" t="s">
        <v>17</v>
      </c>
      <c r="G868" t="s">
        <v>11</v>
      </c>
      <c r="H868" t="s">
        <v>12</v>
      </c>
      <c r="I868" t="s">
        <v>78</v>
      </c>
      <c r="J868" t="s">
        <v>65</v>
      </c>
      <c r="K868">
        <v>62</v>
      </c>
      <c r="L868" t="s">
        <v>13</v>
      </c>
    </row>
    <row r="869" spans="1:12">
      <c r="A869">
        <v>14621</v>
      </c>
      <c r="B869" t="s">
        <v>22</v>
      </c>
      <c r="C869" t="s">
        <v>20</v>
      </c>
      <c r="D869" s="1">
        <v>73521</v>
      </c>
      <c r="E869">
        <v>1</v>
      </c>
      <c r="F869" t="s">
        <v>14</v>
      </c>
      <c r="G869" t="s">
        <v>18</v>
      </c>
      <c r="H869" t="s">
        <v>12</v>
      </c>
      <c r="I869" t="s">
        <v>80</v>
      </c>
      <c r="J869" t="s">
        <v>61</v>
      </c>
      <c r="K869">
        <v>27</v>
      </c>
      <c r="L869" t="s">
        <v>12</v>
      </c>
    </row>
    <row r="870" spans="1:12">
      <c r="A870">
        <v>25034</v>
      </c>
      <c r="B870" t="s">
        <v>22</v>
      </c>
      <c r="C870" t="s">
        <v>20</v>
      </c>
      <c r="D870" s="1">
        <v>65740</v>
      </c>
      <c r="E870">
        <v>1</v>
      </c>
      <c r="F870" t="s">
        <v>14</v>
      </c>
      <c r="G870" t="s">
        <v>18</v>
      </c>
      <c r="H870" t="s">
        <v>13</v>
      </c>
      <c r="I870" t="s">
        <v>81</v>
      </c>
      <c r="J870" t="s">
        <v>66</v>
      </c>
      <c r="K870">
        <v>41</v>
      </c>
      <c r="L870" t="s">
        <v>12</v>
      </c>
    </row>
    <row r="871" spans="1:12">
      <c r="A871">
        <v>15126</v>
      </c>
      <c r="B871" t="s">
        <v>21</v>
      </c>
      <c r="C871" t="s">
        <v>20</v>
      </c>
      <c r="D871" s="1">
        <v>24956</v>
      </c>
      <c r="E871">
        <v>2</v>
      </c>
      <c r="F871" t="s">
        <v>17</v>
      </c>
      <c r="G871" t="s">
        <v>16</v>
      </c>
      <c r="H871" t="s">
        <v>13</v>
      </c>
      <c r="I871" t="s">
        <v>77</v>
      </c>
      <c r="J871" t="s">
        <v>60</v>
      </c>
      <c r="K871">
        <v>23</v>
      </c>
      <c r="L871" t="s">
        <v>12</v>
      </c>
    </row>
    <row r="872" spans="1:12">
      <c r="A872">
        <v>15122</v>
      </c>
      <c r="B872" t="s">
        <v>21</v>
      </c>
      <c r="C872" t="s">
        <v>20</v>
      </c>
      <c r="D872" s="1">
        <v>95731</v>
      </c>
      <c r="E872">
        <v>3</v>
      </c>
      <c r="F872" t="s">
        <v>19</v>
      </c>
      <c r="G872" t="s">
        <v>15</v>
      </c>
      <c r="H872" t="s">
        <v>12</v>
      </c>
      <c r="I872" t="s">
        <v>79</v>
      </c>
      <c r="J872" t="s">
        <v>60</v>
      </c>
      <c r="K872">
        <v>30</v>
      </c>
      <c r="L872" t="s">
        <v>13</v>
      </c>
    </row>
    <row r="873" spans="1:12">
      <c r="A873">
        <v>28030</v>
      </c>
      <c r="B873" t="s">
        <v>21</v>
      </c>
      <c r="C873" t="s">
        <v>21</v>
      </c>
      <c r="D873" s="1">
        <v>102612</v>
      </c>
      <c r="E873">
        <v>1</v>
      </c>
      <c r="F873" t="s">
        <v>14</v>
      </c>
      <c r="G873" t="s">
        <v>15</v>
      </c>
      <c r="H873" t="s">
        <v>12</v>
      </c>
      <c r="I873" t="s">
        <v>77</v>
      </c>
      <c r="J873" t="s">
        <v>71</v>
      </c>
      <c r="K873">
        <v>27</v>
      </c>
      <c r="L873" t="s">
        <v>13</v>
      </c>
    </row>
    <row r="874" spans="1:12">
      <c r="A874">
        <v>92838</v>
      </c>
      <c r="B874" t="s">
        <v>21</v>
      </c>
      <c r="C874" t="s">
        <v>20</v>
      </c>
      <c r="D874" s="1">
        <v>86641</v>
      </c>
      <c r="E874">
        <v>5</v>
      </c>
      <c r="F874" t="s">
        <v>19</v>
      </c>
      <c r="G874" t="s">
        <v>11</v>
      </c>
      <c r="H874" t="s">
        <v>13</v>
      </c>
      <c r="I874" t="s">
        <v>81</v>
      </c>
      <c r="J874" t="s">
        <v>71</v>
      </c>
      <c r="K874">
        <v>28</v>
      </c>
      <c r="L874" t="s">
        <v>13</v>
      </c>
    </row>
    <row r="875" spans="1:12">
      <c r="A875">
        <v>94717</v>
      </c>
      <c r="B875" t="s">
        <v>21</v>
      </c>
      <c r="C875" t="s">
        <v>20</v>
      </c>
      <c r="D875" s="1">
        <v>83811</v>
      </c>
      <c r="E875">
        <v>1</v>
      </c>
      <c r="F875" t="s">
        <v>14</v>
      </c>
      <c r="G875" t="s">
        <v>15</v>
      </c>
      <c r="H875" t="s">
        <v>12</v>
      </c>
      <c r="I875" t="s">
        <v>81</v>
      </c>
      <c r="J875" t="s">
        <v>69</v>
      </c>
      <c r="K875">
        <v>45</v>
      </c>
      <c r="L875" t="s">
        <v>13</v>
      </c>
    </row>
    <row r="876" spans="1:12">
      <c r="A876">
        <v>65658</v>
      </c>
      <c r="B876" t="s">
        <v>21</v>
      </c>
      <c r="C876" t="s">
        <v>21</v>
      </c>
      <c r="D876" s="1">
        <v>72160</v>
      </c>
      <c r="E876">
        <v>3</v>
      </c>
      <c r="F876" t="s">
        <v>14</v>
      </c>
      <c r="G876" t="s">
        <v>15</v>
      </c>
      <c r="H876" t="s">
        <v>13</v>
      </c>
      <c r="I876" t="s">
        <v>81</v>
      </c>
      <c r="J876" t="s">
        <v>63</v>
      </c>
      <c r="K876">
        <v>21</v>
      </c>
      <c r="L876" t="s">
        <v>13</v>
      </c>
    </row>
    <row r="877" spans="1:12">
      <c r="A877">
        <v>48638</v>
      </c>
      <c r="B877" t="s">
        <v>22</v>
      </c>
      <c r="C877" t="s">
        <v>21</v>
      </c>
      <c r="D877" s="1">
        <v>71313</v>
      </c>
      <c r="E877">
        <v>4</v>
      </c>
      <c r="F877" t="s">
        <v>19</v>
      </c>
      <c r="G877" t="s">
        <v>11</v>
      </c>
      <c r="H877" t="s">
        <v>13</v>
      </c>
      <c r="I877" t="s">
        <v>81</v>
      </c>
      <c r="J877" t="s">
        <v>74</v>
      </c>
      <c r="K877">
        <v>35</v>
      </c>
      <c r="L877" t="s">
        <v>13</v>
      </c>
    </row>
    <row r="878" spans="1:12">
      <c r="A878">
        <v>77067</v>
      </c>
      <c r="B878" t="s">
        <v>21</v>
      </c>
      <c r="C878" t="s">
        <v>20</v>
      </c>
      <c r="D878" s="1">
        <v>83232</v>
      </c>
      <c r="E878">
        <v>3</v>
      </c>
      <c r="F878" t="s">
        <v>14</v>
      </c>
      <c r="G878" t="s">
        <v>16</v>
      </c>
      <c r="H878" t="s">
        <v>13</v>
      </c>
      <c r="I878" t="s">
        <v>78</v>
      </c>
      <c r="J878" t="s">
        <v>64</v>
      </c>
      <c r="K878">
        <v>50</v>
      </c>
      <c r="L878" t="s">
        <v>13</v>
      </c>
    </row>
    <row r="879" spans="1:12">
      <c r="A879">
        <v>98869</v>
      </c>
      <c r="B879" t="s">
        <v>21</v>
      </c>
      <c r="C879" t="s">
        <v>21</v>
      </c>
      <c r="D879" s="1">
        <v>35417</v>
      </c>
      <c r="E879">
        <v>2</v>
      </c>
      <c r="F879" t="s">
        <v>19</v>
      </c>
      <c r="G879" t="s">
        <v>18</v>
      </c>
      <c r="H879" t="s">
        <v>13</v>
      </c>
      <c r="I879" t="s">
        <v>79</v>
      </c>
      <c r="J879" t="s">
        <v>66</v>
      </c>
      <c r="K879">
        <v>25</v>
      </c>
      <c r="L879" t="s">
        <v>12</v>
      </c>
    </row>
    <row r="880" spans="1:12">
      <c r="A880">
        <v>44674</v>
      </c>
      <c r="B880" t="s">
        <v>22</v>
      </c>
      <c r="C880" t="s">
        <v>21</v>
      </c>
      <c r="D880" s="1">
        <v>44729</v>
      </c>
      <c r="E880">
        <v>4</v>
      </c>
      <c r="F880" t="s">
        <v>17</v>
      </c>
      <c r="G880" t="s">
        <v>11</v>
      </c>
      <c r="H880" t="s">
        <v>13</v>
      </c>
      <c r="I880" t="s">
        <v>81</v>
      </c>
      <c r="J880" t="s">
        <v>62</v>
      </c>
      <c r="K880">
        <v>40</v>
      </c>
      <c r="L880" t="s">
        <v>13</v>
      </c>
    </row>
    <row r="881" spans="1:12">
      <c r="A881">
        <v>45854</v>
      </c>
      <c r="B881" t="s">
        <v>21</v>
      </c>
      <c r="C881" t="s">
        <v>20</v>
      </c>
      <c r="D881" s="1">
        <v>50099</v>
      </c>
      <c r="E881">
        <v>5</v>
      </c>
      <c r="F881" t="s">
        <v>19</v>
      </c>
      <c r="G881" t="s">
        <v>16</v>
      </c>
      <c r="H881" t="s">
        <v>13</v>
      </c>
      <c r="I881" t="s">
        <v>81</v>
      </c>
      <c r="J881" t="s">
        <v>74</v>
      </c>
      <c r="K881">
        <v>45</v>
      </c>
      <c r="L881" t="s">
        <v>13</v>
      </c>
    </row>
    <row r="882" spans="1:12">
      <c r="A882">
        <v>56271</v>
      </c>
      <c r="B882" t="s">
        <v>22</v>
      </c>
      <c r="C882" t="s">
        <v>21</v>
      </c>
      <c r="D882" s="1">
        <v>118134</v>
      </c>
      <c r="E882">
        <v>0</v>
      </c>
      <c r="F882" t="s">
        <v>17</v>
      </c>
      <c r="G882" t="s">
        <v>11</v>
      </c>
      <c r="H882" t="s">
        <v>12</v>
      </c>
      <c r="I882" t="s">
        <v>80</v>
      </c>
      <c r="J882" t="s">
        <v>69</v>
      </c>
      <c r="K882">
        <v>38</v>
      </c>
      <c r="L882" t="s">
        <v>13</v>
      </c>
    </row>
    <row r="883" spans="1:12">
      <c r="A883">
        <v>83688</v>
      </c>
      <c r="B883" t="s">
        <v>22</v>
      </c>
      <c r="C883" t="s">
        <v>21</v>
      </c>
      <c r="D883" s="1">
        <v>49961</v>
      </c>
      <c r="E883">
        <v>3</v>
      </c>
      <c r="F883" t="s">
        <v>14</v>
      </c>
      <c r="G883" t="s">
        <v>16</v>
      </c>
      <c r="H883" t="s">
        <v>13</v>
      </c>
      <c r="I883" t="s">
        <v>79</v>
      </c>
      <c r="J883" t="s">
        <v>71</v>
      </c>
      <c r="K883">
        <v>47</v>
      </c>
      <c r="L883" t="s">
        <v>13</v>
      </c>
    </row>
    <row r="884" spans="1:12">
      <c r="A884">
        <v>48518</v>
      </c>
      <c r="B884" t="s">
        <v>22</v>
      </c>
      <c r="C884" t="s">
        <v>20</v>
      </c>
      <c r="D884" s="1">
        <v>32602</v>
      </c>
      <c r="E884">
        <v>2</v>
      </c>
      <c r="F884" t="s">
        <v>19</v>
      </c>
      <c r="G884" t="s">
        <v>11</v>
      </c>
      <c r="H884" t="s">
        <v>13</v>
      </c>
      <c r="I884" t="s">
        <v>77</v>
      </c>
      <c r="J884" t="s">
        <v>64</v>
      </c>
      <c r="K884">
        <v>27</v>
      </c>
      <c r="L884" t="s">
        <v>13</v>
      </c>
    </row>
    <row r="885" spans="1:12">
      <c r="A885">
        <v>20267</v>
      </c>
      <c r="B885" t="s">
        <v>21</v>
      </c>
      <c r="C885" t="s">
        <v>20</v>
      </c>
      <c r="D885" s="1">
        <v>29256</v>
      </c>
      <c r="E885">
        <v>5</v>
      </c>
      <c r="F885" t="s">
        <v>14</v>
      </c>
      <c r="G885" t="s">
        <v>16</v>
      </c>
      <c r="H885" t="s">
        <v>12</v>
      </c>
      <c r="I885" t="s">
        <v>79</v>
      </c>
      <c r="J885" t="s">
        <v>69</v>
      </c>
      <c r="K885">
        <v>33</v>
      </c>
      <c r="L885" t="s">
        <v>13</v>
      </c>
    </row>
    <row r="886" spans="1:12">
      <c r="A886">
        <v>60448</v>
      </c>
      <c r="B886" t="s">
        <v>21</v>
      </c>
      <c r="C886" t="s">
        <v>21</v>
      </c>
      <c r="D886" s="1">
        <v>54681</v>
      </c>
      <c r="E886">
        <v>5</v>
      </c>
      <c r="F886" t="s">
        <v>17</v>
      </c>
      <c r="G886" t="s">
        <v>16</v>
      </c>
      <c r="H886" t="s">
        <v>12</v>
      </c>
      <c r="I886" t="s">
        <v>79</v>
      </c>
      <c r="J886" t="s">
        <v>69</v>
      </c>
      <c r="K886">
        <v>67</v>
      </c>
      <c r="L886" t="s">
        <v>12</v>
      </c>
    </row>
    <row r="887" spans="1:12">
      <c r="A887">
        <v>16229</v>
      </c>
      <c r="B887" t="s">
        <v>22</v>
      </c>
      <c r="C887" t="s">
        <v>20</v>
      </c>
      <c r="D887" s="1">
        <v>111328</v>
      </c>
      <c r="E887">
        <v>3</v>
      </c>
      <c r="F887" t="s">
        <v>17</v>
      </c>
      <c r="G887" t="s">
        <v>11</v>
      </c>
      <c r="H887" t="s">
        <v>13</v>
      </c>
      <c r="I887" t="s">
        <v>81</v>
      </c>
      <c r="J887" t="s">
        <v>62</v>
      </c>
      <c r="K887">
        <v>63</v>
      </c>
      <c r="L887" t="s">
        <v>12</v>
      </c>
    </row>
    <row r="888" spans="1:12">
      <c r="A888">
        <v>66793</v>
      </c>
      <c r="B888" t="s">
        <v>21</v>
      </c>
      <c r="C888" t="s">
        <v>21</v>
      </c>
      <c r="D888" s="1">
        <v>107440</v>
      </c>
      <c r="E888">
        <v>1</v>
      </c>
      <c r="F888" t="s">
        <v>19</v>
      </c>
      <c r="G888" t="s">
        <v>18</v>
      </c>
      <c r="H888" t="s">
        <v>12</v>
      </c>
      <c r="I888" t="s">
        <v>81</v>
      </c>
      <c r="J888" t="s">
        <v>74</v>
      </c>
      <c r="K888">
        <v>56</v>
      </c>
      <c r="L888" t="s">
        <v>13</v>
      </c>
    </row>
    <row r="889" spans="1:12">
      <c r="A889">
        <v>57915</v>
      </c>
      <c r="B889" t="s">
        <v>21</v>
      </c>
      <c r="C889" t="s">
        <v>21</v>
      </c>
      <c r="D889" s="1">
        <v>84789</v>
      </c>
      <c r="E889">
        <v>3</v>
      </c>
      <c r="F889" t="s">
        <v>17</v>
      </c>
      <c r="G889" t="s">
        <v>18</v>
      </c>
      <c r="H889" t="s">
        <v>12</v>
      </c>
      <c r="I889" t="s">
        <v>78</v>
      </c>
      <c r="J889" t="s">
        <v>59</v>
      </c>
      <c r="K889">
        <v>45</v>
      </c>
      <c r="L889" t="s">
        <v>13</v>
      </c>
    </row>
    <row r="890" spans="1:12">
      <c r="A890">
        <v>14632</v>
      </c>
      <c r="B890" t="s">
        <v>22</v>
      </c>
      <c r="C890" t="s">
        <v>21</v>
      </c>
      <c r="D890" s="1">
        <v>63361</v>
      </c>
      <c r="E890">
        <v>0</v>
      </c>
      <c r="F890" t="s">
        <v>14</v>
      </c>
      <c r="G890" t="s">
        <v>15</v>
      </c>
      <c r="H890" t="s">
        <v>13</v>
      </c>
      <c r="I890" t="s">
        <v>77</v>
      </c>
      <c r="J890" t="s">
        <v>70</v>
      </c>
      <c r="K890">
        <v>50</v>
      </c>
      <c r="L890" t="s">
        <v>13</v>
      </c>
    </row>
    <row r="891" spans="1:12">
      <c r="A891">
        <v>13596</v>
      </c>
      <c r="B891" t="s">
        <v>21</v>
      </c>
      <c r="C891" t="s">
        <v>20</v>
      </c>
      <c r="D891" s="1">
        <v>84503</v>
      </c>
      <c r="E891">
        <v>3</v>
      </c>
      <c r="F891" t="s">
        <v>14</v>
      </c>
      <c r="G891" t="s">
        <v>16</v>
      </c>
      <c r="H891" t="s">
        <v>13</v>
      </c>
      <c r="I891" t="s">
        <v>80</v>
      </c>
      <c r="J891" t="s">
        <v>60</v>
      </c>
      <c r="K891">
        <v>51</v>
      </c>
      <c r="L891" t="s">
        <v>13</v>
      </c>
    </row>
    <row r="892" spans="1:12">
      <c r="A892">
        <v>16168</v>
      </c>
      <c r="B892" t="s">
        <v>21</v>
      </c>
      <c r="C892" t="s">
        <v>21</v>
      </c>
      <c r="D892" s="1">
        <v>54540</v>
      </c>
      <c r="E892">
        <v>4</v>
      </c>
      <c r="F892" t="s">
        <v>10</v>
      </c>
      <c r="G892" t="s">
        <v>11</v>
      </c>
      <c r="H892" t="s">
        <v>13</v>
      </c>
      <c r="I892" t="s">
        <v>79</v>
      </c>
      <c r="J892" t="s">
        <v>71</v>
      </c>
      <c r="K892">
        <v>69</v>
      </c>
      <c r="L892" t="s">
        <v>13</v>
      </c>
    </row>
    <row r="893" spans="1:12">
      <c r="A893">
        <v>17561</v>
      </c>
      <c r="B893" t="s">
        <v>21</v>
      </c>
      <c r="C893" t="s">
        <v>21</v>
      </c>
      <c r="D893" s="1">
        <v>46536</v>
      </c>
      <c r="E893">
        <v>4</v>
      </c>
      <c r="F893" t="s">
        <v>17</v>
      </c>
      <c r="G893" t="s">
        <v>16</v>
      </c>
      <c r="H893" t="s">
        <v>13</v>
      </c>
      <c r="I893" t="s">
        <v>77</v>
      </c>
      <c r="J893" t="s">
        <v>63</v>
      </c>
      <c r="K893">
        <v>60</v>
      </c>
      <c r="L893" t="s">
        <v>13</v>
      </c>
    </row>
    <row r="894" spans="1:12">
      <c r="A894">
        <v>83794</v>
      </c>
      <c r="B894" t="s">
        <v>22</v>
      </c>
      <c r="C894" t="s">
        <v>20</v>
      </c>
      <c r="D894" s="1">
        <v>104700</v>
      </c>
      <c r="E894">
        <v>3</v>
      </c>
      <c r="F894" t="s">
        <v>14</v>
      </c>
      <c r="G894" t="s">
        <v>18</v>
      </c>
      <c r="H894" t="s">
        <v>12</v>
      </c>
      <c r="I894" t="s">
        <v>77</v>
      </c>
      <c r="J894" t="s">
        <v>71</v>
      </c>
      <c r="K894">
        <v>21</v>
      </c>
      <c r="L894" t="s">
        <v>13</v>
      </c>
    </row>
    <row r="895" spans="1:12">
      <c r="A895">
        <v>92152</v>
      </c>
      <c r="B895" t="s">
        <v>21</v>
      </c>
      <c r="C895" t="s">
        <v>21</v>
      </c>
      <c r="D895" s="1">
        <v>83043</v>
      </c>
      <c r="E895">
        <v>4</v>
      </c>
      <c r="F895" t="s">
        <v>19</v>
      </c>
      <c r="G895" t="s">
        <v>16</v>
      </c>
      <c r="H895" t="s">
        <v>12</v>
      </c>
      <c r="I895" t="s">
        <v>78</v>
      </c>
      <c r="J895" t="s">
        <v>71</v>
      </c>
      <c r="K895">
        <v>44</v>
      </c>
      <c r="L895" t="s">
        <v>13</v>
      </c>
    </row>
    <row r="896" spans="1:12">
      <c r="A896">
        <v>36734</v>
      </c>
      <c r="B896" t="s">
        <v>22</v>
      </c>
      <c r="C896" t="s">
        <v>21</v>
      </c>
      <c r="D896" s="1">
        <v>98532</v>
      </c>
      <c r="E896">
        <v>1</v>
      </c>
      <c r="F896" t="s">
        <v>17</v>
      </c>
      <c r="G896" t="s">
        <v>11</v>
      </c>
      <c r="H896" t="s">
        <v>12</v>
      </c>
      <c r="I896" t="s">
        <v>80</v>
      </c>
      <c r="J896" t="s">
        <v>69</v>
      </c>
      <c r="K896">
        <v>63</v>
      </c>
      <c r="L896" t="s">
        <v>13</v>
      </c>
    </row>
    <row r="897" spans="1:12">
      <c r="A897">
        <v>16371</v>
      </c>
      <c r="B897" t="s">
        <v>22</v>
      </c>
      <c r="C897" t="s">
        <v>20</v>
      </c>
      <c r="D897" s="1">
        <v>76575</v>
      </c>
      <c r="E897">
        <v>5</v>
      </c>
      <c r="F897" t="s">
        <v>14</v>
      </c>
      <c r="G897" t="s">
        <v>16</v>
      </c>
      <c r="H897" t="s">
        <v>13</v>
      </c>
      <c r="I897" t="s">
        <v>79</v>
      </c>
      <c r="J897" t="s">
        <v>73</v>
      </c>
      <c r="K897">
        <v>21</v>
      </c>
      <c r="L897" t="s">
        <v>12</v>
      </c>
    </row>
    <row r="898" spans="1:12">
      <c r="A898">
        <v>36069</v>
      </c>
      <c r="B898" t="s">
        <v>21</v>
      </c>
      <c r="C898" t="s">
        <v>20</v>
      </c>
      <c r="D898" s="1">
        <v>22871</v>
      </c>
      <c r="E898">
        <v>3</v>
      </c>
      <c r="F898" t="s">
        <v>17</v>
      </c>
      <c r="G898" t="s">
        <v>11</v>
      </c>
      <c r="H898" t="s">
        <v>12</v>
      </c>
      <c r="I898" t="s">
        <v>80</v>
      </c>
      <c r="J898" t="s">
        <v>67</v>
      </c>
      <c r="K898">
        <v>61</v>
      </c>
      <c r="L898" t="s">
        <v>13</v>
      </c>
    </row>
    <row r="899" spans="1:12">
      <c r="A899">
        <v>89905</v>
      </c>
      <c r="B899" t="s">
        <v>22</v>
      </c>
      <c r="C899" t="s">
        <v>20</v>
      </c>
      <c r="D899" s="1">
        <v>66002</v>
      </c>
      <c r="E899">
        <v>1</v>
      </c>
      <c r="F899" t="s">
        <v>19</v>
      </c>
      <c r="G899" t="s">
        <v>18</v>
      </c>
      <c r="H899" t="s">
        <v>13</v>
      </c>
      <c r="I899" t="s">
        <v>78</v>
      </c>
      <c r="J899" t="s">
        <v>69</v>
      </c>
      <c r="K899">
        <v>20</v>
      </c>
      <c r="L899" t="s">
        <v>12</v>
      </c>
    </row>
    <row r="900" spans="1:12">
      <c r="A900">
        <v>22910</v>
      </c>
      <c r="B900" t="s">
        <v>21</v>
      </c>
      <c r="C900" t="s">
        <v>20</v>
      </c>
      <c r="D900" s="1">
        <v>69812</v>
      </c>
      <c r="E900">
        <v>5</v>
      </c>
      <c r="F900" t="s">
        <v>14</v>
      </c>
      <c r="G900" t="s">
        <v>18</v>
      </c>
      <c r="H900" t="s">
        <v>13</v>
      </c>
      <c r="I900" t="s">
        <v>81</v>
      </c>
      <c r="J900" t="s">
        <v>63</v>
      </c>
      <c r="K900">
        <v>55</v>
      </c>
      <c r="L900" t="s">
        <v>12</v>
      </c>
    </row>
    <row r="901" spans="1:12">
      <c r="A901">
        <v>83479</v>
      </c>
      <c r="B901" t="s">
        <v>21</v>
      </c>
      <c r="C901" t="s">
        <v>21</v>
      </c>
      <c r="D901" s="1">
        <v>42626</v>
      </c>
      <c r="E901">
        <v>5</v>
      </c>
      <c r="F901" t="s">
        <v>10</v>
      </c>
      <c r="G901" t="s">
        <v>18</v>
      </c>
      <c r="H901" t="s">
        <v>12</v>
      </c>
      <c r="I901" t="s">
        <v>77</v>
      </c>
      <c r="J901" t="s">
        <v>63</v>
      </c>
      <c r="K901">
        <v>31</v>
      </c>
      <c r="L901" t="s">
        <v>13</v>
      </c>
    </row>
    <row r="902" spans="1:12">
      <c r="A902">
        <v>87735</v>
      </c>
      <c r="B902" t="s">
        <v>22</v>
      </c>
      <c r="C902" t="s">
        <v>21</v>
      </c>
      <c r="D902" s="1">
        <v>79979</v>
      </c>
      <c r="E902">
        <v>1</v>
      </c>
      <c r="F902" t="s">
        <v>10</v>
      </c>
      <c r="G902" t="s">
        <v>15</v>
      </c>
      <c r="H902" t="s">
        <v>13</v>
      </c>
      <c r="I902" t="s">
        <v>79</v>
      </c>
      <c r="J902" t="s">
        <v>62</v>
      </c>
      <c r="K902">
        <v>28</v>
      </c>
      <c r="L902" t="s">
        <v>13</v>
      </c>
    </row>
    <row r="903" spans="1:12">
      <c r="A903">
        <v>91264</v>
      </c>
      <c r="B903" t="s">
        <v>22</v>
      </c>
      <c r="C903" t="s">
        <v>20</v>
      </c>
      <c r="D903" s="1">
        <v>96057</v>
      </c>
      <c r="E903">
        <v>2</v>
      </c>
      <c r="F903" t="s">
        <v>17</v>
      </c>
      <c r="G903" t="s">
        <v>18</v>
      </c>
      <c r="H903" t="s">
        <v>12</v>
      </c>
      <c r="I903" t="s">
        <v>81</v>
      </c>
      <c r="J903" t="s">
        <v>73</v>
      </c>
      <c r="K903">
        <v>55</v>
      </c>
      <c r="L903" t="s">
        <v>13</v>
      </c>
    </row>
    <row r="904" spans="1:12">
      <c r="A904">
        <v>33275</v>
      </c>
      <c r="B904" t="s">
        <v>22</v>
      </c>
      <c r="C904" t="s">
        <v>20</v>
      </c>
      <c r="D904" s="1">
        <v>86668</v>
      </c>
      <c r="E904">
        <v>3</v>
      </c>
      <c r="F904" t="s">
        <v>19</v>
      </c>
      <c r="G904" t="s">
        <v>16</v>
      </c>
      <c r="H904" t="s">
        <v>13</v>
      </c>
      <c r="I904" t="s">
        <v>78</v>
      </c>
      <c r="J904" t="s">
        <v>68</v>
      </c>
      <c r="K904">
        <v>60</v>
      </c>
      <c r="L904" t="s">
        <v>12</v>
      </c>
    </row>
    <row r="905" spans="1:12">
      <c r="A905">
        <v>82274</v>
      </c>
      <c r="B905" t="s">
        <v>21</v>
      </c>
      <c r="C905" t="s">
        <v>21</v>
      </c>
      <c r="D905" s="1">
        <v>119003</v>
      </c>
      <c r="E905">
        <v>5</v>
      </c>
      <c r="F905" t="s">
        <v>14</v>
      </c>
      <c r="G905" t="s">
        <v>15</v>
      </c>
      <c r="H905" t="s">
        <v>12</v>
      </c>
      <c r="I905" t="s">
        <v>80</v>
      </c>
      <c r="J905" t="s">
        <v>74</v>
      </c>
      <c r="K905">
        <v>47</v>
      </c>
      <c r="L905" t="s">
        <v>13</v>
      </c>
    </row>
    <row r="906" spans="1:12">
      <c r="A906">
        <v>91449</v>
      </c>
      <c r="B906" t="s">
        <v>21</v>
      </c>
      <c r="C906" t="s">
        <v>20</v>
      </c>
      <c r="D906" s="1">
        <v>100070</v>
      </c>
      <c r="E906">
        <v>5</v>
      </c>
      <c r="F906" t="s">
        <v>19</v>
      </c>
      <c r="G906" t="s">
        <v>18</v>
      </c>
      <c r="H906" t="s">
        <v>13</v>
      </c>
      <c r="I906" t="s">
        <v>77</v>
      </c>
      <c r="J906" t="s">
        <v>63</v>
      </c>
      <c r="K906">
        <v>57</v>
      </c>
      <c r="L906" t="s">
        <v>12</v>
      </c>
    </row>
    <row r="907" spans="1:12">
      <c r="A907">
        <v>70004</v>
      </c>
      <c r="B907" t="s">
        <v>21</v>
      </c>
      <c r="C907" t="s">
        <v>21</v>
      </c>
      <c r="D907" s="1">
        <v>109390</v>
      </c>
      <c r="E907">
        <v>4</v>
      </c>
      <c r="F907" t="s">
        <v>14</v>
      </c>
      <c r="G907" t="s">
        <v>16</v>
      </c>
      <c r="H907" t="s">
        <v>12</v>
      </c>
      <c r="I907" t="s">
        <v>79</v>
      </c>
      <c r="J907" t="s">
        <v>59</v>
      </c>
      <c r="K907">
        <v>52</v>
      </c>
      <c r="L907" t="s">
        <v>12</v>
      </c>
    </row>
    <row r="908" spans="1:12">
      <c r="A908">
        <v>72981</v>
      </c>
      <c r="B908" t="s">
        <v>21</v>
      </c>
      <c r="C908" t="s">
        <v>20</v>
      </c>
      <c r="D908" s="1">
        <v>62998</v>
      </c>
      <c r="E908">
        <v>5</v>
      </c>
      <c r="F908" t="s">
        <v>17</v>
      </c>
      <c r="G908" t="s">
        <v>16</v>
      </c>
      <c r="H908" t="s">
        <v>12</v>
      </c>
      <c r="I908" t="s">
        <v>81</v>
      </c>
      <c r="J908" t="s">
        <v>74</v>
      </c>
      <c r="K908">
        <v>61</v>
      </c>
      <c r="L908" t="s">
        <v>12</v>
      </c>
    </row>
    <row r="909" spans="1:12">
      <c r="A909">
        <v>94659</v>
      </c>
      <c r="B909" t="s">
        <v>21</v>
      </c>
      <c r="C909" t="s">
        <v>21</v>
      </c>
      <c r="D909" s="1">
        <v>83814</v>
      </c>
      <c r="E909">
        <v>1</v>
      </c>
      <c r="F909" t="s">
        <v>14</v>
      </c>
      <c r="G909" t="s">
        <v>16</v>
      </c>
      <c r="H909" t="s">
        <v>13</v>
      </c>
      <c r="I909" t="s">
        <v>81</v>
      </c>
      <c r="J909" t="s">
        <v>70</v>
      </c>
      <c r="K909">
        <v>65</v>
      </c>
      <c r="L909" t="s">
        <v>12</v>
      </c>
    </row>
    <row r="910" spans="1:12">
      <c r="A910">
        <v>64553</v>
      </c>
      <c r="B910" t="s">
        <v>21</v>
      </c>
      <c r="C910" t="s">
        <v>20</v>
      </c>
      <c r="D910" s="1">
        <v>65607</v>
      </c>
      <c r="E910">
        <v>5</v>
      </c>
      <c r="F910" t="s">
        <v>19</v>
      </c>
      <c r="G910" t="s">
        <v>11</v>
      </c>
      <c r="H910" t="s">
        <v>13</v>
      </c>
      <c r="I910" t="s">
        <v>77</v>
      </c>
      <c r="J910" t="s">
        <v>63</v>
      </c>
      <c r="K910">
        <v>41</v>
      </c>
      <c r="L910" t="s">
        <v>12</v>
      </c>
    </row>
    <row r="911" spans="1:12">
      <c r="A911">
        <v>58447</v>
      </c>
      <c r="B911" t="s">
        <v>21</v>
      </c>
      <c r="C911" t="s">
        <v>20</v>
      </c>
      <c r="D911" s="1">
        <v>27812</v>
      </c>
      <c r="E911">
        <v>2</v>
      </c>
      <c r="F911" t="s">
        <v>19</v>
      </c>
      <c r="G911" t="s">
        <v>15</v>
      </c>
      <c r="H911" t="s">
        <v>12</v>
      </c>
      <c r="I911" t="s">
        <v>80</v>
      </c>
      <c r="J911" t="s">
        <v>70</v>
      </c>
      <c r="K911">
        <v>44</v>
      </c>
      <c r="L911" t="s">
        <v>12</v>
      </c>
    </row>
    <row r="912" spans="1:12">
      <c r="A912">
        <v>44529</v>
      </c>
      <c r="B912" t="s">
        <v>21</v>
      </c>
      <c r="C912" t="s">
        <v>21</v>
      </c>
      <c r="D912" s="1">
        <v>81844</v>
      </c>
      <c r="E912">
        <v>3</v>
      </c>
      <c r="F912" t="s">
        <v>17</v>
      </c>
      <c r="G912" t="s">
        <v>16</v>
      </c>
      <c r="H912" t="s">
        <v>13</v>
      </c>
      <c r="I912" t="s">
        <v>78</v>
      </c>
      <c r="J912" t="s">
        <v>59</v>
      </c>
      <c r="K912">
        <v>37</v>
      </c>
      <c r="L912" t="s">
        <v>12</v>
      </c>
    </row>
    <row r="913" spans="1:12">
      <c r="A913">
        <v>85703</v>
      </c>
      <c r="B913" t="s">
        <v>21</v>
      </c>
      <c r="C913" t="s">
        <v>20</v>
      </c>
      <c r="D913" s="1">
        <v>90093</v>
      </c>
      <c r="E913">
        <v>3</v>
      </c>
      <c r="F913" t="s">
        <v>19</v>
      </c>
      <c r="G913" t="s">
        <v>11</v>
      </c>
      <c r="H913" t="s">
        <v>13</v>
      </c>
      <c r="I913" t="s">
        <v>80</v>
      </c>
      <c r="J913" t="s">
        <v>66</v>
      </c>
      <c r="K913">
        <v>25</v>
      </c>
      <c r="L913" t="s">
        <v>13</v>
      </c>
    </row>
    <row r="914" spans="1:12">
      <c r="A914">
        <v>86090</v>
      </c>
      <c r="B914" t="s">
        <v>21</v>
      </c>
      <c r="C914" t="s">
        <v>21</v>
      </c>
      <c r="D914" s="1">
        <v>22179</v>
      </c>
      <c r="E914">
        <v>5</v>
      </c>
      <c r="F914" t="s">
        <v>14</v>
      </c>
      <c r="G914" t="s">
        <v>18</v>
      </c>
      <c r="H914" t="s">
        <v>13</v>
      </c>
      <c r="I914" t="s">
        <v>80</v>
      </c>
      <c r="J914" t="s">
        <v>63</v>
      </c>
      <c r="K914">
        <v>37</v>
      </c>
      <c r="L914" t="s">
        <v>12</v>
      </c>
    </row>
    <row r="915" spans="1:12">
      <c r="A915">
        <v>27260</v>
      </c>
      <c r="B915" t="s">
        <v>22</v>
      </c>
      <c r="C915" t="s">
        <v>21</v>
      </c>
      <c r="D915" s="1">
        <v>63798</v>
      </c>
      <c r="E915">
        <v>0</v>
      </c>
      <c r="F915" t="s">
        <v>17</v>
      </c>
      <c r="G915" t="s">
        <v>16</v>
      </c>
      <c r="H915" t="s">
        <v>12</v>
      </c>
      <c r="I915" t="s">
        <v>80</v>
      </c>
      <c r="J915" t="s">
        <v>72</v>
      </c>
      <c r="K915">
        <v>35</v>
      </c>
      <c r="L915" t="s">
        <v>13</v>
      </c>
    </row>
    <row r="916" spans="1:12">
      <c r="A916">
        <v>13812</v>
      </c>
      <c r="B916" t="s">
        <v>21</v>
      </c>
      <c r="C916" t="s">
        <v>21</v>
      </c>
      <c r="D916" s="1">
        <v>94601</v>
      </c>
      <c r="E916">
        <v>0</v>
      </c>
      <c r="F916" t="s">
        <v>14</v>
      </c>
      <c r="G916" t="s">
        <v>11</v>
      </c>
      <c r="H916" t="s">
        <v>12</v>
      </c>
      <c r="I916" t="s">
        <v>77</v>
      </c>
      <c r="J916" t="s">
        <v>66</v>
      </c>
      <c r="K916">
        <v>34</v>
      </c>
      <c r="L916" t="s">
        <v>13</v>
      </c>
    </row>
    <row r="917" spans="1:12">
      <c r="A917">
        <v>38024</v>
      </c>
      <c r="B917" t="s">
        <v>22</v>
      </c>
      <c r="C917" t="s">
        <v>21</v>
      </c>
      <c r="D917" s="1">
        <v>28275</v>
      </c>
      <c r="E917">
        <v>1</v>
      </c>
      <c r="F917" t="s">
        <v>19</v>
      </c>
      <c r="G917" t="s">
        <v>16</v>
      </c>
      <c r="H917" t="s">
        <v>13</v>
      </c>
      <c r="I917" t="s">
        <v>77</v>
      </c>
      <c r="J917" t="s">
        <v>74</v>
      </c>
      <c r="K917">
        <v>67</v>
      </c>
      <c r="L917" t="s">
        <v>13</v>
      </c>
    </row>
    <row r="918" spans="1:12">
      <c r="A918">
        <v>68656</v>
      </c>
      <c r="B918" t="s">
        <v>22</v>
      </c>
      <c r="C918" t="s">
        <v>21</v>
      </c>
      <c r="D918" s="1">
        <v>70574</v>
      </c>
      <c r="E918">
        <v>0</v>
      </c>
      <c r="F918" t="s">
        <v>17</v>
      </c>
      <c r="G918" t="s">
        <v>15</v>
      </c>
      <c r="H918" t="s">
        <v>13</v>
      </c>
      <c r="I918" t="s">
        <v>78</v>
      </c>
      <c r="J918" t="s">
        <v>67</v>
      </c>
      <c r="K918">
        <v>27</v>
      </c>
      <c r="L918" t="s">
        <v>13</v>
      </c>
    </row>
    <row r="919" spans="1:12">
      <c r="A919">
        <v>37285</v>
      </c>
      <c r="B919" t="s">
        <v>21</v>
      </c>
      <c r="C919" t="s">
        <v>20</v>
      </c>
      <c r="D919" s="1">
        <v>67857</v>
      </c>
      <c r="E919">
        <v>1</v>
      </c>
      <c r="F919" t="s">
        <v>14</v>
      </c>
      <c r="G919" t="s">
        <v>15</v>
      </c>
      <c r="H919" t="s">
        <v>12</v>
      </c>
      <c r="I919" t="s">
        <v>80</v>
      </c>
      <c r="J919" t="s">
        <v>64</v>
      </c>
      <c r="K919">
        <v>32</v>
      </c>
      <c r="L919" t="s">
        <v>13</v>
      </c>
    </row>
    <row r="920" spans="1:12">
      <c r="A920">
        <v>11605</v>
      </c>
      <c r="B920" t="s">
        <v>22</v>
      </c>
      <c r="C920" t="s">
        <v>20</v>
      </c>
      <c r="D920" s="1">
        <v>40700</v>
      </c>
      <c r="E920">
        <v>4</v>
      </c>
      <c r="F920" t="s">
        <v>19</v>
      </c>
      <c r="G920" t="s">
        <v>18</v>
      </c>
      <c r="H920" t="s">
        <v>13</v>
      </c>
      <c r="I920" t="s">
        <v>77</v>
      </c>
      <c r="J920" t="s">
        <v>62</v>
      </c>
      <c r="K920">
        <v>62</v>
      </c>
      <c r="L920" t="s">
        <v>13</v>
      </c>
    </row>
    <row r="921" spans="1:12">
      <c r="A921">
        <v>81158</v>
      </c>
      <c r="B921" t="s">
        <v>22</v>
      </c>
      <c r="C921" t="s">
        <v>21</v>
      </c>
      <c r="D921" s="1">
        <v>59464</v>
      </c>
      <c r="E921">
        <v>1</v>
      </c>
      <c r="F921" t="s">
        <v>19</v>
      </c>
      <c r="G921" t="s">
        <v>16</v>
      </c>
      <c r="H921" t="s">
        <v>12</v>
      </c>
      <c r="I921" t="s">
        <v>78</v>
      </c>
      <c r="J921" t="s">
        <v>59</v>
      </c>
      <c r="K921">
        <v>26</v>
      </c>
      <c r="L921" t="s">
        <v>12</v>
      </c>
    </row>
    <row r="922" spans="1:12">
      <c r="A922">
        <v>82303</v>
      </c>
      <c r="B922" t="s">
        <v>22</v>
      </c>
      <c r="C922" t="s">
        <v>20</v>
      </c>
      <c r="D922" s="1">
        <v>62351</v>
      </c>
      <c r="E922">
        <v>0</v>
      </c>
      <c r="F922" t="s">
        <v>10</v>
      </c>
      <c r="G922" t="s">
        <v>11</v>
      </c>
      <c r="H922" t="s">
        <v>13</v>
      </c>
      <c r="I922" t="s">
        <v>78</v>
      </c>
      <c r="J922" t="s">
        <v>69</v>
      </c>
      <c r="K922">
        <v>36</v>
      </c>
      <c r="L922" t="s">
        <v>13</v>
      </c>
    </row>
    <row r="923" spans="1:12">
      <c r="A923">
        <v>37139</v>
      </c>
      <c r="B923" t="s">
        <v>21</v>
      </c>
      <c r="C923" t="s">
        <v>21</v>
      </c>
      <c r="D923" s="1">
        <v>113330</v>
      </c>
      <c r="E923">
        <v>5</v>
      </c>
      <c r="F923" t="s">
        <v>19</v>
      </c>
      <c r="G923" t="s">
        <v>18</v>
      </c>
      <c r="H923" t="s">
        <v>13</v>
      </c>
      <c r="I923" t="s">
        <v>80</v>
      </c>
      <c r="J923" t="s">
        <v>66</v>
      </c>
      <c r="K923">
        <v>69</v>
      </c>
      <c r="L923" t="s">
        <v>13</v>
      </c>
    </row>
    <row r="924" spans="1:12">
      <c r="A924">
        <v>87149</v>
      </c>
      <c r="B924" t="s">
        <v>21</v>
      </c>
      <c r="C924" t="s">
        <v>20</v>
      </c>
      <c r="D924" s="1">
        <v>114319</v>
      </c>
      <c r="E924">
        <v>4</v>
      </c>
      <c r="F924" t="s">
        <v>14</v>
      </c>
      <c r="G924" t="s">
        <v>16</v>
      </c>
      <c r="H924" t="s">
        <v>13</v>
      </c>
      <c r="I924" t="s">
        <v>79</v>
      </c>
      <c r="J924" t="s">
        <v>70</v>
      </c>
      <c r="K924">
        <v>51</v>
      </c>
      <c r="L924" t="s">
        <v>12</v>
      </c>
    </row>
    <row r="925" spans="1:12">
      <c r="A925">
        <v>66138</v>
      </c>
      <c r="B925" t="s">
        <v>21</v>
      </c>
      <c r="C925" t="s">
        <v>20</v>
      </c>
      <c r="D925" s="1">
        <v>102534</v>
      </c>
      <c r="E925">
        <v>0</v>
      </c>
      <c r="F925" t="s">
        <v>17</v>
      </c>
      <c r="G925" t="s">
        <v>18</v>
      </c>
      <c r="H925" t="s">
        <v>12</v>
      </c>
      <c r="I925" t="s">
        <v>80</v>
      </c>
      <c r="J925" t="s">
        <v>61</v>
      </c>
      <c r="K925">
        <v>41</v>
      </c>
      <c r="L925" t="s">
        <v>12</v>
      </c>
    </row>
    <row r="926" spans="1:12">
      <c r="A926">
        <v>86125</v>
      </c>
      <c r="B926" t="s">
        <v>21</v>
      </c>
      <c r="C926" t="s">
        <v>20</v>
      </c>
      <c r="D926" s="1">
        <v>33869</v>
      </c>
      <c r="E926">
        <v>1</v>
      </c>
      <c r="F926" t="s">
        <v>10</v>
      </c>
      <c r="G926" t="s">
        <v>11</v>
      </c>
      <c r="H926" t="s">
        <v>12</v>
      </c>
      <c r="I926" t="s">
        <v>79</v>
      </c>
      <c r="J926" t="s">
        <v>60</v>
      </c>
      <c r="K926">
        <v>32</v>
      </c>
      <c r="L926" t="s">
        <v>12</v>
      </c>
    </row>
    <row r="927" spans="1:12">
      <c r="A927">
        <v>23918</v>
      </c>
      <c r="B927" t="s">
        <v>22</v>
      </c>
      <c r="C927" t="s">
        <v>20</v>
      </c>
      <c r="D927" s="1">
        <v>80315</v>
      </c>
      <c r="E927">
        <v>2</v>
      </c>
      <c r="F927" t="s">
        <v>19</v>
      </c>
      <c r="G927" t="s">
        <v>18</v>
      </c>
      <c r="H927" t="s">
        <v>12</v>
      </c>
      <c r="I927" t="s">
        <v>78</v>
      </c>
      <c r="J927" t="s">
        <v>73</v>
      </c>
      <c r="K927">
        <v>66</v>
      </c>
      <c r="L927" t="s">
        <v>13</v>
      </c>
    </row>
    <row r="928" spans="1:12">
      <c r="A928">
        <v>95655</v>
      </c>
      <c r="B928" t="s">
        <v>22</v>
      </c>
      <c r="C928" t="s">
        <v>21</v>
      </c>
      <c r="D928" s="1">
        <v>113688</v>
      </c>
      <c r="E928">
        <v>3</v>
      </c>
      <c r="F928" t="s">
        <v>19</v>
      </c>
      <c r="G928" t="s">
        <v>18</v>
      </c>
      <c r="H928" t="s">
        <v>12</v>
      </c>
      <c r="I928" t="s">
        <v>77</v>
      </c>
      <c r="J928" t="s">
        <v>73</v>
      </c>
      <c r="K928">
        <v>42</v>
      </c>
      <c r="L928" t="s">
        <v>12</v>
      </c>
    </row>
    <row r="929" spans="1:12">
      <c r="A929">
        <v>37446</v>
      </c>
      <c r="B929" t="s">
        <v>21</v>
      </c>
      <c r="C929" t="s">
        <v>21</v>
      </c>
      <c r="D929" s="1">
        <v>40954</v>
      </c>
      <c r="E929">
        <v>0</v>
      </c>
      <c r="F929" t="s">
        <v>19</v>
      </c>
      <c r="G929" t="s">
        <v>18</v>
      </c>
      <c r="H929" t="s">
        <v>13</v>
      </c>
      <c r="I929" t="s">
        <v>81</v>
      </c>
      <c r="J929" t="s">
        <v>73</v>
      </c>
      <c r="K929">
        <v>48</v>
      </c>
      <c r="L929" t="s">
        <v>13</v>
      </c>
    </row>
    <row r="930" spans="1:12">
      <c r="A930">
        <v>23046</v>
      </c>
      <c r="B930" t="s">
        <v>22</v>
      </c>
      <c r="C930" t="s">
        <v>20</v>
      </c>
      <c r="D930" s="1">
        <v>51555</v>
      </c>
      <c r="E930">
        <v>1</v>
      </c>
      <c r="F930" t="s">
        <v>14</v>
      </c>
      <c r="G930" t="s">
        <v>16</v>
      </c>
      <c r="H930" t="s">
        <v>13</v>
      </c>
      <c r="I930" t="s">
        <v>78</v>
      </c>
      <c r="J930" t="s">
        <v>66</v>
      </c>
      <c r="K930">
        <v>41</v>
      </c>
      <c r="L930" t="s">
        <v>12</v>
      </c>
    </row>
    <row r="931" spans="1:12">
      <c r="A931">
        <v>34818</v>
      </c>
      <c r="B931" t="s">
        <v>21</v>
      </c>
      <c r="C931" t="s">
        <v>20</v>
      </c>
      <c r="D931" s="1">
        <v>83353</v>
      </c>
      <c r="E931">
        <v>4</v>
      </c>
      <c r="F931" t="s">
        <v>10</v>
      </c>
      <c r="G931" t="s">
        <v>11</v>
      </c>
      <c r="H931" t="s">
        <v>12</v>
      </c>
      <c r="I931" t="s">
        <v>77</v>
      </c>
      <c r="J931" t="s">
        <v>65</v>
      </c>
      <c r="K931">
        <v>20</v>
      </c>
      <c r="L931" t="s">
        <v>13</v>
      </c>
    </row>
    <row r="932" spans="1:12">
      <c r="A932">
        <v>14324</v>
      </c>
      <c r="B932" t="s">
        <v>21</v>
      </c>
      <c r="C932" t="s">
        <v>21</v>
      </c>
      <c r="D932" s="1">
        <v>102190</v>
      </c>
      <c r="E932">
        <v>0</v>
      </c>
      <c r="F932" t="s">
        <v>14</v>
      </c>
      <c r="G932" t="s">
        <v>15</v>
      </c>
      <c r="H932" t="s">
        <v>13</v>
      </c>
      <c r="I932" t="s">
        <v>78</v>
      </c>
      <c r="J932" t="s">
        <v>65</v>
      </c>
      <c r="K932">
        <v>48</v>
      </c>
      <c r="L932" t="s">
        <v>12</v>
      </c>
    </row>
    <row r="933" spans="1:12">
      <c r="A933">
        <v>86323</v>
      </c>
      <c r="B933" t="s">
        <v>22</v>
      </c>
      <c r="C933" t="s">
        <v>20</v>
      </c>
      <c r="D933" s="1">
        <v>65026</v>
      </c>
      <c r="E933">
        <v>0</v>
      </c>
      <c r="F933" t="s">
        <v>10</v>
      </c>
      <c r="G933" t="s">
        <v>16</v>
      </c>
      <c r="H933" t="s">
        <v>13</v>
      </c>
      <c r="I933" t="s">
        <v>80</v>
      </c>
      <c r="J933" t="s">
        <v>64</v>
      </c>
      <c r="K933">
        <v>67</v>
      </c>
      <c r="L933" t="s">
        <v>12</v>
      </c>
    </row>
    <row r="934" spans="1:12">
      <c r="A934">
        <v>19111</v>
      </c>
      <c r="B934" t="s">
        <v>21</v>
      </c>
      <c r="C934" t="s">
        <v>21</v>
      </c>
      <c r="D934" s="1">
        <v>66976</v>
      </c>
      <c r="E934">
        <v>3</v>
      </c>
      <c r="F934" t="s">
        <v>17</v>
      </c>
      <c r="G934" t="s">
        <v>15</v>
      </c>
      <c r="H934" t="s">
        <v>12</v>
      </c>
      <c r="I934" t="s">
        <v>79</v>
      </c>
      <c r="J934" t="s">
        <v>72</v>
      </c>
      <c r="K934">
        <v>24</v>
      </c>
      <c r="L934" t="s">
        <v>13</v>
      </c>
    </row>
    <row r="935" spans="1:12">
      <c r="A935">
        <v>48110</v>
      </c>
      <c r="B935" t="s">
        <v>21</v>
      </c>
      <c r="C935" t="s">
        <v>21</v>
      </c>
      <c r="D935" s="1">
        <v>100578</v>
      </c>
      <c r="E935">
        <v>1</v>
      </c>
      <c r="F935" t="s">
        <v>14</v>
      </c>
      <c r="G935" t="s">
        <v>15</v>
      </c>
      <c r="H935" t="s">
        <v>13</v>
      </c>
      <c r="I935" t="s">
        <v>78</v>
      </c>
      <c r="J935" t="s">
        <v>63</v>
      </c>
      <c r="K935">
        <v>54</v>
      </c>
      <c r="L935" t="s">
        <v>12</v>
      </c>
    </row>
    <row r="936" spans="1:12">
      <c r="A936">
        <v>26389</v>
      </c>
      <c r="B936" t="s">
        <v>21</v>
      </c>
      <c r="C936" t="s">
        <v>21</v>
      </c>
      <c r="D936" s="1">
        <v>111502</v>
      </c>
      <c r="E936">
        <v>2</v>
      </c>
      <c r="F936" t="s">
        <v>14</v>
      </c>
      <c r="G936" t="s">
        <v>16</v>
      </c>
      <c r="H936" t="s">
        <v>13</v>
      </c>
      <c r="I936" t="s">
        <v>77</v>
      </c>
      <c r="J936" t="s">
        <v>74</v>
      </c>
      <c r="K936">
        <v>29</v>
      </c>
      <c r="L936" t="s">
        <v>12</v>
      </c>
    </row>
    <row r="937" spans="1:12">
      <c r="A937">
        <v>51427</v>
      </c>
      <c r="B937" t="s">
        <v>21</v>
      </c>
      <c r="C937" t="s">
        <v>20</v>
      </c>
      <c r="D937" s="1">
        <v>65095</v>
      </c>
      <c r="E937">
        <v>4</v>
      </c>
      <c r="F937" t="s">
        <v>17</v>
      </c>
      <c r="G937" t="s">
        <v>16</v>
      </c>
      <c r="H937" t="s">
        <v>12</v>
      </c>
      <c r="I937" t="s">
        <v>80</v>
      </c>
      <c r="J937" t="s">
        <v>62</v>
      </c>
      <c r="K937">
        <v>38</v>
      </c>
      <c r="L937" t="s">
        <v>12</v>
      </c>
    </row>
    <row r="938" spans="1:12">
      <c r="A938">
        <v>89579</v>
      </c>
      <c r="B938" t="s">
        <v>22</v>
      </c>
      <c r="C938" t="s">
        <v>21</v>
      </c>
      <c r="D938" s="1">
        <v>34270</v>
      </c>
      <c r="E938">
        <v>1</v>
      </c>
      <c r="F938" t="s">
        <v>10</v>
      </c>
      <c r="G938" t="s">
        <v>11</v>
      </c>
      <c r="H938" t="s">
        <v>13</v>
      </c>
      <c r="I938" t="s">
        <v>81</v>
      </c>
      <c r="J938" t="s">
        <v>70</v>
      </c>
      <c r="K938">
        <v>56</v>
      </c>
      <c r="L938" t="s">
        <v>13</v>
      </c>
    </row>
    <row r="939" spans="1:12">
      <c r="A939">
        <v>38746</v>
      </c>
      <c r="B939" t="s">
        <v>22</v>
      </c>
      <c r="C939" t="s">
        <v>20</v>
      </c>
      <c r="D939" s="1">
        <v>50908</v>
      </c>
      <c r="E939">
        <v>4</v>
      </c>
      <c r="F939" t="s">
        <v>19</v>
      </c>
      <c r="G939" t="s">
        <v>11</v>
      </c>
      <c r="H939" t="s">
        <v>13</v>
      </c>
      <c r="I939" t="s">
        <v>80</v>
      </c>
      <c r="J939" t="s">
        <v>73</v>
      </c>
      <c r="K939">
        <v>26</v>
      </c>
      <c r="L939" t="s">
        <v>13</v>
      </c>
    </row>
    <row r="940" spans="1:12">
      <c r="A940">
        <v>97886</v>
      </c>
      <c r="B940" t="s">
        <v>22</v>
      </c>
      <c r="C940" t="s">
        <v>21</v>
      </c>
      <c r="D940" s="1">
        <v>35523</v>
      </c>
      <c r="E940">
        <v>0</v>
      </c>
      <c r="F940" t="s">
        <v>17</v>
      </c>
      <c r="G940" t="s">
        <v>18</v>
      </c>
      <c r="H940" t="s">
        <v>13</v>
      </c>
      <c r="I940" t="s">
        <v>79</v>
      </c>
      <c r="J940" t="s">
        <v>60</v>
      </c>
      <c r="K940">
        <v>65</v>
      </c>
      <c r="L940" t="s">
        <v>13</v>
      </c>
    </row>
    <row r="941" spans="1:12">
      <c r="A941">
        <v>99588</v>
      </c>
      <c r="B941" t="s">
        <v>22</v>
      </c>
      <c r="C941" t="s">
        <v>20</v>
      </c>
      <c r="D941" s="1">
        <v>47990</v>
      </c>
      <c r="E941">
        <v>5</v>
      </c>
      <c r="F941" t="s">
        <v>19</v>
      </c>
      <c r="G941" t="s">
        <v>11</v>
      </c>
      <c r="H941" t="s">
        <v>13</v>
      </c>
      <c r="I941" t="s">
        <v>77</v>
      </c>
      <c r="J941" t="s">
        <v>74</v>
      </c>
      <c r="K941">
        <v>58</v>
      </c>
      <c r="L941" t="s">
        <v>12</v>
      </c>
    </row>
    <row r="942" spans="1:12">
      <c r="A942">
        <v>10117</v>
      </c>
      <c r="B942" t="s">
        <v>22</v>
      </c>
      <c r="C942" t="s">
        <v>20</v>
      </c>
      <c r="D942" s="1">
        <v>82433</v>
      </c>
      <c r="E942">
        <v>3</v>
      </c>
      <c r="F942" t="s">
        <v>19</v>
      </c>
      <c r="G942" t="s">
        <v>15</v>
      </c>
      <c r="H942" t="s">
        <v>12</v>
      </c>
      <c r="I942" t="s">
        <v>80</v>
      </c>
      <c r="J942" t="s">
        <v>67</v>
      </c>
      <c r="K942">
        <v>54</v>
      </c>
      <c r="L942" t="s">
        <v>13</v>
      </c>
    </row>
    <row r="943" spans="1:12">
      <c r="A943">
        <v>94471</v>
      </c>
      <c r="B943" t="s">
        <v>21</v>
      </c>
      <c r="C943" t="s">
        <v>20</v>
      </c>
      <c r="D943" s="1">
        <v>67068</v>
      </c>
      <c r="E943">
        <v>3</v>
      </c>
      <c r="F943" t="s">
        <v>19</v>
      </c>
      <c r="G943" t="s">
        <v>11</v>
      </c>
      <c r="H943" t="s">
        <v>12</v>
      </c>
      <c r="I943" t="s">
        <v>81</v>
      </c>
      <c r="J943" t="s">
        <v>61</v>
      </c>
      <c r="K943">
        <v>64</v>
      </c>
      <c r="L943" t="s">
        <v>12</v>
      </c>
    </row>
    <row r="944" spans="1:12">
      <c r="A944">
        <v>23234</v>
      </c>
      <c r="B944" t="s">
        <v>21</v>
      </c>
      <c r="C944" t="s">
        <v>20</v>
      </c>
      <c r="D944" s="1">
        <v>39991</v>
      </c>
      <c r="E944">
        <v>5</v>
      </c>
      <c r="F944" t="s">
        <v>17</v>
      </c>
      <c r="G944" t="s">
        <v>18</v>
      </c>
      <c r="H944" t="s">
        <v>13</v>
      </c>
      <c r="I944" t="s">
        <v>77</v>
      </c>
      <c r="J944" t="s">
        <v>62</v>
      </c>
      <c r="K944">
        <v>32</v>
      </c>
      <c r="L944" t="s">
        <v>13</v>
      </c>
    </row>
    <row r="945" spans="1:12">
      <c r="A945">
        <v>63441</v>
      </c>
      <c r="B945" t="s">
        <v>22</v>
      </c>
      <c r="C945" t="s">
        <v>21</v>
      </c>
      <c r="D945" s="1">
        <v>30775</v>
      </c>
      <c r="E945">
        <v>2</v>
      </c>
      <c r="F945" t="s">
        <v>10</v>
      </c>
      <c r="G945" t="s">
        <v>11</v>
      </c>
      <c r="H945" t="s">
        <v>13</v>
      </c>
      <c r="I945" t="s">
        <v>78</v>
      </c>
      <c r="J945" t="s">
        <v>72</v>
      </c>
      <c r="K945">
        <v>29</v>
      </c>
      <c r="L945" t="s">
        <v>13</v>
      </c>
    </row>
    <row r="946" spans="1:12">
      <c r="A946">
        <v>10846</v>
      </c>
      <c r="B946" t="s">
        <v>21</v>
      </c>
      <c r="C946" t="s">
        <v>21</v>
      </c>
      <c r="D946" s="1">
        <v>97801</v>
      </c>
      <c r="E946">
        <v>3</v>
      </c>
      <c r="F946" t="s">
        <v>19</v>
      </c>
      <c r="G946" t="s">
        <v>16</v>
      </c>
      <c r="H946" t="s">
        <v>13</v>
      </c>
      <c r="I946" t="s">
        <v>79</v>
      </c>
      <c r="J946" t="s">
        <v>71</v>
      </c>
      <c r="K946">
        <v>21</v>
      </c>
      <c r="L946" t="s">
        <v>12</v>
      </c>
    </row>
    <row r="947" spans="1:12">
      <c r="A947">
        <v>20954</v>
      </c>
      <c r="B947" t="s">
        <v>22</v>
      </c>
      <c r="C947" t="s">
        <v>20</v>
      </c>
      <c r="D947" s="1">
        <v>104995</v>
      </c>
      <c r="E947">
        <v>0</v>
      </c>
      <c r="F947" t="s">
        <v>17</v>
      </c>
      <c r="G947" t="s">
        <v>11</v>
      </c>
      <c r="H947" t="s">
        <v>12</v>
      </c>
      <c r="I947" t="s">
        <v>81</v>
      </c>
      <c r="J947" t="s">
        <v>71</v>
      </c>
      <c r="K947">
        <v>25</v>
      </c>
      <c r="L947" t="s">
        <v>12</v>
      </c>
    </row>
    <row r="948" spans="1:12">
      <c r="A948">
        <v>89239</v>
      </c>
      <c r="B948" t="s">
        <v>22</v>
      </c>
      <c r="C948" t="s">
        <v>20</v>
      </c>
      <c r="D948" s="1">
        <v>81250</v>
      </c>
      <c r="E948">
        <v>2</v>
      </c>
      <c r="F948" t="s">
        <v>14</v>
      </c>
      <c r="G948" t="s">
        <v>15</v>
      </c>
      <c r="H948" t="s">
        <v>12</v>
      </c>
      <c r="I948" t="s">
        <v>79</v>
      </c>
      <c r="J948" t="s">
        <v>61</v>
      </c>
      <c r="K948">
        <v>27</v>
      </c>
      <c r="L948" t="s">
        <v>12</v>
      </c>
    </row>
    <row r="949" spans="1:12">
      <c r="A949">
        <v>56514</v>
      </c>
      <c r="B949" t="s">
        <v>21</v>
      </c>
      <c r="C949" t="s">
        <v>20</v>
      </c>
      <c r="D949" s="1">
        <v>36673</v>
      </c>
      <c r="E949">
        <v>1</v>
      </c>
      <c r="F949" t="s">
        <v>14</v>
      </c>
      <c r="G949" t="s">
        <v>11</v>
      </c>
      <c r="H949" t="s">
        <v>12</v>
      </c>
      <c r="I949" t="s">
        <v>80</v>
      </c>
      <c r="J949" t="s">
        <v>59</v>
      </c>
      <c r="K949">
        <v>55</v>
      </c>
      <c r="L949" t="s">
        <v>13</v>
      </c>
    </row>
    <row r="950" spans="1:12">
      <c r="A950">
        <v>98236</v>
      </c>
      <c r="B950" t="s">
        <v>22</v>
      </c>
      <c r="C950" t="s">
        <v>21</v>
      </c>
      <c r="D950" s="1">
        <v>47056</v>
      </c>
      <c r="E950">
        <v>3</v>
      </c>
      <c r="F950" t="s">
        <v>14</v>
      </c>
      <c r="G950" t="s">
        <v>15</v>
      </c>
      <c r="H950" t="s">
        <v>13</v>
      </c>
      <c r="I950" t="s">
        <v>79</v>
      </c>
      <c r="J950" t="s">
        <v>70</v>
      </c>
      <c r="K950">
        <v>44</v>
      </c>
      <c r="L950" t="s">
        <v>12</v>
      </c>
    </row>
    <row r="951" spans="1:12">
      <c r="A951">
        <v>16469</v>
      </c>
      <c r="B951" t="s">
        <v>22</v>
      </c>
      <c r="C951" t="s">
        <v>21</v>
      </c>
      <c r="D951" s="1">
        <v>26614</v>
      </c>
      <c r="E951">
        <v>2</v>
      </c>
      <c r="F951" t="s">
        <v>17</v>
      </c>
      <c r="G951" t="s">
        <v>16</v>
      </c>
      <c r="H951" t="s">
        <v>13</v>
      </c>
      <c r="I951" t="s">
        <v>81</v>
      </c>
      <c r="J951" t="s">
        <v>66</v>
      </c>
      <c r="K951">
        <v>63</v>
      </c>
      <c r="L951" t="s">
        <v>13</v>
      </c>
    </row>
    <row r="952" spans="1:12">
      <c r="A952">
        <v>40105</v>
      </c>
      <c r="B952" t="s">
        <v>22</v>
      </c>
      <c r="C952" t="s">
        <v>21</v>
      </c>
      <c r="D952" s="1">
        <v>27415</v>
      </c>
      <c r="E952">
        <v>0</v>
      </c>
      <c r="F952" t="s">
        <v>14</v>
      </c>
      <c r="G952" t="s">
        <v>15</v>
      </c>
      <c r="H952" t="s">
        <v>13</v>
      </c>
      <c r="I952" t="s">
        <v>78</v>
      </c>
      <c r="J952" t="s">
        <v>71</v>
      </c>
      <c r="K952">
        <v>66</v>
      </c>
      <c r="L952" t="s">
        <v>12</v>
      </c>
    </row>
    <row r="953" spans="1:12">
      <c r="A953">
        <v>52101</v>
      </c>
      <c r="B953" t="s">
        <v>21</v>
      </c>
      <c r="C953" t="s">
        <v>21</v>
      </c>
      <c r="D953" s="1">
        <v>108691</v>
      </c>
      <c r="E953">
        <v>5</v>
      </c>
      <c r="F953" t="s">
        <v>19</v>
      </c>
      <c r="G953" t="s">
        <v>11</v>
      </c>
      <c r="H953" t="s">
        <v>13</v>
      </c>
      <c r="I953" t="s">
        <v>78</v>
      </c>
      <c r="J953" t="s">
        <v>74</v>
      </c>
      <c r="K953">
        <v>59</v>
      </c>
      <c r="L953" t="s">
        <v>12</v>
      </c>
    </row>
    <row r="954" spans="1:12">
      <c r="A954">
        <v>74323</v>
      </c>
      <c r="B954" t="s">
        <v>21</v>
      </c>
      <c r="C954" t="s">
        <v>20</v>
      </c>
      <c r="D954" s="1">
        <v>63884</v>
      </c>
      <c r="E954">
        <v>4</v>
      </c>
      <c r="F954" t="s">
        <v>14</v>
      </c>
      <c r="G954" t="s">
        <v>18</v>
      </c>
      <c r="H954" t="s">
        <v>13</v>
      </c>
      <c r="I954" t="s">
        <v>79</v>
      </c>
      <c r="J954" t="s">
        <v>60</v>
      </c>
      <c r="K954">
        <v>26</v>
      </c>
      <c r="L954" t="s">
        <v>12</v>
      </c>
    </row>
    <row r="955" spans="1:12">
      <c r="A955">
        <v>68067</v>
      </c>
      <c r="B955" t="s">
        <v>21</v>
      </c>
      <c r="C955" t="s">
        <v>20</v>
      </c>
      <c r="D955" s="1">
        <v>36964</v>
      </c>
      <c r="E955">
        <v>4</v>
      </c>
      <c r="F955" t="s">
        <v>14</v>
      </c>
      <c r="G955" t="s">
        <v>16</v>
      </c>
      <c r="H955" t="s">
        <v>12</v>
      </c>
      <c r="I955" t="s">
        <v>77</v>
      </c>
      <c r="J955" t="s">
        <v>62</v>
      </c>
      <c r="K955">
        <v>65</v>
      </c>
      <c r="L955" t="s">
        <v>12</v>
      </c>
    </row>
    <row r="956" spans="1:12">
      <c r="A956">
        <v>59376</v>
      </c>
      <c r="B956" t="s">
        <v>21</v>
      </c>
      <c r="C956" t="s">
        <v>21</v>
      </c>
      <c r="D956" s="1">
        <v>57726</v>
      </c>
      <c r="E956">
        <v>0</v>
      </c>
      <c r="F956" t="s">
        <v>19</v>
      </c>
      <c r="G956" t="s">
        <v>11</v>
      </c>
      <c r="H956" t="s">
        <v>13</v>
      </c>
      <c r="I956" t="s">
        <v>79</v>
      </c>
      <c r="J956" t="s">
        <v>62</v>
      </c>
      <c r="K956">
        <v>42</v>
      </c>
      <c r="L956" t="s">
        <v>12</v>
      </c>
    </row>
    <row r="957" spans="1:12">
      <c r="A957">
        <v>55587</v>
      </c>
      <c r="B957" t="s">
        <v>21</v>
      </c>
      <c r="C957" t="s">
        <v>21</v>
      </c>
      <c r="D957" s="1">
        <v>57044</v>
      </c>
      <c r="E957">
        <v>0</v>
      </c>
      <c r="F957" t="s">
        <v>14</v>
      </c>
      <c r="G957" t="s">
        <v>16</v>
      </c>
      <c r="H957" t="s">
        <v>13</v>
      </c>
      <c r="I957" t="s">
        <v>80</v>
      </c>
      <c r="J957" t="s">
        <v>69</v>
      </c>
      <c r="K957">
        <v>38</v>
      </c>
      <c r="L957" t="s">
        <v>12</v>
      </c>
    </row>
    <row r="958" spans="1:12">
      <c r="A958">
        <v>46976</v>
      </c>
      <c r="B958" t="s">
        <v>22</v>
      </c>
      <c r="C958" t="s">
        <v>20</v>
      </c>
      <c r="D958" s="1">
        <v>77149</v>
      </c>
      <c r="E958">
        <v>4</v>
      </c>
      <c r="F958" t="s">
        <v>19</v>
      </c>
      <c r="G958" t="s">
        <v>16</v>
      </c>
      <c r="H958" t="s">
        <v>13</v>
      </c>
      <c r="I958" t="s">
        <v>78</v>
      </c>
      <c r="J958" t="s">
        <v>60</v>
      </c>
      <c r="K958">
        <v>65</v>
      </c>
      <c r="L958" t="s">
        <v>12</v>
      </c>
    </row>
    <row r="959" spans="1:12">
      <c r="A959">
        <v>77584</v>
      </c>
      <c r="B959" t="s">
        <v>21</v>
      </c>
      <c r="C959" t="s">
        <v>21</v>
      </c>
      <c r="D959" s="1">
        <v>57544</v>
      </c>
      <c r="E959">
        <v>5</v>
      </c>
      <c r="F959" t="s">
        <v>14</v>
      </c>
      <c r="G959" t="s">
        <v>11</v>
      </c>
      <c r="H959" t="s">
        <v>12</v>
      </c>
      <c r="I959" t="s">
        <v>78</v>
      </c>
      <c r="J959" t="s">
        <v>71</v>
      </c>
      <c r="K959">
        <v>41</v>
      </c>
      <c r="L959" t="s">
        <v>12</v>
      </c>
    </row>
    <row r="960" spans="1:12">
      <c r="A960">
        <v>88477</v>
      </c>
      <c r="B960" t="s">
        <v>22</v>
      </c>
      <c r="C960" t="s">
        <v>21</v>
      </c>
      <c r="D960" s="1">
        <v>69976</v>
      </c>
      <c r="E960">
        <v>2</v>
      </c>
      <c r="F960" t="s">
        <v>19</v>
      </c>
      <c r="G960" t="s">
        <v>11</v>
      </c>
      <c r="H960" t="s">
        <v>13</v>
      </c>
      <c r="I960" t="s">
        <v>78</v>
      </c>
      <c r="J960" t="s">
        <v>64</v>
      </c>
      <c r="K960">
        <v>32</v>
      </c>
      <c r="L960" t="s">
        <v>12</v>
      </c>
    </row>
    <row r="961" spans="1:12">
      <c r="A961">
        <v>52533</v>
      </c>
      <c r="B961" t="s">
        <v>22</v>
      </c>
      <c r="C961" t="s">
        <v>21</v>
      </c>
      <c r="D961" s="1">
        <v>52252</v>
      </c>
      <c r="E961">
        <v>4</v>
      </c>
      <c r="F961" t="s">
        <v>14</v>
      </c>
      <c r="G961" t="s">
        <v>18</v>
      </c>
      <c r="H961" t="s">
        <v>12</v>
      </c>
      <c r="I961" t="s">
        <v>77</v>
      </c>
      <c r="J961" t="s">
        <v>72</v>
      </c>
      <c r="K961">
        <v>40</v>
      </c>
      <c r="L961" t="s">
        <v>13</v>
      </c>
    </row>
    <row r="962" spans="1:12">
      <c r="A962">
        <v>11828</v>
      </c>
      <c r="B962" t="s">
        <v>22</v>
      </c>
      <c r="C962" t="s">
        <v>21</v>
      </c>
      <c r="D962" s="1">
        <v>23832</v>
      </c>
      <c r="E962">
        <v>0</v>
      </c>
      <c r="F962" t="s">
        <v>19</v>
      </c>
      <c r="G962" t="s">
        <v>16</v>
      </c>
      <c r="H962" t="s">
        <v>12</v>
      </c>
      <c r="I962" t="s">
        <v>77</v>
      </c>
      <c r="J962" t="s">
        <v>68</v>
      </c>
      <c r="K962">
        <v>20</v>
      </c>
      <c r="L962" t="s">
        <v>13</v>
      </c>
    </row>
    <row r="963" spans="1:12">
      <c r="A963">
        <v>11917</v>
      </c>
      <c r="B963" t="s">
        <v>21</v>
      </c>
      <c r="C963" t="s">
        <v>21</v>
      </c>
      <c r="D963" s="1">
        <v>110811</v>
      </c>
      <c r="E963">
        <v>3</v>
      </c>
      <c r="F963" t="s">
        <v>17</v>
      </c>
      <c r="G963" t="s">
        <v>16</v>
      </c>
      <c r="H963" t="s">
        <v>12</v>
      </c>
      <c r="I963" t="s">
        <v>81</v>
      </c>
      <c r="J963" t="s">
        <v>60</v>
      </c>
      <c r="K963">
        <v>38</v>
      </c>
      <c r="L963" t="s">
        <v>13</v>
      </c>
    </row>
    <row r="964" spans="1:12">
      <c r="A964">
        <v>30618</v>
      </c>
      <c r="B964" t="s">
        <v>22</v>
      </c>
      <c r="C964" t="s">
        <v>21</v>
      </c>
      <c r="D964" s="1">
        <v>100437</v>
      </c>
      <c r="E964">
        <v>1</v>
      </c>
      <c r="F964" t="s">
        <v>19</v>
      </c>
      <c r="G964" t="s">
        <v>11</v>
      </c>
      <c r="H964" t="s">
        <v>12</v>
      </c>
      <c r="I964" t="s">
        <v>79</v>
      </c>
      <c r="J964" t="s">
        <v>71</v>
      </c>
      <c r="K964">
        <v>52</v>
      </c>
      <c r="L964" t="s">
        <v>12</v>
      </c>
    </row>
    <row r="965" spans="1:12">
      <c r="A965">
        <v>42254</v>
      </c>
      <c r="B965" t="s">
        <v>21</v>
      </c>
      <c r="C965" t="s">
        <v>20</v>
      </c>
      <c r="D965" s="1">
        <v>54148</v>
      </c>
      <c r="E965">
        <v>5</v>
      </c>
      <c r="F965" t="s">
        <v>14</v>
      </c>
      <c r="G965" t="s">
        <v>15</v>
      </c>
      <c r="H965" t="s">
        <v>12</v>
      </c>
      <c r="I965" t="s">
        <v>79</v>
      </c>
      <c r="J965" t="s">
        <v>70</v>
      </c>
      <c r="K965">
        <v>23</v>
      </c>
      <c r="L965" t="s">
        <v>12</v>
      </c>
    </row>
    <row r="966" spans="1:12">
      <c r="A966">
        <v>57362</v>
      </c>
      <c r="B966" t="s">
        <v>21</v>
      </c>
      <c r="C966" t="s">
        <v>21</v>
      </c>
      <c r="D966" s="1">
        <v>81240</v>
      </c>
      <c r="E966">
        <v>5</v>
      </c>
      <c r="F966" t="s">
        <v>14</v>
      </c>
      <c r="G966" t="s">
        <v>11</v>
      </c>
      <c r="H966" t="s">
        <v>13</v>
      </c>
      <c r="I966" t="s">
        <v>80</v>
      </c>
      <c r="J966" t="s">
        <v>65</v>
      </c>
      <c r="K966">
        <v>61</v>
      </c>
      <c r="L966" t="s">
        <v>12</v>
      </c>
    </row>
    <row r="967" spans="1:12">
      <c r="A967">
        <v>30128</v>
      </c>
      <c r="B967" t="s">
        <v>22</v>
      </c>
      <c r="C967" t="s">
        <v>21</v>
      </c>
      <c r="D967" s="1">
        <v>108454</v>
      </c>
      <c r="E967">
        <v>3</v>
      </c>
      <c r="F967" t="s">
        <v>10</v>
      </c>
      <c r="G967" t="s">
        <v>16</v>
      </c>
      <c r="H967" t="s">
        <v>13</v>
      </c>
      <c r="I967" t="s">
        <v>78</v>
      </c>
      <c r="J967" t="s">
        <v>68</v>
      </c>
      <c r="K967">
        <v>22</v>
      </c>
      <c r="L967" t="s">
        <v>13</v>
      </c>
    </row>
    <row r="968" spans="1:12">
      <c r="A968">
        <v>69383</v>
      </c>
      <c r="B968" t="s">
        <v>21</v>
      </c>
      <c r="C968" t="s">
        <v>20</v>
      </c>
      <c r="D968" s="1">
        <v>105076</v>
      </c>
      <c r="E968">
        <v>3</v>
      </c>
      <c r="F968" t="s">
        <v>19</v>
      </c>
      <c r="G968" t="s">
        <v>11</v>
      </c>
      <c r="H968" t="s">
        <v>12</v>
      </c>
      <c r="I968" t="s">
        <v>77</v>
      </c>
      <c r="J968" t="s">
        <v>62</v>
      </c>
      <c r="K968">
        <v>46</v>
      </c>
      <c r="L968" t="s">
        <v>13</v>
      </c>
    </row>
    <row r="969" spans="1:12">
      <c r="A969">
        <v>92180</v>
      </c>
      <c r="B969" t="s">
        <v>22</v>
      </c>
      <c r="C969" t="s">
        <v>20</v>
      </c>
      <c r="D969" s="1">
        <v>73459</v>
      </c>
      <c r="E969">
        <v>4</v>
      </c>
      <c r="F969" t="s">
        <v>19</v>
      </c>
      <c r="G969" t="s">
        <v>15</v>
      </c>
      <c r="H969" t="s">
        <v>12</v>
      </c>
      <c r="I969" t="s">
        <v>80</v>
      </c>
      <c r="J969" t="s">
        <v>69</v>
      </c>
      <c r="K969">
        <v>54</v>
      </c>
      <c r="L969" t="s">
        <v>13</v>
      </c>
    </row>
    <row r="970" spans="1:12">
      <c r="A970">
        <v>97958</v>
      </c>
      <c r="B970" t="s">
        <v>21</v>
      </c>
      <c r="C970" t="s">
        <v>21</v>
      </c>
      <c r="D970" s="1">
        <v>58402</v>
      </c>
      <c r="E970">
        <v>2</v>
      </c>
      <c r="F970" t="s">
        <v>19</v>
      </c>
      <c r="G970" t="s">
        <v>11</v>
      </c>
      <c r="H970" t="s">
        <v>13</v>
      </c>
      <c r="I970" t="s">
        <v>77</v>
      </c>
      <c r="J970" t="s">
        <v>61</v>
      </c>
      <c r="K970">
        <v>47</v>
      </c>
      <c r="L970" t="s">
        <v>13</v>
      </c>
    </row>
    <row r="971" spans="1:12">
      <c r="A971">
        <v>19865</v>
      </c>
      <c r="B971" t="s">
        <v>21</v>
      </c>
      <c r="C971" t="s">
        <v>20</v>
      </c>
      <c r="D971" s="1">
        <v>77727</v>
      </c>
      <c r="E971">
        <v>5</v>
      </c>
      <c r="F971" t="s">
        <v>17</v>
      </c>
      <c r="G971" t="s">
        <v>18</v>
      </c>
      <c r="H971" t="s">
        <v>13</v>
      </c>
      <c r="I971" t="s">
        <v>79</v>
      </c>
      <c r="J971" t="s">
        <v>66</v>
      </c>
      <c r="K971">
        <v>25</v>
      </c>
      <c r="L971" t="s">
        <v>12</v>
      </c>
    </row>
    <row r="972" spans="1:12">
      <c r="A972">
        <v>12219</v>
      </c>
      <c r="B972" t="s">
        <v>21</v>
      </c>
      <c r="C972" t="s">
        <v>21</v>
      </c>
      <c r="D972" s="1">
        <v>58578</v>
      </c>
      <c r="E972">
        <v>5</v>
      </c>
      <c r="F972" t="s">
        <v>19</v>
      </c>
      <c r="G972" t="s">
        <v>16</v>
      </c>
      <c r="H972" t="s">
        <v>12</v>
      </c>
      <c r="I972" t="s">
        <v>78</v>
      </c>
      <c r="J972" t="s">
        <v>62</v>
      </c>
      <c r="K972">
        <v>25</v>
      </c>
      <c r="L972" t="s">
        <v>12</v>
      </c>
    </row>
    <row r="973" spans="1:12">
      <c r="A973">
        <v>49809</v>
      </c>
      <c r="B973" t="s">
        <v>22</v>
      </c>
      <c r="C973" t="s">
        <v>21</v>
      </c>
      <c r="D973" s="1">
        <v>110453</v>
      </c>
      <c r="E973">
        <v>3</v>
      </c>
      <c r="F973" t="s">
        <v>17</v>
      </c>
      <c r="G973" t="s">
        <v>11</v>
      </c>
      <c r="H973" t="s">
        <v>13</v>
      </c>
      <c r="I973" t="s">
        <v>79</v>
      </c>
      <c r="J973" t="s">
        <v>59</v>
      </c>
      <c r="K973">
        <v>63</v>
      </c>
      <c r="L973" t="s">
        <v>13</v>
      </c>
    </row>
    <row r="974" spans="1:12">
      <c r="A974">
        <v>15287</v>
      </c>
      <c r="B974" t="s">
        <v>22</v>
      </c>
      <c r="C974" t="s">
        <v>21</v>
      </c>
      <c r="D974" s="1">
        <v>42318</v>
      </c>
      <c r="E974">
        <v>4</v>
      </c>
      <c r="F974" t="s">
        <v>17</v>
      </c>
      <c r="G974" t="s">
        <v>16</v>
      </c>
      <c r="H974" t="s">
        <v>13</v>
      </c>
      <c r="I974" t="s">
        <v>80</v>
      </c>
      <c r="J974" t="s">
        <v>61</v>
      </c>
      <c r="K974">
        <v>42</v>
      </c>
      <c r="L974" t="s">
        <v>13</v>
      </c>
    </row>
    <row r="975" spans="1:12">
      <c r="A975">
        <v>44387</v>
      </c>
      <c r="B975" t="s">
        <v>21</v>
      </c>
      <c r="C975" t="s">
        <v>20</v>
      </c>
      <c r="D975" s="1">
        <v>95715</v>
      </c>
      <c r="E975">
        <v>5</v>
      </c>
      <c r="F975" t="s">
        <v>19</v>
      </c>
      <c r="G975" t="s">
        <v>18</v>
      </c>
      <c r="H975" t="s">
        <v>12</v>
      </c>
      <c r="I975" t="s">
        <v>78</v>
      </c>
      <c r="J975" t="s">
        <v>72</v>
      </c>
      <c r="K975">
        <v>52</v>
      </c>
      <c r="L975" t="s">
        <v>12</v>
      </c>
    </row>
    <row r="976" spans="1:12">
      <c r="A976">
        <v>18512</v>
      </c>
      <c r="B976" t="s">
        <v>21</v>
      </c>
      <c r="C976" t="s">
        <v>20</v>
      </c>
      <c r="D976" s="1">
        <v>97787</v>
      </c>
      <c r="E976">
        <v>2</v>
      </c>
      <c r="F976" t="s">
        <v>19</v>
      </c>
      <c r="G976" t="s">
        <v>16</v>
      </c>
      <c r="H976" t="s">
        <v>12</v>
      </c>
      <c r="I976" t="s">
        <v>81</v>
      </c>
      <c r="J976" t="s">
        <v>66</v>
      </c>
      <c r="K976">
        <v>35</v>
      </c>
      <c r="L976" t="s">
        <v>12</v>
      </c>
    </row>
    <row r="977" spans="1:12">
      <c r="A977">
        <v>11342</v>
      </c>
      <c r="B977" t="s">
        <v>21</v>
      </c>
      <c r="C977" t="s">
        <v>20</v>
      </c>
      <c r="D977" s="1">
        <v>105029</v>
      </c>
      <c r="E977">
        <v>3</v>
      </c>
      <c r="F977" t="s">
        <v>14</v>
      </c>
      <c r="G977" t="s">
        <v>18</v>
      </c>
      <c r="H977" t="s">
        <v>13</v>
      </c>
      <c r="I977" t="s">
        <v>80</v>
      </c>
      <c r="J977" t="s">
        <v>66</v>
      </c>
      <c r="K977">
        <v>43</v>
      </c>
      <c r="L977" t="s">
        <v>13</v>
      </c>
    </row>
    <row r="978" spans="1:12">
      <c r="A978">
        <v>73076</v>
      </c>
      <c r="B978" t="s">
        <v>21</v>
      </c>
      <c r="C978" t="s">
        <v>20</v>
      </c>
      <c r="D978" s="1">
        <v>40466</v>
      </c>
      <c r="E978">
        <v>2</v>
      </c>
      <c r="F978" t="s">
        <v>14</v>
      </c>
      <c r="G978" t="s">
        <v>18</v>
      </c>
      <c r="H978" t="s">
        <v>13</v>
      </c>
      <c r="I978" t="s">
        <v>79</v>
      </c>
      <c r="J978" t="s">
        <v>74</v>
      </c>
      <c r="K978">
        <v>24</v>
      </c>
      <c r="L978" t="s">
        <v>12</v>
      </c>
    </row>
    <row r="979" spans="1:12">
      <c r="A979">
        <v>29216</v>
      </c>
      <c r="B979" t="s">
        <v>22</v>
      </c>
      <c r="C979" t="s">
        <v>20</v>
      </c>
      <c r="D979" s="1">
        <v>115742</v>
      </c>
      <c r="E979">
        <v>4</v>
      </c>
      <c r="F979" t="s">
        <v>10</v>
      </c>
      <c r="G979" t="s">
        <v>18</v>
      </c>
      <c r="H979" t="s">
        <v>13</v>
      </c>
      <c r="I979" t="s">
        <v>79</v>
      </c>
      <c r="J979" t="s">
        <v>71</v>
      </c>
      <c r="K979">
        <v>60</v>
      </c>
      <c r="L979" t="s">
        <v>13</v>
      </c>
    </row>
    <row r="980" spans="1:12">
      <c r="A980">
        <v>89767</v>
      </c>
      <c r="B980" t="s">
        <v>21</v>
      </c>
      <c r="C980" t="s">
        <v>21</v>
      </c>
      <c r="D980" s="1">
        <v>65475</v>
      </c>
      <c r="E980">
        <v>5</v>
      </c>
      <c r="F980" t="s">
        <v>10</v>
      </c>
      <c r="G980" t="s">
        <v>11</v>
      </c>
      <c r="H980" t="s">
        <v>12</v>
      </c>
      <c r="I980" t="s">
        <v>79</v>
      </c>
      <c r="J980" t="s">
        <v>69</v>
      </c>
      <c r="K980">
        <v>61</v>
      </c>
      <c r="L980" t="s">
        <v>13</v>
      </c>
    </row>
    <row r="981" spans="1:12">
      <c r="A981">
        <v>36614</v>
      </c>
      <c r="B981" t="s">
        <v>21</v>
      </c>
      <c r="C981" t="s">
        <v>21</v>
      </c>
      <c r="D981" s="1">
        <v>80142</v>
      </c>
      <c r="E981">
        <v>1</v>
      </c>
      <c r="F981" t="s">
        <v>19</v>
      </c>
      <c r="G981" t="s">
        <v>16</v>
      </c>
      <c r="H981" t="s">
        <v>12</v>
      </c>
      <c r="I981" t="s">
        <v>77</v>
      </c>
      <c r="J981" t="s">
        <v>72</v>
      </c>
      <c r="K981">
        <v>32</v>
      </c>
      <c r="L981" t="s">
        <v>12</v>
      </c>
    </row>
    <row r="982" spans="1:12">
      <c r="A982">
        <v>46258</v>
      </c>
      <c r="B982" t="s">
        <v>22</v>
      </c>
      <c r="C982" t="s">
        <v>21</v>
      </c>
      <c r="D982" s="1">
        <v>105160</v>
      </c>
      <c r="E982">
        <v>5</v>
      </c>
      <c r="F982" t="s">
        <v>17</v>
      </c>
      <c r="G982" t="s">
        <v>16</v>
      </c>
      <c r="H982" t="s">
        <v>12</v>
      </c>
      <c r="I982" t="s">
        <v>80</v>
      </c>
      <c r="J982" t="s">
        <v>73</v>
      </c>
      <c r="K982">
        <v>66</v>
      </c>
      <c r="L982" t="s">
        <v>12</v>
      </c>
    </row>
    <row r="983" spans="1:12">
      <c r="A983">
        <v>52078</v>
      </c>
      <c r="B983" t="s">
        <v>22</v>
      </c>
      <c r="C983" t="s">
        <v>21</v>
      </c>
      <c r="D983" s="1">
        <v>46564</v>
      </c>
      <c r="E983">
        <v>4</v>
      </c>
      <c r="F983" t="s">
        <v>10</v>
      </c>
      <c r="G983" t="s">
        <v>15</v>
      </c>
      <c r="H983" t="s">
        <v>13</v>
      </c>
      <c r="I983" t="s">
        <v>78</v>
      </c>
      <c r="J983" t="s">
        <v>63</v>
      </c>
      <c r="K983">
        <v>31</v>
      </c>
      <c r="L983" t="s">
        <v>13</v>
      </c>
    </row>
    <row r="984" spans="1:12">
      <c r="A984">
        <v>93524</v>
      </c>
      <c r="B984" t="s">
        <v>22</v>
      </c>
      <c r="C984" t="s">
        <v>20</v>
      </c>
      <c r="D984" s="1">
        <v>42412</v>
      </c>
      <c r="E984">
        <v>5</v>
      </c>
      <c r="F984" t="s">
        <v>19</v>
      </c>
      <c r="G984" t="s">
        <v>15</v>
      </c>
      <c r="H984" t="s">
        <v>13</v>
      </c>
      <c r="I984" t="s">
        <v>79</v>
      </c>
      <c r="J984" t="s">
        <v>62</v>
      </c>
      <c r="K984">
        <v>24</v>
      </c>
      <c r="L984" t="s">
        <v>12</v>
      </c>
    </row>
    <row r="985" spans="1:12">
      <c r="A985">
        <v>22219</v>
      </c>
      <c r="B985" t="s">
        <v>21</v>
      </c>
      <c r="C985" t="s">
        <v>20</v>
      </c>
      <c r="D985" s="1">
        <v>113526</v>
      </c>
      <c r="E985">
        <v>5</v>
      </c>
      <c r="F985" t="s">
        <v>10</v>
      </c>
      <c r="G985" t="s">
        <v>15</v>
      </c>
      <c r="H985" t="s">
        <v>12</v>
      </c>
      <c r="I985" t="s">
        <v>79</v>
      </c>
      <c r="J985" t="s">
        <v>65</v>
      </c>
      <c r="K985">
        <v>56</v>
      </c>
      <c r="L985" t="s">
        <v>12</v>
      </c>
    </row>
    <row r="986" spans="1:12">
      <c r="A986">
        <v>10235</v>
      </c>
      <c r="B986" t="s">
        <v>21</v>
      </c>
      <c r="C986" t="s">
        <v>21</v>
      </c>
      <c r="D986" s="1">
        <v>71001</v>
      </c>
      <c r="E986">
        <v>0</v>
      </c>
      <c r="F986" t="s">
        <v>17</v>
      </c>
      <c r="G986" t="s">
        <v>15</v>
      </c>
      <c r="H986" t="s">
        <v>13</v>
      </c>
      <c r="I986" t="s">
        <v>77</v>
      </c>
      <c r="J986" t="s">
        <v>74</v>
      </c>
      <c r="K986">
        <v>50</v>
      </c>
      <c r="L986" t="s">
        <v>13</v>
      </c>
    </row>
    <row r="987" spans="1:12">
      <c r="A987">
        <v>52929</v>
      </c>
      <c r="B987" t="s">
        <v>21</v>
      </c>
      <c r="C987" t="s">
        <v>20</v>
      </c>
      <c r="D987" s="1">
        <v>77649</v>
      </c>
      <c r="E987">
        <v>5</v>
      </c>
      <c r="F987" t="s">
        <v>19</v>
      </c>
      <c r="G987" t="s">
        <v>16</v>
      </c>
      <c r="H987" t="s">
        <v>12</v>
      </c>
      <c r="I987" t="s">
        <v>78</v>
      </c>
      <c r="J987" t="s">
        <v>62</v>
      </c>
      <c r="K987">
        <v>47</v>
      </c>
      <c r="L987" t="s">
        <v>12</v>
      </c>
    </row>
    <row r="988" spans="1:12">
      <c r="A988">
        <v>77444</v>
      </c>
      <c r="B988" t="s">
        <v>21</v>
      </c>
      <c r="C988" t="s">
        <v>20</v>
      </c>
      <c r="D988" s="1">
        <v>80957</v>
      </c>
      <c r="E988">
        <v>5</v>
      </c>
      <c r="F988" t="s">
        <v>17</v>
      </c>
      <c r="G988" t="s">
        <v>18</v>
      </c>
      <c r="H988" t="s">
        <v>13</v>
      </c>
      <c r="I988" t="s">
        <v>80</v>
      </c>
      <c r="J988" t="s">
        <v>63</v>
      </c>
      <c r="K988">
        <v>47</v>
      </c>
      <c r="L988" t="s">
        <v>12</v>
      </c>
    </row>
    <row r="989" spans="1:12">
      <c r="A989">
        <v>18567</v>
      </c>
      <c r="B989" t="s">
        <v>22</v>
      </c>
      <c r="C989" t="s">
        <v>21</v>
      </c>
      <c r="D989" s="1">
        <v>55517</v>
      </c>
      <c r="E989">
        <v>2</v>
      </c>
      <c r="F989" t="s">
        <v>19</v>
      </c>
      <c r="G989" t="s">
        <v>18</v>
      </c>
      <c r="H989" t="s">
        <v>12</v>
      </c>
      <c r="I989" t="s">
        <v>81</v>
      </c>
      <c r="J989" t="s">
        <v>66</v>
      </c>
      <c r="K989">
        <v>49</v>
      </c>
      <c r="L989" t="s">
        <v>12</v>
      </c>
    </row>
    <row r="990" spans="1:12">
      <c r="A990">
        <v>80792</v>
      </c>
      <c r="B990" t="s">
        <v>22</v>
      </c>
      <c r="C990" t="s">
        <v>21</v>
      </c>
      <c r="D990" s="1">
        <v>33156</v>
      </c>
      <c r="E990">
        <v>1</v>
      </c>
      <c r="F990" t="s">
        <v>10</v>
      </c>
      <c r="G990" t="s">
        <v>11</v>
      </c>
      <c r="H990" t="s">
        <v>13</v>
      </c>
      <c r="I990" t="s">
        <v>77</v>
      </c>
      <c r="J990" t="s">
        <v>72</v>
      </c>
      <c r="K990">
        <v>37</v>
      </c>
      <c r="L990" t="s">
        <v>13</v>
      </c>
    </row>
    <row r="991" spans="1:12">
      <c r="A991">
        <v>75441</v>
      </c>
      <c r="B991" t="s">
        <v>22</v>
      </c>
      <c r="C991" t="s">
        <v>20</v>
      </c>
      <c r="D991" s="1">
        <v>43064</v>
      </c>
      <c r="E991">
        <v>2</v>
      </c>
      <c r="F991" t="s">
        <v>14</v>
      </c>
      <c r="G991" t="s">
        <v>18</v>
      </c>
      <c r="H991" t="s">
        <v>13</v>
      </c>
      <c r="I991" t="s">
        <v>80</v>
      </c>
      <c r="J991" t="s">
        <v>68</v>
      </c>
      <c r="K991">
        <v>63</v>
      </c>
      <c r="L991" t="s">
        <v>12</v>
      </c>
    </row>
    <row r="992" spans="1:12">
      <c r="A992">
        <v>94555</v>
      </c>
      <c r="B992" t="s">
        <v>22</v>
      </c>
      <c r="C992" t="s">
        <v>20</v>
      </c>
      <c r="D992" s="1">
        <v>45711</v>
      </c>
      <c r="E992">
        <v>2</v>
      </c>
      <c r="F992" t="s">
        <v>10</v>
      </c>
      <c r="G992" t="s">
        <v>16</v>
      </c>
      <c r="H992" t="s">
        <v>12</v>
      </c>
      <c r="I992" t="s">
        <v>81</v>
      </c>
      <c r="J992" t="s">
        <v>69</v>
      </c>
      <c r="K992">
        <v>46</v>
      </c>
      <c r="L992" t="s">
        <v>13</v>
      </c>
    </row>
    <row r="993" spans="1:12">
      <c r="A993">
        <v>83698</v>
      </c>
      <c r="B993" t="s">
        <v>21</v>
      </c>
      <c r="C993" t="s">
        <v>21</v>
      </c>
      <c r="D993" s="1">
        <v>50106</v>
      </c>
      <c r="E993">
        <v>3</v>
      </c>
      <c r="F993" t="s">
        <v>10</v>
      </c>
      <c r="G993" t="s">
        <v>16</v>
      </c>
      <c r="H993" t="s">
        <v>12</v>
      </c>
      <c r="I993" t="s">
        <v>79</v>
      </c>
      <c r="J993" t="s">
        <v>66</v>
      </c>
      <c r="K993">
        <v>54</v>
      </c>
      <c r="L993" t="s">
        <v>13</v>
      </c>
    </row>
    <row r="994" spans="1:12">
      <c r="A994">
        <v>15415</v>
      </c>
      <c r="B994" t="s">
        <v>22</v>
      </c>
      <c r="C994" t="s">
        <v>21</v>
      </c>
      <c r="D994" s="1">
        <v>85458</v>
      </c>
      <c r="E994">
        <v>0</v>
      </c>
      <c r="F994" t="s">
        <v>14</v>
      </c>
      <c r="G994" t="s">
        <v>16</v>
      </c>
      <c r="H994" t="s">
        <v>12</v>
      </c>
      <c r="I994" t="s">
        <v>79</v>
      </c>
      <c r="J994" t="s">
        <v>66</v>
      </c>
      <c r="K994">
        <v>45</v>
      </c>
      <c r="L994" t="s">
        <v>12</v>
      </c>
    </row>
    <row r="995" spans="1:12">
      <c r="A995">
        <v>46159</v>
      </c>
      <c r="B995" t="s">
        <v>21</v>
      </c>
      <c r="C995" t="s">
        <v>21</v>
      </c>
      <c r="D995" s="1">
        <v>36589</v>
      </c>
      <c r="E995">
        <v>2</v>
      </c>
      <c r="F995" t="s">
        <v>14</v>
      </c>
      <c r="G995" t="s">
        <v>11</v>
      </c>
      <c r="H995" t="s">
        <v>12</v>
      </c>
      <c r="I995" t="s">
        <v>78</v>
      </c>
      <c r="J995" t="s">
        <v>59</v>
      </c>
      <c r="K995">
        <v>58</v>
      </c>
      <c r="L995" t="s">
        <v>12</v>
      </c>
    </row>
    <row r="996" spans="1:12">
      <c r="A996">
        <v>53925</v>
      </c>
      <c r="B996" t="s">
        <v>21</v>
      </c>
      <c r="C996" t="s">
        <v>20</v>
      </c>
      <c r="D996" s="1">
        <v>109272</v>
      </c>
      <c r="E996">
        <v>4</v>
      </c>
      <c r="F996" t="s">
        <v>19</v>
      </c>
      <c r="G996" t="s">
        <v>15</v>
      </c>
      <c r="H996" t="s">
        <v>12</v>
      </c>
      <c r="I996" t="s">
        <v>81</v>
      </c>
      <c r="J996" t="s">
        <v>70</v>
      </c>
      <c r="K996">
        <v>68</v>
      </c>
      <c r="L996" t="s">
        <v>12</v>
      </c>
    </row>
    <row r="997" spans="1:12">
      <c r="A997">
        <v>15951</v>
      </c>
      <c r="B997" t="s">
        <v>21</v>
      </c>
      <c r="C997" t="s">
        <v>21</v>
      </c>
      <c r="D997" s="1">
        <v>106511</v>
      </c>
      <c r="E997">
        <v>4</v>
      </c>
      <c r="F997" t="s">
        <v>19</v>
      </c>
      <c r="G997" t="s">
        <v>18</v>
      </c>
      <c r="H997" t="s">
        <v>13</v>
      </c>
      <c r="I997" t="s">
        <v>79</v>
      </c>
      <c r="J997" t="s">
        <v>61</v>
      </c>
      <c r="K997">
        <v>37</v>
      </c>
      <c r="L997" t="s">
        <v>13</v>
      </c>
    </row>
    <row r="998" spans="1:12">
      <c r="A998">
        <v>97388</v>
      </c>
      <c r="B998" t="s">
        <v>21</v>
      </c>
      <c r="C998" t="s">
        <v>21</v>
      </c>
      <c r="D998" s="1">
        <v>27214</v>
      </c>
      <c r="E998" s="2">
        <v>5</v>
      </c>
      <c r="F998" t="s">
        <v>17</v>
      </c>
      <c r="G998" t="s">
        <v>16</v>
      </c>
      <c r="H998" t="s">
        <v>12</v>
      </c>
      <c r="I998" t="s">
        <v>79</v>
      </c>
      <c r="J998" t="s">
        <v>61</v>
      </c>
      <c r="K998">
        <v>52</v>
      </c>
      <c r="L998" t="s">
        <v>13</v>
      </c>
    </row>
    <row r="999" spans="1:12">
      <c r="A999">
        <v>18007</v>
      </c>
      <c r="B999" t="s">
        <v>21</v>
      </c>
      <c r="C999" t="s">
        <v>20</v>
      </c>
      <c r="D999" s="1">
        <v>116117</v>
      </c>
      <c r="E999">
        <v>3</v>
      </c>
      <c r="F999" t="s">
        <v>17</v>
      </c>
      <c r="G999" t="s">
        <v>16</v>
      </c>
      <c r="H999" t="s">
        <v>12</v>
      </c>
      <c r="I999" t="s">
        <v>78</v>
      </c>
      <c r="J999" t="s">
        <v>69</v>
      </c>
      <c r="K999">
        <v>44</v>
      </c>
      <c r="L999" t="s">
        <v>13</v>
      </c>
    </row>
    <row r="1000" spans="1:12">
      <c r="A1000">
        <v>51832</v>
      </c>
      <c r="B1000" t="s">
        <v>22</v>
      </c>
      <c r="C1000" t="s">
        <v>20</v>
      </c>
      <c r="D1000" s="1">
        <v>105731</v>
      </c>
      <c r="E1000">
        <v>0</v>
      </c>
      <c r="F1000" t="s">
        <v>10</v>
      </c>
      <c r="G1000" t="s">
        <v>15</v>
      </c>
      <c r="H1000" t="s">
        <v>12</v>
      </c>
      <c r="I1000" t="s">
        <v>80</v>
      </c>
      <c r="J1000" t="s">
        <v>64</v>
      </c>
      <c r="K1000">
        <v>50</v>
      </c>
      <c r="L1000" t="s">
        <v>12</v>
      </c>
    </row>
    <row r="1001" spans="1:12">
      <c r="A1001">
        <v>68596</v>
      </c>
      <c r="B1001" t="s">
        <v>21</v>
      </c>
      <c r="C1001" t="s">
        <v>20</v>
      </c>
      <c r="D1001" s="1">
        <v>47127</v>
      </c>
      <c r="E1001">
        <v>0</v>
      </c>
      <c r="F1001" t="s">
        <v>14</v>
      </c>
      <c r="G1001" t="s">
        <v>16</v>
      </c>
      <c r="H1001" t="s">
        <v>12</v>
      </c>
      <c r="I1001" t="s">
        <v>79</v>
      </c>
      <c r="J1001" t="s">
        <v>68</v>
      </c>
      <c r="K1001">
        <v>56</v>
      </c>
      <c r="L1001" t="s">
        <v>13</v>
      </c>
    </row>
    <row r="1002" spans="1:12">
      <c r="A1002">
        <v>40523</v>
      </c>
      <c r="B1002" t="s">
        <v>21</v>
      </c>
      <c r="C1002" t="s">
        <v>20</v>
      </c>
      <c r="D1002" s="1">
        <v>25141</v>
      </c>
      <c r="E1002">
        <v>5</v>
      </c>
      <c r="F1002" t="s">
        <v>17</v>
      </c>
      <c r="G1002" t="s">
        <v>18</v>
      </c>
      <c r="H1002" t="s">
        <v>12</v>
      </c>
      <c r="I1002" t="s">
        <v>77</v>
      </c>
      <c r="J1002" t="s">
        <v>68</v>
      </c>
      <c r="K1002">
        <v>21</v>
      </c>
      <c r="L1002" t="s">
        <v>12</v>
      </c>
    </row>
    <row r="1003" spans="1:12">
      <c r="A1003">
        <v>98861</v>
      </c>
      <c r="B1003" t="s">
        <v>21</v>
      </c>
      <c r="C1003" t="s">
        <v>20</v>
      </c>
      <c r="D1003" s="1">
        <v>48884</v>
      </c>
      <c r="E1003">
        <v>4</v>
      </c>
      <c r="F1003" t="s">
        <v>10</v>
      </c>
      <c r="G1003" t="s">
        <v>11</v>
      </c>
      <c r="H1003" t="s">
        <v>13</v>
      </c>
      <c r="I1003" t="s">
        <v>77</v>
      </c>
      <c r="J1003" t="s">
        <v>61</v>
      </c>
      <c r="K1003">
        <v>52</v>
      </c>
      <c r="L1003" t="s">
        <v>13</v>
      </c>
    </row>
    <row r="1004" spans="1:12">
      <c r="A1004">
        <v>96740</v>
      </c>
      <c r="B1004" t="s">
        <v>22</v>
      </c>
      <c r="C1004" t="s">
        <v>21</v>
      </c>
      <c r="D1004" s="1">
        <v>110421</v>
      </c>
      <c r="E1004">
        <v>1</v>
      </c>
      <c r="F1004" t="s">
        <v>14</v>
      </c>
      <c r="G1004" t="s">
        <v>16</v>
      </c>
      <c r="H1004" t="s">
        <v>12</v>
      </c>
      <c r="I1004" t="s">
        <v>80</v>
      </c>
      <c r="J1004" t="s">
        <v>66</v>
      </c>
      <c r="K1004">
        <v>58</v>
      </c>
      <c r="L1004" t="s">
        <v>13</v>
      </c>
    </row>
    <row r="1005" spans="1:12">
      <c r="A1005">
        <v>25524</v>
      </c>
      <c r="B1005" t="s">
        <v>22</v>
      </c>
      <c r="C1005" t="s">
        <v>21</v>
      </c>
      <c r="D1005" s="1">
        <v>22708</v>
      </c>
      <c r="E1005">
        <v>3</v>
      </c>
      <c r="F1005" t="s">
        <v>19</v>
      </c>
      <c r="G1005" t="s">
        <v>18</v>
      </c>
      <c r="H1005" t="s">
        <v>12</v>
      </c>
      <c r="I1005" t="s">
        <v>81</v>
      </c>
      <c r="J1005" t="s">
        <v>63</v>
      </c>
      <c r="K1005">
        <v>62</v>
      </c>
      <c r="L1005" t="s">
        <v>12</v>
      </c>
    </row>
    <row r="1006" spans="1:12">
      <c r="A1006">
        <v>29282</v>
      </c>
      <c r="B1006" t="s">
        <v>22</v>
      </c>
      <c r="C1006" t="s">
        <v>20</v>
      </c>
      <c r="D1006" s="1">
        <v>38375</v>
      </c>
      <c r="E1006">
        <v>5</v>
      </c>
      <c r="F1006" t="s">
        <v>10</v>
      </c>
      <c r="G1006" t="s">
        <v>16</v>
      </c>
      <c r="H1006" t="s">
        <v>12</v>
      </c>
      <c r="I1006" t="s">
        <v>78</v>
      </c>
      <c r="J1006" t="s">
        <v>69</v>
      </c>
      <c r="K1006">
        <v>62</v>
      </c>
      <c r="L1006" t="s">
        <v>12</v>
      </c>
    </row>
    <row r="1007" spans="1:12">
      <c r="A1007">
        <v>33930</v>
      </c>
      <c r="B1007" t="s">
        <v>21</v>
      </c>
      <c r="C1007" t="s">
        <v>20</v>
      </c>
      <c r="D1007" s="1">
        <v>35088</v>
      </c>
      <c r="E1007">
        <v>3</v>
      </c>
      <c r="F1007" t="s">
        <v>19</v>
      </c>
      <c r="G1007" t="s">
        <v>15</v>
      </c>
      <c r="H1007" t="s">
        <v>13</v>
      </c>
      <c r="I1007" t="s">
        <v>77</v>
      </c>
      <c r="J1007" t="s">
        <v>69</v>
      </c>
      <c r="K1007">
        <v>51</v>
      </c>
      <c r="L1007" t="s">
        <v>13</v>
      </c>
    </row>
    <row r="1008" spans="1:12">
      <c r="A1008">
        <v>10077</v>
      </c>
      <c r="B1008" t="s">
        <v>22</v>
      </c>
      <c r="C1008" t="s">
        <v>20</v>
      </c>
      <c r="D1008" s="1">
        <v>77615</v>
      </c>
      <c r="E1008">
        <v>4</v>
      </c>
      <c r="F1008" t="s">
        <v>17</v>
      </c>
      <c r="G1008" t="s">
        <v>16</v>
      </c>
      <c r="H1008" t="s">
        <v>13</v>
      </c>
      <c r="I1008" t="s">
        <v>77</v>
      </c>
      <c r="J1008" t="s">
        <v>72</v>
      </c>
      <c r="K1008">
        <v>37</v>
      </c>
      <c r="L1008" t="s">
        <v>13</v>
      </c>
    </row>
    <row r="1009" spans="1:12">
      <c r="A1009">
        <v>30611</v>
      </c>
      <c r="B1009" t="s">
        <v>21</v>
      </c>
      <c r="C1009" t="s">
        <v>20</v>
      </c>
      <c r="D1009" s="1">
        <v>65046</v>
      </c>
      <c r="E1009">
        <v>4</v>
      </c>
      <c r="F1009" t="s">
        <v>17</v>
      </c>
      <c r="G1009" t="s">
        <v>16</v>
      </c>
      <c r="H1009" t="s">
        <v>12</v>
      </c>
      <c r="I1009" t="s">
        <v>80</v>
      </c>
      <c r="J1009" t="s">
        <v>60</v>
      </c>
      <c r="K1009">
        <v>36</v>
      </c>
      <c r="L1009" t="s">
        <v>12</v>
      </c>
    </row>
    <row r="1010" spans="1:12">
      <c r="A1010">
        <v>26984</v>
      </c>
      <c r="B1010" t="s">
        <v>22</v>
      </c>
      <c r="C1010" t="s">
        <v>20</v>
      </c>
      <c r="D1010" s="1">
        <v>30014</v>
      </c>
      <c r="E1010">
        <v>1</v>
      </c>
      <c r="F1010" t="s">
        <v>14</v>
      </c>
      <c r="G1010" t="s">
        <v>11</v>
      </c>
      <c r="H1010" t="s">
        <v>12</v>
      </c>
      <c r="I1010" t="s">
        <v>81</v>
      </c>
      <c r="J1010" t="s">
        <v>60</v>
      </c>
      <c r="K1010">
        <v>53</v>
      </c>
      <c r="L1010" t="s">
        <v>12</v>
      </c>
    </row>
    <row r="1011" spans="1:12">
      <c r="A1011">
        <v>24060</v>
      </c>
      <c r="B1011" t="s">
        <v>22</v>
      </c>
      <c r="C1011" t="s">
        <v>21</v>
      </c>
      <c r="D1011" s="1">
        <v>84425</v>
      </c>
      <c r="E1011">
        <v>1</v>
      </c>
      <c r="F1011" t="s">
        <v>10</v>
      </c>
      <c r="G1011" t="s">
        <v>15</v>
      </c>
      <c r="H1011" t="s">
        <v>13</v>
      </c>
      <c r="I1011" t="s">
        <v>81</v>
      </c>
      <c r="J1011" t="s">
        <v>72</v>
      </c>
      <c r="K1011">
        <v>58</v>
      </c>
      <c r="L1011" t="s">
        <v>13</v>
      </c>
    </row>
    <row r="1012" spans="1:12">
      <c r="A1012">
        <v>92985</v>
      </c>
      <c r="B1012" t="s">
        <v>21</v>
      </c>
      <c r="C1012" t="s">
        <v>21</v>
      </c>
      <c r="D1012" s="1">
        <v>23273</v>
      </c>
      <c r="E1012">
        <v>0</v>
      </c>
      <c r="F1012" t="s">
        <v>19</v>
      </c>
      <c r="G1012" t="s">
        <v>15</v>
      </c>
      <c r="H1012" t="s">
        <v>13</v>
      </c>
      <c r="I1012" t="s">
        <v>80</v>
      </c>
      <c r="J1012" t="s">
        <v>67</v>
      </c>
      <c r="K1012">
        <v>26</v>
      </c>
      <c r="L1012" t="s">
        <v>12</v>
      </c>
    </row>
    <row r="1013" spans="1:12">
      <c r="A1013">
        <v>94056</v>
      </c>
      <c r="B1013" t="s">
        <v>21</v>
      </c>
      <c r="C1013" t="s">
        <v>21</v>
      </c>
      <c r="D1013" s="1">
        <v>67135</v>
      </c>
      <c r="E1013">
        <v>3</v>
      </c>
      <c r="F1013" t="s">
        <v>14</v>
      </c>
      <c r="G1013" t="s">
        <v>11</v>
      </c>
      <c r="H1013" t="s">
        <v>13</v>
      </c>
      <c r="I1013" t="s">
        <v>77</v>
      </c>
      <c r="J1013" t="s">
        <v>72</v>
      </c>
      <c r="K1013">
        <v>61</v>
      </c>
      <c r="L1013" t="s">
        <v>12</v>
      </c>
    </row>
    <row r="1014" spans="1:12">
      <c r="A1014">
        <v>53303</v>
      </c>
      <c r="B1014" t="s">
        <v>21</v>
      </c>
      <c r="C1014" t="s">
        <v>21</v>
      </c>
      <c r="D1014" s="1">
        <v>50881</v>
      </c>
      <c r="E1014">
        <v>3</v>
      </c>
      <c r="F1014" t="s">
        <v>17</v>
      </c>
      <c r="G1014" t="s">
        <v>16</v>
      </c>
      <c r="H1014" t="s">
        <v>12</v>
      </c>
      <c r="I1014" t="s">
        <v>78</v>
      </c>
      <c r="J1014" t="s">
        <v>71</v>
      </c>
      <c r="K1014">
        <v>54</v>
      </c>
      <c r="L1014" t="s">
        <v>12</v>
      </c>
    </row>
    <row r="1015" spans="1:12">
      <c r="A1015">
        <v>69207</v>
      </c>
      <c r="B1015" t="s">
        <v>21</v>
      </c>
      <c r="C1015" t="s">
        <v>20</v>
      </c>
      <c r="D1015" s="1">
        <v>117022</v>
      </c>
      <c r="E1015">
        <v>4</v>
      </c>
      <c r="F1015" t="s">
        <v>17</v>
      </c>
      <c r="G1015" t="s">
        <v>18</v>
      </c>
      <c r="H1015" t="s">
        <v>12</v>
      </c>
      <c r="I1015" t="s">
        <v>77</v>
      </c>
      <c r="J1015" t="s">
        <v>60</v>
      </c>
      <c r="K1015">
        <v>49</v>
      </c>
      <c r="L1015" t="s">
        <v>12</v>
      </c>
    </row>
    <row r="1016" spans="1:12">
      <c r="A1016">
        <v>85046</v>
      </c>
      <c r="B1016" t="s">
        <v>21</v>
      </c>
      <c r="C1016" t="s">
        <v>21</v>
      </c>
      <c r="D1016" s="1">
        <v>98077</v>
      </c>
      <c r="E1016">
        <v>0</v>
      </c>
      <c r="F1016" t="s">
        <v>10</v>
      </c>
      <c r="G1016" t="s">
        <v>15</v>
      </c>
      <c r="H1016" t="s">
        <v>13</v>
      </c>
      <c r="I1016" t="s">
        <v>81</v>
      </c>
      <c r="J1016" t="s">
        <v>64</v>
      </c>
      <c r="K1016">
        <v>31</v>
      </c>
      <c r="L1016" t="s">
        <v>13</v>
      </c>
    </row>
    <row r="1017" spans="1:12">
      <c r="A1017">
        <v>39287</v>
      </c>
      <c r="B1017" t="s">
        <v>22</v>
      </c>
      <c r="C1017" t="s">
        <v>20</v>
      </c>
      <c r="D1017" s="1">
        <v>28712</v>
      </c>
      <c r="E1017">
        <v>5</v>
      </c>
      <c r="F1017" t="s">
        <v>19</v>
      </c>
      <c r="G1017" t="s">
        <v>15</v>
      </c>
      <c r="H1017" t="s">
        <v>12</v>
      </c>
      <c r="I1017" t="s">
        <v>77</v>
      </c>
      <c r="J1017" t="s">
        <v>69</v>
      </c>
      <c r="K1017">
        <v>54</v>
      </c>
      <c r="L1017" t="s">
        <v>13</v>
      </c>
    </row>
    <row r="1018" spans="1:12">
      <c r="A1018">
        <v>49711</v>
      </c>
      <c r="B1018" t="s">
        <v>21</v>
      </c>
      <c r="C1018" t="s">
        <v>20</v>
      </c>
      <c r="D1018" s="1">
        <v>94704</v>
      </c>
      <c r="E1018">
        <v>3</v>
      </c>
      <c r="F1018" t="s">
        <v>10</v>
      </c>
      <c r="G1018" t="s">
        <v>16</v>
      </c>
      <c r="H1018" t="s">
        <v>13</v>
      </c>
      <c r="I1018" t="s">
        <v>78</v>
      </c>
      <c r="J1018" t="s">
        <v>65</v>
      </c>
      <c r="K1018">
        <v>30</v>
      </c>
      <c r="L1018" t="s">
        <v>13</v>
      </c>
    </row>
    <row r="1019" spans="1:12">
      <c r="A1019">
        <v>21954</v>
      </c>
      <c r="B1019" t="s">
        <v>21</v>
      </c>
      <c r="C1019" t="s">
        <v>20</v>
      </c>
      <c r="D1019" s="1">
        <v>72874</v>
      </c>
      <c r="E1019">
        <v>0</v>
      </c>
      <c r="F1019" t="s">
        <v>19</v>
      </c>
      <c r="G1019" t="s">
        <v>16</v>
      </c>
      <c r="H1019" t="s">
        <v>13</v>
      </c>
      <c r="I1019" t="s">
        <v>79</v>
      </c>
      <c r="J1019" t="s">
        <v>64</v>
      </c>
      <c r="K1019">
        <v>63</v>
      </c>
      <c r="L1019" t="s">
        <v>12</v>
      </c>
    </row>
    <row r="1020" spans="1:12">
      <c r="A1020">
        <v>83340</v>
      </c>
      <c r="B1020" t="s">
        <v>21</v>
      </c>
      <c r="C1020" t="s">
        <v>21</v>
      </c>
      <c r="D1020" s="1">
        <v>89087</v>
      </c>
      <c r="E1020">
        <v>0</v>
      </c>
      <c r="F1020" t="s">
        <v>19</v>
      </c>
      <c r="G1020" t="s">
        <v>15</v>
      </c>
      <c r="H1020" t="s">
        <v>13</v>
      </c>
      <c r="I1020" t="s">
        <v>77</v>
      </c>
      <c r="J1020" t="s">
        <v>74</v>
      </c>
      <c r="K1020">
        <v>23</v>
      </c>
      <c r="L1020" t="s">
        <v>13</v>
      </c>
    </row>
    <row r="1021" spans="1:12">
      <c r="A1021">
        <v>82101</v>
      </c>
      <c r="B1021" t="s">
        <v>21</v>
      </c>
      <c r="C1021" t="s">
        <v>20</v>
      </c>
      <c r="D1021" s="1">
        <v>32297</v>
      </c>
      <c r="E1021">
        <v>4</v>
      </c>
      <c r="F1021" t="s">
        <v>10</v>
      </c>
      <c r="G1021" t="s">
        <v>16</v>
      </c>
      <c r="H1021" t="s">
        <v>12</v>
      </c>
      <c r="I1021" t="s">
        <v>80</v>
      </c>
      <c r="J1021" t="s">
        <v>69</v>
      </c>
      <c r="K1021">
        <v>44</v>
      </c>
      <c r="L1021" t="s">
        <v>13</v>
      </c>
    </row>
    <row r="1022" spans="1:12">
      <c r="A1022">
        <v>81520</v>
      </c>
      <c r="B1022" t="s">
        <v>22</v>
      </c>
      <c r="C1022" t="s">
        <v>21</v>
      </c>
      <c r="D1022" s="1">
        <v>47128</v>
      </c>
      <c r="E1022">
        <v>0</v>
      </c>
      <c r="F1022" t="s">
        <v>14</v>
      </c>
      <c r="G1022" t="s">
        <v>18</v>
      </c>
      <c r="H1022" t="s">
        <v>13</v>
      </c>
      <c r="I1022" t="s">
        <v>79</v>
      </c>
      <c r="J1022" t="s">
        <v>66</v>
      </c>
      <c r="K1022">
        <v>67</v>
      </c>
      <c r="L1022" t="s">
        <v>12</v>
      </c>
    </row>
    <row r="1023" spans="1:12">
      <c r="A1023">
        <v>97062</v>
      </c>
      <c r="B1023" t="s">
        <v>21</v>
      </c>
      <c r="C1023" t="s">
        <v>21</v>
      </c>
      <c r="D1023" s="1">
        <v>88368</v>
      </c>
      <c r="E1023">
        <v>1</v>
      </c>
      <c r="F1023" t="s">
        <v>10</v>
      </c>
      <c r="G1023" t="s">
        <v>15</v>
      </c>
      <c r="H1023" t="s">
        <v>13</v>
      </c>
      <c r="I1023" t="s">
        <v>80</v>
      </c>
      <c r="J1023" t="s">
        <v>65</v>
      </c>
      <c r="K1023">
        <v>51</v>
      </c>
      <c r="L1023" t="s">
        <v>13</v>
      </c>
    </row>
    <row r="1024" spans="1:12">
      <c r="A1024">
        <v>28574</v>
      </c>
      <c r="B1024" t="s">
        <v>22</v>
      </c>
      <c r="C1024" t="s">
        <v>20</v>
      </c>
      <c r="D1024" s="1">
        <v>114019</v>
      </c>
      <c r="E1024">
        <v>1</v>
      </c>
      <c r="F1024" t="s">
        <v>10</v>
      </c>
      <c r="G1024" t="s">
        <v>18</v>
      </c>
      <c r="H1024" t="s">
        <v>12</v>
      </c>
      <c r="I1024" t="s">
        <v>80</v>
      </c>
      <c r="J1024" t="s">
        <v>72</v>
      </c>
      <c r="K1024">
        <v>39</v>
      </c>
      <c r="L1024" t="s">
        <v>12</v>
      </c>
    </row>
    <row r="1025" spans="1:12">
      <c r="A1025">
        <v>19184</v>
      </c>
      <c r="B1025" t="s">
        <v>22</v>
      </c>
      <c r="C1025" t="s">
        <v>20</v>
      </c>
      <c r="D1025" s="1">
        <v>107599</v>
      </c>
      <c r="E1025">
        <v>2</v>
      </c>
      <c r="F1025" t="s">
        <v>17</v>
      </c>
      <c r="G1025" t="s">
        <v>18</v>
      </c>
      <c r="H1025" t="s">
        <v>13</v>
      </c>
      <c r="I1025" t="s">
        <v>80</v>
      </c>
      <c r="J1025" t="s">
        <v>71</v>
      </c>
      <c r="K1025">
        <v>69</v>
      </c>
      <c r="L1025" t="s">
        <v>13</v>
      </c>
    </row>
    <row r="1026" spans="1:12">
      <c r="A1026">
        <v>29096</v>
      </c>
      <c r="B1026" t="s">
        <v>22</v>
      </c>
      <c r="C1026" t="s">
        <v>20</v>
      </c>
      <c r="D1026" s="1">
        <v>108499</v>
      </c>
      <c r="E1026">
        <v>4</v>
      </c>
      <c r="F1026" t="s">
        <v>17</v>
      </c>
      <c r="G1026" t="s">
        <v>16</v>
      </c>
      <c r="H1026" t="s">
        <v>12</v>
      </c>
      <c r="I1026" t="s">
        <v>77</v>
      </c>
      <c r="J1026" t="s">
        <v>63</v>
      </c>
      <c r="K1026">
        <v>50</v>
      </c>
      <c r="L1026" t="s">
        <v>12</v>
      </c>
    </row>
    <row r="1027" spans="1:12">
      <c r="A1027">
        <v>77728</v>
      </c>
      <c r="B1027" t="s">
        <v>22</v>
      </c>
      <c r="C1027" t="s">
        <v>21</v>
      </c>
      <c r="D1027" s="1">
        <v>98958</v>
      </c>
      <c r="E1027">
        <v>5</v>
      </c>
      <c r="F1027" t="s">
        <v>10</v>
      </c>
      <c r="G1027" t="s">
        <v>18</v>
      </c>
      <c r="H1027" t="s">
        <v>13</v>
      </c>
      <c r="I1027" t="s">
        <v>81</v>
      </c>
      <c r="J1027" t="s">
        <v>65</v>
      </c>
      <c r="K1027">
        <v>23</v>
      </c>
      <c r="L1027" t="s">
        <v>13</v>
      </c>
    </row>
    <row r="1028" spans="1:12">
      <c r="A1028">
        <v>44016</v>
      </c>
      <c r="B1028" t="s">
        <v>21</v>
      </c>
      <c r="C1028" t="s">
        <v>20</v>
      </c>
      <c r="D1028" s="1">
        <v>52920</v>
      </c>
      <c r="E1028">
        <v>2</v>
      </c>
      <c r="F1028" t="s">
        <v>10</v>
      </c>
      <c r="G1028" t="s">
        <v>16</v>
      </c>
      <c r="H1028" t="s">
        <v>12</v>
      </c>
      <c r="I1028" t="s">
        <v>79</v>
      </c>
      <c r="J1028" t="s">
        <v>70</v>
      </c>
      <c r="K1028">
        <v>57</v>
      </c>
      <c r="L1028" t="s">
        <v>12</v>
      </c>
    </row>
    <row r="1029" spans="1:12">
      <c r="A1029">
        <v>29096</v>
      </c>
      <c r="B1029" t="s">
        <v>22</v>
      </c>
      <c r="C1029" t="s">
        <v>20</v>
      </c>
      <c r="D1029" s="1">
        <v>108499</v>
      </c>
      <c r="E1029">
        <v>4</v>
      </c>
      <c r="F1029" t="s">
        <v>17</v>
      </c>
      <c r="G1029" t="s">
        <v>16</v>
      </c>
      <c r="H1029" t="s">
        <v>12</v>
      </c>
      <c r="I1029" t="s">
        <v>77</v>
      </c>
      <c r="J1029" t="s">
        <v>63</v>
      </c>
      <c r="K1029">
        <v>50</v>
      </c>
      <c r="L1029" t="s">
        <v>12</v>
      </c>
    </row>
  </sheetData>
  <conditionalFormatting sqref="A1:A7 A9:A62 A64:A90 A92:A112 A114:A310 A312:A463 A465:A940 A942:A1028 A1030:A1048576">
    <cfRule type="duplicateValues" dxfId="71" priority="9"/>
  </conditionalFormatting>
  <conditionalFormatting sqref="A8">
    <cfRule type="duplicateValues" dxfId="70" priority="8"/>
  </conditionalFormatting>
  <conditionalFormatting sqref="A63">
    <cfRule type="duplicateValues" dxfId="69" priority="7"/>
  </conditionalFormatting>
  <conditionalFormatting sqref="A91">
    <cfRule type="duplicateValues" dxfId="68" priority="6"/>
  </conditionalFormatting>
  <conditionalFormatting sqref="A113">
    <cfRule type="duplicateValues" dxfId="67" priority="5"/>
  </conditionalFormatting>
  <conditionalFormatting sqref="A311">
    <cfRule type="duplicateValues" dxfId="66" priority="4"/>
  </conditionalFormatting>
  <conditionalFormatting sqref="A464">
    <cfRule type="duplicateValues" dxfId="65" priority="3"/>
  </conditionalFormatting>
  <conditionalFormatting sqref="A941">
    <cfRule type="duplicateValues" dxfId="64" priority="2"/>
  </conditionalFormatting>
  <conditionalFormatting sqref="A1029">
    <cfRule type="duplicateValues" dxfId="63" priority="1"/>
  </conditionalFormatting>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1A7BE-A8C6-2749-9ADB-B6323D7EC579}">
  <dimension ref="A1:O7"/>
  <sheetViews>
    <sheetView showGridLines="0" topLeftCell="A2" zoomScale="60" zoomScaleNormal="60" workbookViewId="0">
      <selection activeCell="S19" sqref="S19"/>
    </sheetView>
  </sheetViews>
  <sheetFormatPr defaultColWidth="11.42578125" defaultRowHeight="15"/>
  <sheetData>
    <row r="1" spans="1:15">
      <c r="A1" s="37" t="s">
        <v>30</v>
      </c>
      <c r="B1" s="38"/>
      <c r="C1" s="38"/>
      <c r="D1" s="38"/>
      <c r="E1" s="38"/>
      <c r="F1" s="38"/>
      <c r="G1" s="38"/>
      <c r="H1" s="38"/>
      <c r="I1" s="38"/>
      <c r="J1" s="38"/>
      <c r="K1" s="38"/>
      <c r="L1" s="38"/>
      <c r="M1" s="38"/>
      <c r="N1" s="38"/>
      <c r="O1" s="38"/>
    </row>
    <row r="2" spans="1:15">
      <c r="A2" s="38"/>
      <c r="B2" s="38"/>
      <c r="C2" s="38"/>
      <c r="D2" s="38"/>
      <c r="E2" s="38"/>
      <c r="F2" s="38"/>
      <c r="G2" s="38"/>
      <c r="H2" s="38"/>
      <c r="I2" s="38"/>
      <c r="J2" s="38"/>
      <c r="K2" s="38"/>
      <c r="L2" s="38"/>
      <c r="M2" s="38"/>
      <c r="N2" s="38"/>
      <c r="O2" s="38"/>
    </row>
    <row r="3" spans="1:15">
      <c r="A3" s="38"/>
      <c r="B3" s="38"/>
      <c r="C3" s="38"/>
      <c r="D3" s="38"/>
      <c r="E3" s="38"/>
      <c r="F3" s="38"/>
      <c r="G3" s="38"/>
      <c r="H3" s="38"/>
      <c r="I3" s="38"/>
      <c r="J3" s="38"/>
      <c r="K3" s="38"/>
      <c r="L3" s="38"/>
      <c r="M3" s="38"/>
      <c r="N3" s="38"/>
      <c r="O3" s="38"/>
    </row>
    <row r="4" spans="1:15">
      <c r="A4" s="38"/>
      <c r="B4" s="38"/>
      <c r="C4" s="38"/>
      <c r="D4" s="38"/>
      <c r="E4" s="38"/>
      <c r="F4" s="38"/>
      <c r="G4" s="38"/>
      <c r="H4" s="38"/>
      <c r="I4" s="38"/>
      <c r="J4" s="38"/>
      <c r="K4" s="38"/>
      <c r="L4" s="38"/>
      <c r="M4" s="38"/>
      <c r="N4" s="38"/>
      <c r="O4" s="38"/>
    </row>
    <row r="5" spans="1:15">
      <c r="A5" s="38"/>
      <c r="B5" s="38"/>
      <c r="C5" s="38"/>
      <c r="D5" s="38"/>
      <c r="E5" s="38"/>
      <c r="F5" s="38"/>
      <c r="G5" s="38"/>
      <c r="H5" s="38"/>
      <c r="I5" s="38"/>
      <c r="J5" s="38"/>
      <c r="K5" s="38"/>
      <c r="L5" s="38"/>
      <c r="M5" s="38"/>
      <c r="N5" s="38"/>
      <c r="O5" s="38"/>
    </row>
    <row r="6" spans="1:15">
      <c r="A6" s="38"/>
      <c r="B6" s="38"/>
      <c r="C6" s="38"/>
      <c r="D6" s="38"/>
      <c r="E6" s="38"/>
      <c r="F6" s="38"/>
      <c r="G6" s="38"/>
      <c r="H6" s="38"/>
      <c r="I6" s="38"/>
      <c r="J6" s="38"/>
      <c r="K6" s="38"/>
      <c r="L6" s="38"/>
      <c r="M6" s="38"/>
      <c r="N6" s="38"/>
      <c r="O6" s="38"/>
    </row>
    <row r="7" spans="1:15">
      <c r="A7" s="38"/>
      <c r="B7" s="38"/>
      <c r="C7" s="38"/>
      <c r="D7" s="38"/>
      <c r="E7" s="38"/>
      <c r="F7" s="38"/>
      <c r="G7" s="38"/>
      <c r="H7" s="38"/>
      <c r="I7" s="38"/>
      <c r="J7" s="38"/>
      <c r="K7" s="38"/>
      <c r="L7" s="38"/>
      <c r="M7" s="38"/>
      <c r="N7" s="38"/>
      <c r="O7" s="38"/>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 1</vt:lpstr>
      <vt:lpstr>Dashboard 2</vt:lpstr>
      <vt:lpstr>Pivot Table 1</vt:lpstr>
      <vt:lpstr>Pivot Table 2</vt:lpstr>
      <vt:lpstr>Documentation</vt:lpstr>
      <vt:lpstr>Cleaned - Sorted DB</vt:lpstr>
      <vt:lpstr>RAWDATA Cars Buyers DB</vt:lpstr>
      <vt:lpstr>Dashboard</vt:lpstr>
      <vt:lpstr>'Cleaned - Sorted DB'!Extract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Daoud</dc:creator>
  <cp:lastModifiedBy>Emad Makram</cp:lastModifiedBy>
  <dcterms:created xsi:type="dcterms:W3CDTF">2022-03-18T02:50:57Z</dcterms:created>
  <dcterms:modified xsi:type="dcterms:W3CDTF">2026-02-02T13:43:31Z</dcterms:modified>
</cp:coreProperties>
</file>